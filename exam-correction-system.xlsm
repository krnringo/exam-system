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BB115F31-889E-7D4F-B216-852CDB51B2E6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" i="24" l="1"/>
  <c r="M2" i="24"/>
  <c r="L2" i="24"/>
  <c r="K2" i="24"/>
  <c r="C13" i="23"/>
  <c r="L11" i="25"/>
  <c r="L11" i="19"/>
  <c r="B11" i="25"/>
  <c r="B11" i="19"/>
  <c r="M1" i="24"/>
  <c r="K1" i="24"/>
  <c r="O14" i="19"/>
  <c r="J37" i="25" l="1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B1" i="25"/>
  <c r="P11" i="25" l="1"/>
  <c r="F11" i="25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A351" i="21" l="1"/>
  <c r="A295" i="21"/>
  <c r="A331" i="21"/>
  <c r="B439" i="21"/>
  <c r="DC439" i="21" s="1"/>
  <c r="Y11" i="25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68" i="19"/>
  <c r="R37" i="19"/>
  <c r="C40" i="19"/>
  <c r="C86" i="19"/>
  <c r="C50" i="19"/>
  <c r="R50" i="19"/>
  <c r="C51" i="19"/>
  <c r="C29" i="19"/>
  <c r="R25" i="19"/>
  <c r="C73" i="19"/>
  <c r="C48" i="19"/>
  <c r="B1" i="19"/>
  <c r="C36" i="19"/>
  <c r="C45" i="19"/>
  <c r="C31" i="19"/>
  <c r="C66" i="19"/>
  <c r="C81" i="19"/>
  <c r="R48" i="19"/>
  <c r="R39" i="19"/>
  <c r="C56" i="19"/>
  <c r="C34" i="19"/>
  <c r="C55" i="19"/>
  <c r="R26" i="19"/>
  <c r="C46" i="19"/>
  <c r="C65" i="19"/>
  <c r="R55" i="19"/>
  <c r="C32" i="19"/>
  <c r="R29" i="19"/>
  <c r="C72" i="19"/>
  <c r="R42" i="19"/>
  <c r="R54" i="19"/>
  <c r="C84" i="19"/>
  <c r="C77" i="19"/>
  <c r="R46" i="19"/>
  <c r="R52" i="19"/>
  <c r="C43" i="19"/>
  <c r="R24" i="19"/>
  <c r="C23" i="19"/>
  <c r="C52" i="19"/>
  <c r="C30" i="19"/>
  <c r="C74" i="19"/>
  <c r="C89" i="19"/>
  <c r="C26" i="19"/>
  <c r="R34" i="19"/>
  <c r="C92" i="19"/>
  <c r="C38" i="19"/>
  <c r="R33" i="19"/>
  <c r="R23" i="19"/>
  <c r="R49" i="19"/>
  <c r="R28" i="19"/>
  <c r="C64" i="19"/>
  <c r="C57" i="19"/>
  <c r="C53" i="19"/>
  <c r="C79" i="19"/>
  <c r="R40" i="19"/>
  <c r="R41" i="19"/>
  <c r="R53" i="19"/>
  <c r="R57" i="19"/>
  <c r="R27" i="19"/>
  <c r="R32" i="19"/>
  <c r="C28" i="19"/>
  <c r="R56" i="19"/>
  <c r="R31" i="19"/>
  <c r="C70" i="19"/>
  <c r="R44" i="19"/>
  <c r="C44" i="19"/>
  <c r="C76" i="19"/>
  <c r="C63" i="19"/>
  <c r="C78" i="19"/>
  <c r="C47" i="19"/>
  <c r="C82" i="19"/>
  <c r="C49" i="19"/>
  <c r="C54" i="19"/>
  <c r="C88" i="19"/>
  <c r="C67" i="19"/>
  <c r="C27" i="19"/>
  <c r="C39" i="19"/>
  <c r="C33" i="19"/>
  <c r="C41" i="19"/>
  <c r="C85" i="19"/>
  <c r="R35" i="19"/>
  <c r="C90" i="19"/>
  <c r="R36" i="19"/>
  <c r="R47" i="19"/>
  <c r="R51" i="19"/>
  <c r="C25" i="19"/>
  <c r="C83" i="19"/>
  <c r="C35" i="19"/>
  <c r="R38" i="19"/>
  <c r="R43" i="19"/>
  <c r="C87" i="19"/>
  <c r="C42" i="19"/>
  <c r="R30" i="19"/>
  <c r="R45" i="19"/>
  <c r="C71" i="19"/>
  <c r="C69" i="19"/>
  <c r="C91" i="19"/>
  <c r="C80" i="19"/>
  <c r="C37" i="19"/>
  <c r="C75" i="19"/>
  <c r="L4" i="24" l="1"/>
  <c r="N4" i="24"/>
  <c r="L3" i="24"/>
  <c r="N3" i="24"/>
  <c r="K4" i="24"/>
  <c r="M4" i="24"/>
  <c r="M3" i="24"/>
  <c r="K3" i="24"/>
  <c r="DF439" i="2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67" i="19"/>
  <c r="V51" i="19"/>
  <c r="G46" i="19"/>
  <c r="V29" i="19"/>
  <c r="V25" i="19"/>
  <c r="V24" i="19"/>
  <c r="G65" i="19"/>
  <c r="V34" i="19"/>
  <c r="G79" i="19"/>
  <c r="G63" i="19"/>
  <c r="V54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V45" i="19"/>
  <c r="V46" i="19"/>
  <c r="G81" i="19"/>
  <c r="V33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34" i="19"/>
  <c r="G33" i="19"/>
  <c r="G32" i="19"/>
  <c r="G31" i="19"/>
  <c r="G30" i="19"/>
  <c r="G29" i="19"/>
  <c r="G28" i="19"/>
  <c r="G27" i="19"/>
  <c r="G26" i="19"/>
  <c r="G25" i="19"/>
  <c r="G23" i="19"/>
  <c r="C24" i="19"/>
  <c r="K5" i="24" l="1"/>
  <c r="L5" i="24"/>
  <c r="N5" i="24"/>
  <c r="M5" i="24"/>
  <c r="M6" i="24"/>
  <c r="N6" i="24"/>
  <c r="L6" i="24"/>
  <c r="K6" i="24"/>
  <c r="F11" i="19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K8" i="24" l="1"/>
  <c r="L8" i="24"/>
  <c r="N7" i="24"/>
  <c r="M7" i="24"/>
  <c r="M8" i="24"/>
  <c r="N8" i="24"/>
  <c r="L7" i="24"/>
  <c r="K7" i="24"/>
  <c r="H7" i="24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M9" i="24" l="1"/>
  <c r="N9" i="24"/>
  <c r="K9" i="24"/>
  <c r="L9" i="24"/>
  <c r="M10" i="24"/>
  <c r="N10" i="24"/>
  <c r="K10" i="24"/>
  <c r="L10" i="24"/>
  <c r="J3" i="24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K12" i="24" l="1"/>
  <c r="L12" i="24"/>
  <c r="K11" i="24"/>
  <c r="L11" i="24"/>
  <c r="I11" i="19" s="1"/>
  <c r="M12" i="24"/>
  <c r="N12" i="24"/>
  <c r="M11" i="24"/>
  <c r="N11" i="24"/>
  <c r="S11" i="19" s="1"/>
  <c r="P11" i="19" l="1"/>
  <c r="N13" i="24"/>
  <c r="M13" i="24"/>
  <c r="L13" i="24"/>
  <c r="K13" i="24"/>
  <c r="N14" i="24"/>
  <c r="M14" i="24"/>
  <c r="L14" i="24"/>
  <c r="K14" i="24"/>
  <c r="N16" i="24" l="1"/>
  <c r="M16" i="24"/>
  <c r="M15" i="24"/>
  <c r="N15" i="24"/>
  <c r="K16" i="24"/>
  <c r="L16" i="24"/>
  <c r="K15" i="24"/>
  <c r="L15" i="24"/>
  <c r="L17" i="24" l="1"/>
  <c r="K17" i="24"/>
  <c r="M17" i="24"/>
  <c r="N17" i="24"/>
  <c r="M18" i="24"/>
  <c r="N18" i="24"/>
  <c r="K18" i="24"/>
  <c r="L18" i="24"/>
  <c r="K20" i="24" l="1"/>
  <c r="L20" i="24"/>
  <c r="M19" i="24"/>
  <c r="N19" i="24"/>
  <c r="K19" i="24"/>
  <c r="L19" i="24"/>
  <c r="M20" i="24"/>
  <c r="N20" i="24"/>
  <c r="M22" i="24" l="1"/>
  <c r="N22" i="24"/>
  <c r="N21" i="24"/>
  <c r="M21" i="24"/>
  <c r="L21" i="24"/>
  <c r="K21" i="24"/>
  <c r="K22" i="24"/>
  <c r="L22" i="24"/>
  <c r="L24" i="24" l="1"/>
  <c r="K24" i="24"/>
  <c r="L23" i="24"/>
  <c r="K23" i="24"/>
  <c r="N23" i="24"/>
  <c r="M23" i="24"/>
  <c r="N24" i="24"/>
  <c r="M24" i="24"/>
  <c r="M26" i="24" l="1"/>
  <c r="N26" i="24"/>
  <c r="M25" i="24"/>
  <c r="N25" i="24"/>
  <c r="K26" i="24"/>
  <c r="L26" i="24"/>
  <c r="K25" i="24"/>
  <c r="L25" i="24"/>
  <c r="K27" i="24" l="1"/>
  <c r="L27" i="24"/>
  <c r="M27" i="24"/>
  <c r="N27" i="24"/>
  <c r="K28" i="24"/>
  <c r="L28" i="24"/>
  <c r="M28" i="24"/>
  <c r="N28" i="24"/>
  <c r="M30" i="24" l="1"/>
  <c r="N30" i="24"/>
  <c r="M29" i="24"/>
  <c r="N29" i="24"/>
  <c r="K30" i="24"/>
  <c r="L30" i="24"/>
  <c r="K29" i="24"/>
  <c r="L29" i="24"/>
  <c r="K31" i="24" l="1"/>
  <c r="L31" i="24"/>
  <c r="M31" i="24"/>
  <c r="N31" i="24"/>
  <c r="K32" i="24"/>
  <c r="L32" i="24"/>
  <c r="M32" i="24"/>
  <c r="N32" i="24"/>
  <c r="M34" i="24" l="1"/>
  <c r="N34" i="24"/>
  <c r="M33" i="24"/>
  <c r="N33" i="24"/>
  <c r="K34" i="24"/>
  <c r="L34" i="24"/>
  <c r="K33" i="24"/>
  <c r="L33" i="24"/>
  <c r="K35" i="24" l="1"/>
  <c r="L35" i="24"/>
  <c r="M35" i="24"/>
  <c r="N35" i="24"/>
  <c r="K36" i="24"/>
  <c r="L36" i="24"/>
  <c r="M36" i="24"/>
  <c r="N36" i="24"/>
  <c r="M38" i="24" l="1"/>
  <c r="N38" i="24"/>
  <c r="M37" i="24"/>
  <c r="N37" i="24"/>
  <c r="K38" i="24"/>
  <c r="L38" i="24"/>
  <c r="K37" i="24"/>
  <c r="L37" i="24"/>
  <c r="K39" i="24" l="1"/>
  <c r="L39" i="24"/>
  <c r="M39" i="24"/>
  <c r="N39" i="24"/>
  <c r="K40" i="24"/>
  <c r="L40" i="24"/>
  <c r="M40" i="24"/>
  <c r="N40" i="24"/>
  <c r="M42" i="24" l="1"/>
  <c r="N42" i="24"/>
  <c r="M41" i="24"/>
  <c r="N41" i="24"/>
  <c r="K42" i="24"/>
  <c r="L42" i="24"/>
  <c r="K41" i="24"/>
  <c r="L41" i="24"/>
  <c r="K43" i="24" l="1"/>
  <c r="L43" i="24"/>
  <c r="M43" i="24"/>
  <c r="N43" i="24"/>
  <c r="K44" i="24"/>
  <c r="L44" i="24"/>
  <c r="M44" i="24"/>
  <c r="N44" i="24"/>
  <c r="M46" i="24" l="1"/>
  <c r="N46" i="24"/>
  <c r="M45" i="24"/>
  <c r="N45" i="24"/>
  <c r="K46" i="24"/>
  <c r="L46" i="24"/>
  <c r="K45" i="24"/>
  <c r="L45" i="24"/>
  <c r="K47" i="24" l="1"/>
  <c r="L47" i="24"/>
  <c r="M47" i="24"/>
  <c r="N47" i="24"/>
  <c r="K48" i="24"/>
  <c r="L48" i="24"/>
  <c r="M48" i="24"/>
  <c r="N48" i="24"/>
  <c r="M50" i="24" l="1"/>
  <c r="N50" i="24"/>
  <c r="M49" i="24"/>
  <c r="N49" i="24"/>
  <c r="K50" i="24"/>
  <c r="L50" i="24"/>
  <c r="K49" i="24"/>
  <c r="L49" i="24"/>
  <c r="K51" i="24" l="1"/>
  <c r="L51" i="24"/>
  <c r="M51" i="24"/>
  <c r="N51" i="24"/>
  <c r="K52" i="24"/>
  <c r="L52" i="24"/>
  <c r="M52" i="24"/>
  <c r="N52" i="24"/>
  <c r="M54" i="24" l="1"/>
  <c r="N54" i="24"/>
  <c r="M53" i="24"/>
  <c r="N53" i="24"/>
  <c r="K54" i="24"/>
  <c r="L54" i="24"/>
  <c r="K53" i="24"/>
  <c r="L53" i="24"/>
  <c r="M55" i="24" l="1"/>
  <c r="N55" i="24"/>
  <c r="K55" i="24"/>
  <c r="L55" i="24"/>
  <c r="K56" i="24"/>
  <c r="L56" i="24"/>
  <c r="M56" i="24"/>
  <c r="N56" i="24"/>
  <c r="M58" i="24" l="1"/>
  <c r="N58" i="24"/>
  <c r="K57" i="24"/>
  <c r="L57" i="24"/>
  <c r="K58" i="24"/>
  <c r="L58" i="24"/>
  <c r="M57" i="24"/>
  <c r="N57" i="24"/>
  <c r="M59" i="24" l="1"/>
  <c r="N59" i="24"/>
  <c r="K59" i="24"/>
  <c r="L59" i="24"/>
  <c r="K60" i="24"/>
  <c r="L60" i="24"/>
  <c r="M60" i="24"/>
  <c r="N60" i="24"/>
  <c r="M62" i="24" l="1"/>
  <c r="N62" i="24"/>
  <c r="K61" i="24"/>
  <c r="L61" i="24"/>
  <c r="K62" i="24"/>
  <c r="L62" i="24"/>
  <c r="M61" i="24"/>
  <c r="N61" i="24"/>
  <c r="M63" i="24" l="1"/>
  <c r="N63" i="24"/>
  <c r="K63" i="24"/>
  <c r="L63" i="24"/>
  <c r="K64" i="24"/>
  <c r="L64" i="24"/>
  <c r="M64" i="24"/>
  <c r="N64" i="24"/>
  <c r="K65" i="24" l="1"/>
  <c r="L65" i="24"/>
  <c r="M66" i="24"/>
  <c r="N66" i="24"/>
  <c r="K66" i="24"/>
  <c r="L66" i="24"/>
  <c r="M65" i="24"/>
  <c r="N65" i="24"/>
  <c r="M67" i="24" l="1"/>
  <c r="N67" i="24"/>
  <c r="M68" i="24"/>
  <c r="N68" i="24"/>
  <c r="K68" i="24"/>
  <c r="L68" i="24"/>
  <c r="K67" i="24"/>
  <c r="L67" i="24"/>
  <c r="L69" i="24" l="1"/>
  <c r="K69" i="24"/>
  <c r="M70" i="24"/>
  <c r="N70" i="24"/>
  <c r="K70" i="24"/>
  <c r="L70" i="24"/>
  <c r="N69" i="24"/>
  <c r="M69" i="24"/>
  <c r="M71" i="24" l="1"/>
  <c r="N71" i="24"/>
  <c r="M72" i="24"/>
  <c r="N72" i="24"/>
  <c r="K71" i="24"/>
  <c r="L71" i="24"/>
  <c r="K72" i="24"/>
  <c r="L72" i="24"/>
  <c r="L74" i="24" l="1"/>
  <c r="K74" i="24"/>
  <c r="N74" i="24"/>
  <c r="M74" i="24"/>
  <c r="K73" i="24"/>
  <c r="L73" i="24"/>
  <c r="M73" i="24"/>
  <c r="N73" i="24"/>
  <c r="N76" i="24" l="1"/>
  <c r="M76" i="24"/>
  <c r="L76" i="24"/>
  <c r="K76" i="24"/>
  <c r="M75" i="24"/>
  <c r="N75" i="24"/>
  <c r="K75" i="24"/>
  <c r="L75" i="24"/>
  <c r="K78" i="24" l="1"/>
  <c r="L78" i="24"/>
  <c r="K77" i="24"/>
  <c r="L77" i="24"/>
  <c r="M78" i="24"/>
  <c r="N78" i="24"/>
  <c r="M77" i="24"/>
  <c r="N77" i="24"/>
  <c r="N79" i="24" l="1"/>
  <c r="M79" i="24"/>
  <c r="L79" i="24"/>
  <c r="K79" i="24"/>
  <c r="M80" i="24"/>
  <c r="N80" i="24"/>
  <c r="K80" i="24"/>
  <c r="L80" i="24"/>
  <c r="K81" i="24" l="1"/>
  <c r="L81" i="24"/>
  <c r="K82" i="24"/>
  <c r="L82" i="24"/>
  <c r="M81" i="24"/>
  <c r="N81" i="24"/>
  <c r="M82" i="24"/>
  <c r="N82" i="24"/>
  <c r="M84" i="24" l="1"/>
  <c r="N84" i="24"/>
  <c r="K84" i="24"/>
  <c r="L84" i="24"/>
  <c r="M83" i="24"/>
  <c r="N83" i="24"/>
  <c r="K83" i="24"/>
  <c r="L83" i="24"/>
  <c r="K85" i="24" l="1"/>
  <c r="L85" i="24"/>
  <c r="K86" i="24"/>
  <c r="L86" i="24"/>
  <c r="M85" i="24"/>
  <c r="N85" i="24"/>
  <c r="M86" i="24"/>
  <c r="N86" i="24"/>
  <c r="K88" i="24" l="1"/>
  <c r="L88" i="24"/>
  <c r="M88" i="24"/>
  <c r="N88" i="24"/>
  <c r="M87" i="24"/>
  <c r="N87" i="24"/>
  <c r="K87" i="24"/>
  <c r="L87" i="24"/>
  <c r="K89" i="24" l="1"/>
  <c r="L89" i="24"/>
  <c r="N90" i="24"/>
  <c r="M90" i="24"/>
  <c r="M89" i="24"/>
  <c r="N89" i="24"/>
  <c r="L90" i="24"/>
  <c r="K90" i="24"/>
  <c r="K92" i="24" l="1"/>
  <c r="L92" i="24"/>
  <c r="M92" i="24"/>
  <c r="N92" i="24"/>
  <c r="M91" i="24"/>
  <c r="N91" i="24"/>
  <c r="K91" i="24"/>
  <c r="L91" i="24"/>
  <c r="L93" i="24" l="1"/>
  <c r="K93" i="24"/>
  <c r="M94" i="24"/>
  <c r="N94" i="24"/>
  <c r="N93" i="24"/>
  <c r="M93" i="24"/>
  <c r="K94" i="24"/>
  <c r="L94" i="24"/>
  <c r="K96" i="24" l="1"/>
  <c r="L96" i="24"/>
  <c r="N96" i="24"/>
  <c r="M96" i="24"/>
  <c r="M95" i="24"/>
  <c r="N95" i="24"/>
  <c r="K95" i="24"/>
  <c r="L95" i="24"/>
  <c r="M98" i="24" l="1"/>
  <c r="N98" i="24"/>
  <c r="K97" i="24"/>
  <c r="L97" i="24"/>
  <c r="M97" i="24"/>
  <c r="N97" i="24"/>
  <c r="K98" i="24"/>
  <c r="L98" i="24"/>
  <c r="K100" i="24" l="1"/>
  <c r="L100" i="24"/>
  <c r="K99" i="24"/>
  <c r="L99" i="24"/>
  <c r="M99" i="24"/>
  <c r="N99" i="24"/>
  <c r="M100" i="24"/>
  <c r="N100" i="24"/>
  <c r="M102" i="24" l="1"/>
  <c r="N102" i="24"/>
  <c r="K101" i="24"/>
  <c r="L101" i="24"/>
  <c r="M101" i="24"/>
  <c r="N101" i="24"/>
  <c r="K102" i="24"/>
  <c r="L102" i="24"/>
  <c r="L103" i="24" l="1"/>
  <c r="K103" i="24"/>
  <c r="K104" i="24"/>
  <c r="L104" i="24"/>
  <c r="N103" i="24"/>
  <c r="M103" i="24"/>
  <c r="M104" i="24"/>
  <c r="N104" i="24"/>
  <c r="K106" i="24" l="1"/>
  <c r="L106" i="24"/>
  <c r="M105" i="24"/>
  <c r="N105" i="24"/>
  <c r="K105" i="24"/>
  <c r="L105" i="24"/>
  <c r="M106" i="24"/>
  <c r="N106" i="24"/>
  <c r="M108" i="24" l="1"/>
  <c r="N108" i="24"/>
  <c r="N107" i="24"/>
  <c r="M107" i="24"/>
  <c r="L107" i="24"/>
  <c r="K107" i="24"/>
  <c r="L108" i="24"/>
  <c r="K108" i="24"/>
  <c r="K110" i="24" l="1"/>
  <c r="L110" i="24"/>
  <c r="M109" i="24"/>
  <c r="N109" i="24"/>
  <c r="K109" i="24"/>
  <c r="L109" i="24"/>
  <c r="M110" i="24"/>
  <c r="N110" i="24"/>
  <c r="M112" i="24" l="1"/>
  <c r="N112" i="24"/>
  <c r="M111" i="24"/>
  <c r="N111" i="24"/>
  <c r="K111" i="24"/>
  <c r="L111" i="24"/>
  <c r="K112" i="24"/>
  <c r="L112" i="24"/>
  <c r="L114" i="24" l="1"/>
  <c r="K114" i="24"/>
  <c r="M113" i="24"/>
  <c r="N113" i="24"/>
  <c r="K113" i="24"/>
  <c r="L113" i="24"/>
  <c r="N114" i="24"/>
  <c r="M114" i="24"/>
  <c r="M116" i="24" l="1"/>
  <c r="N116" i="24"/>
  <c r="M115" i="24"/>
  <c r="N115" i="24"/>
  <c r="K116" i="24"/>
  <c r="L116" i="24"/>
  <c r="K115" i="24"/>
  <c r="L115" i="24"/>
  <c r="K117" i="24" l="1"/>
  <c r="L117" i="24"/>
  <c r="M117" i="24"/>
  <c r="N117" i="24"/>
  <c r="L118" i="24"/>
  <c r="K118" i="24"/>
  <c r="N118" i="24"/>
  <c r="M118" i="24"/>
  <c r="M120" i="24" l="1"/>
  <c r="N120" i="24"/>
  <c r="N119" i="24"/>
  <c r="M119" i="24"/>
  <c r="K120" i="24"/>
  <c r="L120" i="24"/>
  <c r="L119" i="24"/>
  <c r="K119" i="24"/>
  <c r="L121" i="24" l="1"/>
  <c r="K121" i="24"/>
  <c r="M121" i="24"/>
  <c r="N121" i="24"/>
  <c r="K122" i="24"/>
  <c r="L122" i="24"/>
  <c r="M122" i="24"/>
  <c r="N122" i="24"/>
  <c r="M124" i="24" l="1"/>
  <c r="N124" i="24"/>
  <c r="M123" i="24"/>
  <c r="N123" i="24"/>
  <c r="K123" i="24"/>
  <c r="L123" i="24"/>
  <c r="K124" i="24"/>
  <c r="L124" i="24"/>
  <c r="K126" i="24" l="1"/>
  <c r="L126" i="24"/>
  <c r="M125" i="24"/>
  <c r="N125" i="24"/>
  <c r="K125" i="24"/>
  <c r="L125" i="24"/>
  <c r="M126" i="24"/>
  <c r="N126" i="24"/>
  <c r="M128" i="24" l="1"/>
  <c r="N128" i="24"/>
  <c r="M127" i="24"/>
  <c r="N127" i="24"/>
  <c r="K127" i="24"/>
  <c r="L127" i="24"/>
  <c r="K128" i="24"/>
  <c r="L128" i="24"/>
  <c r="K130" i="24" l="1"/>
  <c r="L130" i="24"/>
  <c r="N129" i="24"/>
  <c r="M129" i="24"/>
  <c r="L129" i="24"/>
  <c r="K129" i="24"/>
  <c r="M130" i="24"/>
  <c r="N130" i="24"/>
  <c r="M131" i="24" l="1"/>
  <c r="N131" i="24"/>
  <c r="K131" i="24"/>
  <c r="L131" i="24"/>
  <c r="M132" i="24"/>
  <c r="N132" i="24"/>
  <c r="K132" i="24"/>
  <c r="L132" i="24"/>
  <c r="K134" i="24" l="1"/>
  <c r="L134" i="24"/>
  <c r="K133" i="24"/>
  <c r="L133" i="24"/>
  <c r="M134" i="24"/>
  <c r="N134" i="24"/>
  <c r="M133" i="24"/>
  <c r="N133" i="24"/>
  <c r="K135" i="24" l="1"/>
  <c r="L135" i="24"/>
  <c r="M135" i="24"/>
  <c r="N135" i="24"/>
  <c r="M136" i="24"/>
  <c r="N136" i="24"/>
  <c r="L136" i="24"/>
  <c r="K136" i="24"/>
  <c r="K138" i="24" l="1"/>
  <c r="L138" i="24"/>
  <c r="M137" i="24"/>
  <c r="N137" i="24"/>
  <c r="M138" i="24"/>
  <c r="N138" i="24"/>
  <c r="K137" i="24"/>
  <c r="L137" i="24"/>
  <c r="L139" i="24" l="1"/>
  <c r="K139" i="24"/>
  <c r="N139" i="24"/>
  <c r="M139" i="24"/>
  <c r="M140" i="24"/>
  <c r="N140" i="24"/>
  <c r="K140" i="24"/>
  <c r="L140" i="24"/>
  <c r="M141" i="24" l="1"/>
  <c r="N141" i="24"/>
  <c r="K142" i="24"/>
  <c r="L142" i="24"/>
  <c r="K141" i="24"/>
  <c r="L141" i="24"/>
  <c r="M142" i="24"/>
  <c r="N142" i="24"/>
  <c r="M144" i="24" l="1"/>
  <c r="N144" i="24"/>
  <c r="K144" i="24"/>
  <c r="L144" i="24"/>
  <c r="K143" i="24"/>
  <c r="L143" i="24"/>
  <c r="M143" i="24"/>
  <c r="N143" i="24"/>
  <c r="N145" i="24" l="1"/>
  <c r="M145" i="24"/>
  <c r="K146" i="24"/>
  <c r="L146" i="24"/>
  <c r="L145" i="24"/>
  <c r="K145" i="24"/>
  <c r="M146" i="24"/>
  <c r="N146" i="24"/>
  <c r="M148" i="24" l="1"/>
  <c r="N148" i="24"/>
  <c r="K148" i="24"/>
  <c r="L148" i="24"/>
  <c r="M147" i="24"/>
  <c r="N147" i="24"/>
  <c r="K147" i="24"/>
  <c r="L147" i="24"/>
  <c r="L149" i="24" l="1"/>
  <c r="K149" i="24"/>
  <c r="K150" i="24"/>
  <c r="L150" i="24"/>
  <c r="N149" i="24"/>
  <c r="M149" i="24"/>
  <c r="M150" i="24"/>
  <c r="N150" i="24"/>
  <c r="K152" i="24" l="1"/>
  <c r="L152" i="24"/>
  <c r="N151" i="24"/>
  <c r="M151" i="24"/>
  <c r="L151" i="24"/>
  <c r="K151" i="24"/>
  <c r="M152" i="24"/>
  <c r="N152" i="24"/>
  <c r="M153" i="24" l="1"/>
  <c r="N153" i="24"/>
  <c r="M154" i="24"/>
  <c r="N154" i="24"/>
  <c r="K153" i="24"/>
  <c r="L153" i="24"/>
  <c r="K154" i="24"/>
  <c r="L154" i="24"/>
  <c r="K156" i="24" l="1"/>
  <c r="L156" i="24"/>
  <c r="M156" i="24"/>
  <c r="N156" i="24"/>
  <c r="L155" i="24"/>
  <c r="K155" i="24"/>
  <c r="N155" i="24"/>
  <c r="M155" i="24"/>
  <c r="M157" i="24" l="1"/>
  <c r="N157" i="24"/>
  <c r="M158" i="24"/>
  <c r="N158" i="24"/>
  <c r="K157" i="24"/>
  <c r="L157" i="24"/>
  <c r="K158" i="24"/>
  <c r="L158" i="24"/>
  <c r="K160" i="24" l="1"/>
  <c r="L160" i="24"/>
  <c r="M160" i="24"/>
  <c r="N160" i="24"/>
  <c r="L159" i="24"/>
  <c r="K159" i="24"/>
  <c r="N159" i="24"/>
  <c r="M159" i="24"/>
  <c r="M161" i="24" l="1"/>
  <c r="N161" i="24"/>
  <c r="M162" i="24"/>
  <c r="N162" i="24"/>
  <c r="K161" i="24"/>
  <c r="L161" i="24"/>
  <c r="K162" i="24"/>
  <c r="L162" i="24"/>
  <c r="K164" i="24" l="1"/>
  <c r="L164" i="24"/>
  <c r="M164" i="24"/>
  <c r="N164" i="24"/>
  <c r="K163" i="24"/>
  <c r="L163" i="24"/>
  <c r="M163" i="24"/>
  <c r="N163" i="24"/>
  <c r="M165" i="24" l="1"/>
  <c r="N165" i="24"/>
  <c r="M166" i="24"/>
  <c r="N166" i="24"/>
  <c r="K165" i="24"/>
  <c r="L165" i="24"/>
  <c r="K166" i="24"/>
  <c r="L166" i="24"/>
  <c r="K168" i="24" l="1"/>
  <c r="L168" i="24"/>
  <c r="M168" i="24"/>
  <c r="N168" i="24"/>
  <c r="L167" i="24"/>
  <c r="K167" i="24"/>
  <c r="N167" i="24"/>
  <c r="M167" i="24"/>
  <c r="M169" i="24" l="1"/>
  <c r="N169" i="24"/>
  <c r="N170" i="24"/>
  <c r="M170" i="24"/>
  <c r="K169" i="24"/>
  <c r="L169" i="24"/>
  <c r="L170" i="24"/>
  <c r="K170" i="24"/>
  <c r="K172" i="24" l="1"/>
  <c r="L172" i="24"/>
  <c r="M172" i="24"/>
  <c r="N172" i="24"/>
  <c r="K171" i="24"/>
  <c r="L171" i="24"/>
  <c r="M171" i="24"/>
  <c r="N171" i="24"/>
  <c r="M173" i="24" l="1"/>
  <c r="N173" i="24"/>
  <c r="N174" i="24"/>
  <c r="M174" i="24"/>
  <c r="K173" i="24"/>
  <c r="L173" i="24"/>
  <c r="L174" i="24"/>
  <c r="K174" i="24"/>
  <c r="L176" i="24" l="1"/>
  <c r="K176" i="24"/>
  <c r="N176" i="24"/>
  <c r="M176" i="24"/>
  <c r="K175" i="24"/>
  <c r="L175" i="24"/>
  <c r="M175" i="24"/>
  <c r="N175" i="24"/>
  <c r="M178" i="24" l="1"/>
  <c r="N178" i="24"/>
  <c r="K178" i="24"/>
  <c r="L178" i="24"/>
  <c r="M177" i="24"/>
  <c r="N177" i="24"/>
  <c r="K177" i="24"/>
  <c r="L177" i="24"/>
  <c r="L180" i="24" l="1"/>
  <c r="K180" i="24"/>
  <c r="K179" i="24"/>
  <c r="L179" i="24"/>
  <c r="M179" i="24"/>
  <c r="N179" i="24"/>
  <c r="N180" i="24"/>
  <c r="M180" i="24"/>
  <c r="M182" i="24" l="1"/>
  <c r="N182" i="24"/>
  <c r="K181" i="24"/>
  <c r="L181" i="24"/>
  <c r="K182" i="24"/>
  <c r="L182" i="24"/>
  <c r="M181" i="24"/>
  <c r="N181" i="24"/>
  <c r="K183" i="24" l="1"/>
  <c r="L183" i="24"/>
  <c r="M183" i="24"/>
  <c r="N183" i="24"/>
  <c r="K184" i="24"/>
  <c r="L184" i="24"/>
  <c r="M184" i="24"/>
  <c r="N184" i="24"/>
  <c r="M186" i="24" l="1"/>
  <c r="N186" i="24"/>
  <c r="M185" i="24"/>
  <c r="N185" i="24"/>
  <c r="K186" i="24"/>
  <c r="L186" i="24"/>
  <c r="K185" i="24"/>
  <c r="L185" i="24"/>
  <c r="M187" i="24" l="1"/>
  <c r="N187" i="24"/>
  <c r="K187" i="24"/>
  <c r="L187" i="24"/>
  <c r="K188" i="24"/>
  <c r="L188" i="24"/>
  <c r="M188" i="24"/>
  <c r="N188" i="24"/>
  <c r="K189" i="24" l="1"/>
  <c r="L189" i="24"/>
  <c r="M190" i="24"/>
  <c r="N190" i="24"/>
  <c r="K190" i="24"/>
  <c r="L190" i="24"/>
  <c r="M189" i="24"/>
  <c r="N189" i="24"/>
  <c r="M191" i="24" l="1"/>
  <c r="N191" i="24"/>
  <c r="M192" i="24"/>
  <c r="N192" i="24"/>
  <c r="K192" i="24"/>
  <c r="L192" i="24"/>
  <c r="K191" i="24"/>
  <c r="L191" i="24"/>
  <c r="K193" i="24" l="1"/>
  <c r="L193" i="24"/>
  <c r="M194" i="24"/>
  <c r="N194" i="24"/>
  <c r="K194" i="24"/>
  <c r="L194" i="24"/>
  <c r="M193" i="24"/>
  <c r="N193" i="24"/>
  <c r="M195" i="24" l="1"/>
  <c r="N195" i="24"/>
  <c r="M196" i="24"/>
  <c r="N196" i="24"/>
  <c r="K196" i="24"/>
  <c r="L196" i="24"/>
  <c r="K195" i="24"/>
  <c r="L195" i="24"/>
  <c r="K197" i="24" l="1"/>
  <c r="L197" i="24"/>
  <c r="M198" i="24"/>
  <c r="N198" i="24"/>
  <c r="K198" i="24"/>
  <c r="L198" i="24"/>
  <c r="M197" i="24"/>
  <c r="N197" i="24"/>
  <c r="M199" i="24" l="1"/>
  <c r="N199" i="24"/>
  <c r="N200" i="24"/>
  <c r="M200" i="24"/>
  <c r="L200" i="24"/>
  <c r="K200" i="24"/>
  <c r="K199" i="24"/>
  <c r="L199" i="24"/>
  <c r="M202" i="24" l="1"/>
  <c r="N202" i="24"/>
  <c r="K201" i="24"/>
  <c r="L201" i="24"/>
  <c r="K202" i="24"/>
  <c r="L202" i="24"/>
  <c r="M201" i="24"/>
  <c r="N201" i="24"/>
  <c r="M203" i="24" l="1"/>
  <c r="N203" i="24"/>
  <c r="K203" i="24"/>
  <c r="L203" i="24"/>
  <c r="K204" i="24"/>
  <c r="L204" i="24"/>
  <c r="M204" i="24"/>
  <c r="N204" i="24"/>
  <c r="M206" i="24" l="1"/>
  <c r="N206" i="24"/>
  <c r="K205" i="24"/>
  <c r="L205" i="24"/>
  <c r="K206" i="24"/>
  <c r="L206" i="24"/>
  <c r="M205" i="24"/>
  <c r="N205" i="24"/>
  <c r="M207" i="24" l="1"/>
  <c r="N207" i="24"/>
  <c r="K207" i="24"/>
  <c r="L207" i="24"/>
  <c r="K208" i="24"/>
  <c r="L208" i="24"/>
  <c r="N208" i="24"/>
  <c r="M208" i="24"/>
  <c r="K209" i="24" l="1"/>
  <c r="L209" i="24"/>
  <c r="M210" i="24"/>
  <c r="N210" i="24"/>
  <c r="K210" i="24"/>
  <c r="L210" i="24"/>
  <c r="M209" i="24"/>
  <c r="N209" i="24"/>
  <c r="N212" i="24" l="1"/>
  <c r="M212" i="24"/>
  <c r="M211" i="24"/>
  <c r="N211" i="24"/>
  <c r="K212" i="24"/>
  <c r="L212" i="24"/>
  <c r="K211" i="24"/>
  <c r="L211" i="24"/>
  <c r="K213" i="24" l="1"/>
  <c r="L213" i="24"/>
  <c r="M213" i="24"/>
  <c r="N213" i="24"/>
  <c r="M214" i="24"/>
  <c r="N214" i="24"/>
  <c r="K214" i="24"/>
  <c r="L214" i="24"/>
  <c r="K216" i="24" l="1"/>
  <c r="L216" i="24"/>
  <c r="M215" i="24"/>
  <c r="N215" i="24"/>
  <c r="M216" i="24"/>
  <c r="N216" i="24"/>
  <c r="K215" i="24"/>
  <c r="L215" i="24"/>
  <c r="K217" i="24" l="1"/>
  <c r="L217" i="24"/>
  <c r="M217" i="24"/>
  <c r="N217" i="24"/>
  <c r="M218" i="24"/>
  <c r="N218" i="24"/>
  <c r="K218" i="24"/>
  <c r="L218" i="24"/>
  <c r="K220" i="24" l="1"/>
  <c r="L220" i="24"/>
  <c r="M219" i="24"/>
  <c r="N219" i="24"/>
  <c r="M220" i="24"/>
  <c r="N220" i="24"/>
  <c r="K219" i="24"/>
  <c r="L219" i="24"/>
  <c r="M221" i="24" l="1"/>
  <c r="N221" i="24"/>
  <c r="K221" i="24"/>
  <c r="L221" i="24"/>
  <c r="M222" i="24"/>
  <c r="N222" i="24"/>
  <c r="K222" i="24"/>
  <c r="L222" i="24"/>
  <c r="M224" i="24" l="1"/>
  <c r="N224" i="24"/>
  <c r="K224" i="24"/>
  <c r="L224" i="24"/>
  <c r="K223" i="24"/>
  <c r="L223" i="24"/>
  <c r="M223" i="24"/>
  <c r="N223" i="24"/>
  <c r="K226" i="24" l="1"/>
  <c r="L226" i="24"/>
  <c r="M225" i="24"/>
  <c r="N225" i="24"/>
  <c r="K225" i="24"/>
  <c r="L225" i="24"/>
  <c r="M226" i="24"/>
  <c r="N226" i="24"/>
  <c r="M228" i="24" l="1"/>
  <c r="N228" i="24"/>
  <c r="N227" i="24"/>
  <c r="M227" i="24"/>
  <c r="L227" i="24"/>
  <c r="K227" i="24"/>
  <c r="K228" i="24"/>
  <c r="L228" i="24"/>
  <c r="M229" i="24" l="1"/>
  <c r="N229" i="24"/>
  <c r="K230" i="24"/>
  <c r="L230" i="24"/>
  <c r="K229" i="24"/>
  <c r="L229" i="24"/>
  <c r="M230" i="24"/>
  <c r="N230" i="24"/>
  <c r="K232" i="24" l="1"/>
  <c r="L232" i="24"/>
  <c r="M232" i="24"/>
  <c r="N232" i="24"/>
  <c r="K231" i="24"/>
  <c r="L231" i="24"/>
  <c r="M231" i="24"/>
  <c r="N231" i="24"/>
  <c r="M233" i="24" l="1"/>
  <c r="N233" i="24"/>
  <c r="M234" i="24"/>
  <c r="N234" i="24"/>
  <c r="K233" i="24"/>
  <c r="L233" i="24"/>
  <c r="K234" i="24"/>
  <c r="L234" i="24"/>
  <c r="M236" i="24" l="1"/>
  <c r="N236" i="24"/>
  <c r="L236" i="24"/>
  <c r="K236" i="24"/>
  <c r="K235" i="24"/>
  <c r="L235" i="24"/>
  <c r="M235" i="24"/>
  <c r="N235" i="24"/>
  <c r="K238" i="24" l="1"/>
  <c r="L238" i="24"/>
  <c r="M237" i="24"/>
  <c r="N237" i="24"/>
  <c r="K237" i="24"/>
  <c r="L237" i="24"/>
  <c r="M238" i="24"/>
  <c r="N238" i="24"/>
  <c r="M240" i="24" l="1"/>
  <c r="N240" i="24"/>
  <c r="N239" i="24"/>
  <c r="M239" i="24"/>
  <c r="L239" i="24"/>
  <c r="K239" i="24"/>
  <c r="K240" i="24"/>
  <c r="L240" i="24"/>
  <c r="N241" i="24" l="1"/>
  <c r="M241" i="24"/>
  <c r="L242" i="24"/>
  <c r="K242" i="24"/>
  <c r="L241" i="24"/>
  <c r="K241" i="24"/>
  <c r="N242" i="24"/>
  <c r="M242" i="24"/>
  <c r="M244" i="24" l="1"/>
  <c r="N244" i="24"/>
  <c r="K244" i="24"/>
  <c r="L244" i="24"/>
  <c r="M243" i="24"/>
  <c r="N243" i="24"/>
  <c r="K243" i="24"/>
  <c r="L243" i="24"/>
  <c r="L245" i="24" l="1"/>
  <c r="K245" i="24"/>
  <c r="K246" i="24"/>
  <c r="L246" i="24"/>
  <c r="N245" i="24"/>
  <c r="M245" i="24"/>
  <c r="M246" i="24"/>
  <c r="N246" i="24"/>
  <c r="N248" i="24" l="1"/>
  <c r="M248" i="24"/>
  <c r="L248" i="24"/>
  <c r="K248" i="24"/>
  <c r="N247" i="24"/>
  <c r="M247" i="24"/>
  <c r="L247" i="24"/>
  <c r="K247" i="24"/>
  <c r="K249" i="24" l="1"/>
  <c r="L249" i="24"/>
  <c r="K250" i="24"/>
  <c r="L250" i="24"/>
  <c r="M249" i="24"/>
  <c r="N249" i="24"/>
  <c r="M250" i="24"/>
  <c r="N250" i="24"/>
  <c r="L252" i="24" l="1"/>
  <c r="K252" i="24"/>
  <c r="N252" i="24"/>
  <c r="M252" i="24"/>
  <c r="M251" i="24"/>
  <c r="N251" i="24"/>
  <c r="K251" i="24"/>
  <c r="L251" i="24"/>
  <c r="M254" i="24" l="1"/>
  <c r="N254" i="24"/>
  <c r="K253" i="24"/>
  <c r="L253" i="24"/>
  <c r="K254" i="24"/>
  <c r="L254" i="24"/>
  <c r="M253" i="24"/>
  <c r="N253" i="24"/>
  <c r="M255" i="24" l="1"/>
  <c r="N255" i="24"/>
  <c r="K255" i="24"/>
  <c r="L255" i="24"/>
  <c r="L256" i="24"/>
  <c r="K256" i="24"/>
  <c r="N256" i="24"/>
  <c r="M256" i="24"/>
  <c r="M258" i="24" l="1"/>
  <c r="N258" i="24"/>
  <c r="K257" i="24"/>
  <c r="L257" i="24"/>
  <c r="K258" i="24"/>
  <c r="L258" i="24"/>
  <c r="M257" i="24"/>
  <c r="N257" i="24"/>
  <c r="M259" i="24" l="1"/>
  <c r="N259" i="24"/>
  <c r="K259" i="24"/>
  <c r="L259" i="24"/>
  <c r="K260" i="24"/>
  <c r="L260" i="24"/>
  <c r="M260" i="24"/>
  <c r="N260" i="24"/>
  <c r="N262" i="24" l="1"/>
  <c r="M262" i="24"/>
  <c r="K261" i="24"/>
  <c r="L261" i="24"/>
  <c r="L262" i="24"/>
  <c r="K262" i="24"/>
  <c r="M261" i="24"/>
  <c r="N261" i="24"/>
  <c r="K263" i="24" l="1"/>
  <c r="L263" i="24"/>
  <c r="K264" i="24"/>
  <c r="L264" i="24"/>
  <c r="M264" i="24"/>
  <c r="N264" i="24"/>
  <c r="M263" i="24"/>
  <c r="N263" i="24"/>
  <c r="L266" i="24" l="1"/>
  <c r="K266" i="24"/>
  <c r="M265" i="24"/>
  <c r="N265" i="24"/>
  <c r="N266" i="24"/>
  <c r="M266" i="24"/>
  <c r="K265" i="24"/>
  <c r="L265" i="24"/>
  <c r="K267" i="24" l="1"/>
  <c r="L267" i="24"/>
  <c r="M267" i="24"/>
  <c r="N267" i="24"/>
  <c r="M268" i="24"/>
  <c r="N268" i="24"/>
  <c r="L268" i="24"/>
  <c r="K268" i="24"/>
  <c r="K270" i="24" l="1"/>
  <c r="L270" i="24"/>
  <c r="M269" i="24"/>
  <c r="N269" i="24"/>
  <c r="M270" i="24"/>
  <c r="N270" i="24"/>
  <c r="K269" i="24"/>
  <c r="L269" i="24"/>
  <c r="M271" i="24" l="1"/>
  <c r="N271" i="24"/>
  <c r="K271" i="24"/>
  <c r="L271" i="24"/>
  <c r="M272" i="24"/>
  <c r="N272" i="24"/>
  <c r="K272" i="24"/>
  <c r="L272" i="24"/>
  <c r="K274" i="24" l="1"/>
  <c r="L274" i="24"/>
  <c r="K273" i="24"/>
  <c r="L273" i="24"/>
  <c r="M274" i="24"/>
  <c r="N274" i="24"/>
  <c r="M273" i="24"/>
  <c r="N273" i="24"/>
  <c r="M275" i="24" l="1"/>
  <c r="N275" i="24"/>
  <c r="K275" i="24"/>
  <c r="L275" i="24"/>
  <c r="M276" i="24"/>
  <c r="N276" i="24"/>
  <c r="K276" i="24"/>
  <c r="L276" i="24"/>
  <c r="K277" i="24" l="1"/>
  <c r="L277" i="24"/>
  <c r="K278" i="24"/>
  <c r="L278" i="24"/>
  <c r="M278" i="24"/>
  <c r="N278" i="24"/>
  <c r="M277" i="24"/>
  <c r="N277" i="24"/>
  <c r="N279" i="24" l="1"/>
  <c r="M279" i="24"/>
  <c r="K280" i="24"/>
  <c r="L280" i="24"/>
  <c r="M280" i="24"/>
  <c r="N280" i="24"/>
  <c r="L279" i="24"/>
  <c r="K279" i="24"/>
  <c r="K281" i="24" l="1"/>
  <c r="L281" i="24"/>
  <c r="K282" i="24"/>
  <c r="L282" i="24"/>
  <c r="M281" i="24"/>
  <c r="N281" i="24"/>
  <c r="M282" i="24"/>
  <c r="N282" i="24"/>
  <c r="M284" i="24" l="1"/>
  <c r="N284" i="24"/>
  <c r="K284" i="24"/>
  <c r="L284" i="24"/>
  <c r="M283" i="24"/>
  <c r="N283" i="24"/>
  <c r="K283" i="24"/>
  <c r="L283" i="24"/>
  <c r="K286" i="24" l="1"/>
  <c r="L286" i="24"/>
  <c r="K285" i="24"/>
  <c r="L285" i="24"/>
  <c r="M285" i="24"/>
  <c r="N285" i="24"/>
  <c r="M286" i="24"/>
  <c r="N286" i="24"/>
  <c r="M288" i="24" l="1"/>
  <c r="N288" i="24"/>
  <c r="K287" i="24"/>
  <c r="L287" i="24"/>
  <c r="M287" i="24"/>
  <c r="N287" i="24"/>
  <c r="K288" i="24"/>
  <c r="L288" i="24"/>
  <c r="K290" i="24" l="1"/>
  <c r="L290" i="24"/>
  <c r="K289" i="24"/>
  <c r="L289" i="24"/>
  <c r="M289" i="24"/>
  <c r="N289" i="24"/>
  <c r="M290" i="24"/>
  <c r="N290" i="24"/>
  <c r="M292" i="24" l="1"/>
  <c r="N292" i="24"/>
  <c r="K291" i="24"/>
  <c r="L291" i="24"/>
  <c r="M291" i="24"/>
  <c r="N291" i="24"/>
  <c r="K292" i="24"/>
  <c r="L292" i="24"/>
  <c r="K293" i="24" l="1"/>
  <c r="L293" i="24"/>
  <c r="L294" i="24"/>
  <c r="K294" i="24"/>
  <c r="M293" i="24"/>
  <c r="N293" i="24"/>
  <c r="N294" i="24"/>
  <c r="M294" i="24"/>
  <c r="M296" i="24" l="1"/>
  <c r="N296" i="24"/>
  <c r="K296" i="24"/>
  <c r="L296" i="24"/>
  <c r="M295" i="24"/>
  <c r="N295" i="24"/>
  <c r="K295" i="24"/>
  <c r="L295" i="24"/>
  <c r="K297" i="24" l="1"/>
  <c r="L297" i="24"/>
  <c r="K298" i="24"/>
  <c r="L298" i="24"/>
  <c r="M297" i="24"/>
  <c r="N297" i="24"/>
  <c r="N298" i="24"/>
  <c r="M298" i="24"/>
  <c r="N300" i="24" l="1"/>
  <c r="M300" i="24"/>
  <c r="L300" i="24"/>
  <c r="K300" i="24"/>
  <c r="M299" i="24"/>
  <c r="N299" i="24"/>
  <c r="K299" i="24"/>
  <c r="L299" i="24"/>
  <c r="K302" i="24" l="1"/>
  <c r="L302" i="24"/>
  <c r="K301" i="24"/>
  <c r="L301" i="24"/>
  <c r="M302" i="24"/>
  <c r="N302" i="24"/>
  <c r="M301" i="24"/>
  <c r="N301" i="24"/>
  <c r="N303" i="24" l="1"/>
  <c r="M303" i="24"/>
  <c r="L303" i="24"/>
  <c r="K303" i="24"/>
  <c r="M304" i="24"/>
  <c r="N304" i="24"/>
  <c r="K304" i="24"/>
  <c r="L304" i="24"/>
  <c r="K305" i="24" l="1"/>
  <c r="L305" i="24"/>
  <c r="K306" i="24"/>
  <c r="L306" i="24"/>
  <c r="M305" i="24"/>
  <c r="N305" i="24"/>
  <c r="M306" i="24"/>
  <c r="N306" i="24"/>
  <c r="M308" i="24" l="1"/>
  <c r="N308" i="24"/>
  <c r="K308" i="24"/>
  <c r="L308" i="24"/>
  <c r="M307" i="24"/>
  <c r="N307" i="24"/>
  <c r="K307" i="24"/>
  <c r="L307" i="24"/>
  <c r="K309" i="24" l="1"/>
  <c r="L309" i="24"/>
  <c r="L310" i="24"/>
  <c r="K310" i="24"/>
  <c r="M309" i="24"/>
  <c r="N309" i="24"/>
  <c r="N310" i="24"/>
  <c r="M310" i="24"/>
  <c r="K312" i="24" l="1"/>
  <c r="L312" i="24"/>
  <c r="M312" i="24"/>
  <c r="N312" i="24"/>
  <c r="M311" i="24"/>
  <c r="N311" i="24"/>
  <c r="K311" i="24"/>
  <c r="L311" i="24"/>
  <c r="K313" i="24" l="1"/>
  <c r="L313" i="24"/>
  <c r="M314" i="24"/>
  <c r="N314" i="24"/>
  <c r="M313" i="24"/>
  <c r="N313" i="24"/>
  <c r="K314" i="24"/>
  <c r="L314" i="24"/>
  <c r="K316" i="24" l="1"/>
  <c r="L316" i="24"/>
  <c r="M316" i="24"/>
  <c r="N316" i="24"/>
  <c r="M315" i="24"/>
  <c r="N315" i="24"/>
  <c r="K315" i="24"/>
  <c r="L315" i="24"/>
  <c r="K317" i="24" l="1"/>
  <c r="L317" i="24"/>
  <c r="M318" i="24"/>
  <c r="N318" i="24"/>
  <c r="M317" i="24"/>
  <c r="N317" i="24"/>
  <c r="K318" i="24"/>
  <c r="L318" i="24"/>
  <c r="K320" i="24" l="1"/>
  <c r="L320" i="24"/>
  <c r="M320" i="24"/>
  <c r="N320" i="24"/>
  <c r="N319" i="24"/>
  <c r="M319" i="24"/>
  <c r="L319" i="24"/>
  <c r="K319" i="24"/>
  <c r="M322" i="24" l="1"/>
  <c r="N322" i="24"/>
  <c r="M321" i="24"/>
  <c r="N321" i="24"/>
  <c r="K321" i="24"/>
  <c r="L321" i="24"/>
  <c r="K322" i="24"/>
  <c r="L322" i="24"/>
  <c r="K324" i="24" l="1"/>
  <c r="L324" i="24"/>
  <c r="M323" i="24"/>
  <c r="N323" i="24"/>
  <c r="K323" i="24"/>
  <c r="L323" i="24"/>
  <c r="M324" i="24"/>
  <c r="N324" i="24"/>
  <c r="M326" i="24" l="1"/>
  <c r="N326" i="24"/>
  <c r="M325" i="24"/>
  <c r="N325" i="24"/>
  <c r="K325" i="24"/>
  <c r="L325" i="24"/>
  <c r="K326" i="24"/>
  <c r="L326" i="24"/>
  <c r="K328" i="24" l="1"/>
  <c r="L328" i="24"/>
  <c r="M327" i="24"/>
  <c r="N327" i="24"/>
  <c r="K327" i="24"/>
  <c r="L327" i="24"/>
  <c r="N328" i="24"/>
  <c r="M328" i="24"/>
  <c r="N330" i="24" l="1"/>
  <c r="M330" i="24"/>
  <c r="M329" i="24"/>
  <c r="N329" i="24"/>
  <c r="K329" i="24"/>
  <c r="L329" i="24"/>
  <c r="L330" i="24"/>
  <c r="K330" i="24"/>
  <c r="M331" i="24" l="1"/>
  <c r="N331" i="24"/>
  <c r="M332" i="24"/>
  <c r="N332" i="24"/>
  <c r="K332" i="24"/>
  <c r="L332" i="24"/>
  <c r="K331" i="24"/>
  <c r="L331" i="24"/>
  <c r="K333" i="24" l="1"/>
  <c r="L333" i="24"/>
  <c r="M334" i="24"/>
  <c r="N334" i="24"/>
  <c r="K334" i="24"/>
  <c r="L334" i="24"/>
  <c r="M333" i="24"/>
  <c r="N333" i="24"/>
  <c r="M335" i="24" l="1"/>
  <c r="N335" i="24"/>
  <c r="M336" i="24"/>
  <c r="N336" i="24"/>
  <c r="K336" i="24"/>
  <c r="L336" i="24"/>
  <c r="K335" i="24"/>
  <c r="L335" i="24"/>
  <c r="M338" i="24" l="1"/>
  <c r="N338" i="24"/>
  <c r="K337" i="24"/>
  <c r="L337" i="24"/>
  <c r="K338" i="24"/>
  <c r="L338" i="24"/>
  <c r="M337" i="24"/>
  <c r="N337" i="24"/>
  <c r="M339" i="24" l="1"/>
  <c r="N339" i="24"/>
  <c r="K339" i="24"/>
  <c r="L339" i="24"/>
  <c r="K340" i="24"/>
  <c r="L340" i="24"/>
  <c r="M340" i="24"/>
  <c r="N340" i="24"/>
  <c r="K341" i="24" l="1"/>
  <c r="L341" i="24"/>
  <c r="M342" i="24"/>
  <c r="N342" i="24"/>
  <c r="K342" i="24"/>
  <c r="L342" i="24"/>
  <c r="M341" i="24"/>
  <c r="N341" i="24"/>
  <c r="M343" i="24" l="1"/>
  <c r="N343" i="24"/>
  <c r="M344" i="24"/>
  <c r="N344" i="24"/>
  <c r="K344" i="24"/>
  <c r="L344" i="24"/>
  <c r="K343" i="24"/>
  <c r="L343" i="24"/>
  <c r="K345" i="24" l="1"/>
  <c r="L345" i="24"/>
  <c r="N346" i="24"/>
  <c r="M346" i="24"/>
  <c r="L346" i="24"/>
  <c r="K346" i="24"/>
  <c r="M345" i="24"/>
  <c r="N345" i="24"/>
  <c r="N348" i="24" l="1"/>
  <c r="M348" i="24"/>
  <c r="L348" i="24"/>
  <c r="K348" i="24"/>
  <c r="M347" i="24"/>
  <c r="N347" i="24"/>
  <c r="K347" i="24"/>
  <c r="L347" i="24"/>
  <c r="K350" i="24" l="1"/>
  <c r="L350" i="24"/>
  <c r="K349" i="24"/>
  <c r="L349" i="24"/>
  <c r="M350" i="24"/>
  <c r="N350" i="24"/>
  <c r="M349" i="24"/>
  <c r="N349" i="24"/>
  <c r="K351" i="24" l="1"/>
  <c r="L351" i="24"/>
  <c r="M351" i="24"/>
  <c r="N351" i="24"/>
  <c r="M352" i="24"/>
  <c r="N352" i="24"/>
  <c r="K352" i="24"/>
  <c r="L352" i="24"/>
  <c r="K354" i="24" l="1"/>
  <c r="L354" i="24"/>
  <c r="M353" i="24"/>
  <c r="N353" i="24"/>
  <c r="M354" i="24"/>
  <c r="N354" i="24"/>
  <c r="K353" i="24"/>
  <c r="L353" i="24"/>
  <c r="K355" i="24" l="1"/>
  <c r="L355" i="24"/>
  <c r="M355" i="24"/>
  <c r="N355" i="24"/>
  <c r="N356" i="24"/>
  <c r="M356" i="24"/>
  <c r="L356" i="24"/>
  <c r="K356" i="24"/>
  <c r="K358" i="24" l="1"/>
  <c r="L358" i="24"/>
  <c r="M357" i="24"/>
  <c r="N357" i="24"/>
  <c r="M358" i="24"/>
  <c r="N358" i="24"/>
  <c r="K357" i="24"/>
  <c r="L357" i="24"/>
  <c r="K359" i="24" l="1"/>
  <c r="L359" i="24"/>
  <c r="M359" i="24"/>
  <c r="N359" i="24"/>
  <c r="M360" i="24"/>
  <c r="N360" i="24"/>
  <c r="K360" i="24"/>
  <c r="L360" i="24"/>
  <c r="N361" i="24" l="1"/>
  <c r="M361" i="24"/>
  <c r="K362" i="24"/>
  <c r="L362" i="24"/>
  <c r="M362" i="24"/>
  <c r="N362" i="24"/>
  <c r="L361" i="24"/>
  <c r="K361" i="24"/>
  <c r="K363" i="24" l="1"/>
  <c r="L363" i="24"/>
  <c r="K364" i="24"/>
  <c r="L364" i="24"/>
  <c r="M363" i="24"/>
  <c r="N363" i="24"/>
  <c r="M364" i="24"/>
  <c r="N364" i="24"/>
  <c r="M366" i="24" l="1"/>
  <c r="N366" i="24"/>
  <c r="K366" i="24"/>
  <c r="L366" i="24"/>
  <c r="M365" i="24"/>
  <c r="N365" i="24"/>
  <c r="K365" i="24"/>
  <c r="L365" i="24"/>
  <c r="K367" i="24" l="1"/>
  <c r="L367" i="24"/>
  <c r="K368" i="24"/>
  <c r="L368" i="24"/>
  <c r="M367" i="24"/>
  <c r="N367" i="24"/>
  <c r="M368" i="24"/>
  <c r="N368" i="24"/>
  <c r="K370" i="24" l="1"/>
  <c r="L370" i="24"/>
  <c r="M370" i="24"/>
  <c r="N370" i="24"/>
  <c r="M369" i="24"/>
  <c r="N369" i="24"/>
  <c r="K369" i="24"/>
  <c r="L369" i="24"/>
  <c r="K371" i="24" l="1"/>
  <c r="L371" i="24"/>
  <c r="N372" i="24"/>
  <c r="M372" i="24"/>
  <c r="M371" i="24"/>
  <c r="N371" i="24"/>
  <c r="K372" i="24"/>
  <c r="L372" i="24"/>
  <c r="N374" i="24" l="1"/>
  <c r="M374" i="24"/>
  <c r="L374" i="24"/>
  <c r="K374" i="24"/>
  <c r="M373" i="24"/>
  <c r="N373" i="24"/>
  <c r="K373" i="24"/>
  <c r="L373" i="24"/>
  <c r="K376" i="24" l="1"/>
  <c r="L376" i="24"/>
  <c r="K375" i="24"/>
  <c r="L375" i="24"/>
  <c r="M376" i="24"/>
  <c r="N376" i="24"/>
  <c r="M375" i="24"/>
  <c r="N375" i="24"/>
  <c r="M377" i="24" l="1"/>
  <c r="N377" i="24"/>
  <c r="K377" i="24"/>
  <c r="L377" i="24"/>
  <c r="M378" i="24"/>
  <c r="N378" i="24"/>
  <c r="K378" i="24"/>
  <c r="L378" i="24"/>
  <c r="K380" i="24" l="1"/>
  <c r="L380" i="24"/>
  <c r="K379" i="24"/>
  <c r="L379" i="24"/>
  <c r="M380" i="24"/>
  <c r="N380" i="24"/>
  <c r="M379" i="24"/>
  <c r="N379" i="24"/>
  <c r="N381" i="24" l="1"/>
  <c r="M381" i="24"/>
  <c r="L381" i="24"/>
  <c r="K381" i="24"/>
  <c r="M382" i="24"/>
  <c r="N382" i="24"/>
  <c r="K382" i="24"/>
  <c r="L382" i="24"/>
  <c r="K383" i="24" l="1"/>
  <c r="L383" i="24"/>
  <c r="K384" i="24"/>
  <c r="L384" i="24"/>
  <c r="M383" i="24"/>
  <c r="N383" i="24"/>
  <c r="M384" i="24"/>
  <c r="N384" i="24"/>
  <c r="N386" i="24" l="1"/>
  <c r="M386" i="24"/>
  <c r="L386" i="24"/>
  <c r="K386" i="24"/>
  <c r="M385" i="24"/>
  <c r="N385" i="24"/>
  <c r="K385" i="24"/>
  <c r="L385" i="24"/>
  <c r="K388" i="24" l="1"/>
  <c r="L388" i="24"/>
  <c r="K387" i="24"/>
  <c r="L387" i="24"/>
  <c r="M388" i="24"/>
  <c r="N388" i="24"/>
  <c r="M387" i="24"/>
  <c r="N387" i="24"/>
  <c r="K389" i="24" l="1"/>
  <c r="L389" i="24"/>
  <c r="M389" i="24"/>
  <c r="N389" i="24"/>
  <c r="M390" i="24"/>
  <c r="N390" i="24"/>
  <c r="K390" i="24"/>
  <c r="L390" i="24"/>
  <c r="K392" i="24" l="1"/>
  <c r="L392" i="24"/>
  <c r="M391" i="24"/>
  <c r="N391" i="24"/>
  <c r="M392" i="24"/>
  <c r="N392" i="24"/>
  <c r="K391" i="24"/>
  <c r="L391" i="24"/>
  <c r="K393" i="24" l="1"/>
  <c r="L393" i="24"/>
  <c r="M393" i="24"/>
  <c r="N393" i="24"/>
  <c r="M394" i="24"/>
  <c r="N394" i="24"/>
  <c r="K394" i="24"/>
  <c r="L394" i="24"/>
  <c r="K396" i="24" l="1"/>
  <c r="L396" i="24"/>
  <c r="M395" i="24"/>
  <c r="N395" i="24"/>
  <c r="M396" i="24"/>
  <c r="N396" i="24"/>
  <c r="K395" i="24"/>
  <c r="L395" i="24"/>
  <c r="K397" i="24" l="1"/>
  <c r="L397" i="24"/>
  <c r="M397" i="24"/>
  <c r="N397" i="24"/>
  <c r="N398" i="24"/>
  <c r="M398" i="24"/>
  <c r="L398" i="24"/>
  <c r="K398" i="24"/>
  <c r="K400" i="24" l="1"/>
  <c r="L400" i="24"/>
  <c r="M399" i="24"/>
  <c r="N399" i="24"/>
  <c r="M400" i="24"/>
  <c r="N400" i="24"/>
  <c r="K399" i="24"/>
  <c r="L399" i="24"/>
  <c r="K401" i="24" l="1"/>
  <c r="L401" i="24"/>
  <c r="M401" i="24"/>
  <c r="N401" i="24"/>
  <c r="N402" i="24"/>
  <c r="M402" i="24"/>
  <c r="L402" i="24"/>
  <c r="K402" i="24"/>
  <c r="K404" i="24" l="1"/>
  <c r="L404" i="24"/>
  <c r="N403" i="24"/>
  <c r="M403" i="24"/>
  <c r="M404" i="24"/>
  <c r="N404" i="24"/>
  <c r="L403" i="24"/>
  <c r="K403" i="24"/>
  <c r="M405" i="24" l="1"/>
  <c r="N405" i="24"/>
  <c r="K405" i="24"/>
  <c r="L405" i="24"/>
  <c r="N406" i="24"/>
  <c r="M406" i="24"/>
  <c r="L406" i="24"/>
  <c r="K406" i="24"/>
  <c r="K408" i="24" l="1"/>
  <c r="L408" i="24"/>
  <c r="K407" i="24"/>
  <c r="L407" i="24"/>
  <c r="M408" i="24"/>
  <c r="N408" i="24"/>
  <c r="M407" i="24"/>
  <c r="N407" i="24"/>
  <c r="M409" i="24" l="1"/>
  <c r="N409" i="24"/>
  <c r="K409" i="24"/>
  <c r="L409" i="24"/>
  <c r="M410" i="24"/>
  <c r="N410" i="24"/>
  <c r="K410" i="24"/>
  <c r="L410" i="24"/>
  <c r="K412" i="24" l="1"/>
  <c r="L412" i="24"/>
  <c r="K411" i="24"/>
  <c r="L411" i="24"/>
  <c r="M412" i="24"/>
  <c r="N412" i="24"/>
  <c r="M411" i="24"/>
  <c r="N411" i="24"/>
  <c r="N413" i="24" l="1"/>
  <c r="M413" i="24"/>
  <c r="L413" i="24"/>
  <c r="K413" i="24"/>
  <c r="M414" i="24"/>
  <c r="N414" i="24"/>
  <c r="K414" i="24"/>
  <c r="L414" i="24"/>
  <c r="L415" i="24" l="1"/>
  <c r="K415" i="24"/>
  <c r="K416" i="24"/>
  <c r="L416" i="24"/>
  <c r="N415" i="24"/>
  <c r="M415" i="24"/>
  <c r="M416" i="24"/>
  <c r="N416" i="24"/>
  <c r="N418" i="24" l="1"/>
  <c r="M418" i="24"/>
  <c r="L418" i="24"/>
  <c r="K418" i="24"/>
  <c r="M417" i="24"/>
  <c r="N417" i="24"/>
  <c r="K417" i="24"/>
  <c r="L417" i="24"/>
  <c r="L420" i="24" l="1"/>
  <c r="K420" i="24"/>
  <c r="K419" i="24"/>
  <c r="L419" i="24"/>
  <c r="M420" i="24"/>
  <c r="N420" i="24"/>
  <c r="M419" i="24"/>
  <c r="N419" i="24"/>
  <c r="M421" i="24" l="1"/>
  <c r="N421" i="24"/>
  <c r="K421" i="24"/>
  <c r="L421" i="24"/>
  <c r="K422" i="24"/>
  <c r="L422" i="24"/>
  <c r="M422" i="24"/>
  <c r="N422" i="24"/>
  <c r="M424" i="24" l="1"/>
  <c r="N424" i="24"/>
  <c r="K423" i="24"/>
  <c r="L423" i="24"/>
  <c r="K424" i="24"/>
  <c r="L424" i="24"/>
  <c r="M423" i="24"/>
  <c r="N423" i="24"/>
  <c r="K425" i="24" l="1"/>
  <c r="L425" i="24"/>
  <c r="M425" i="24"/>
  <c r="N425" i="24"/>
  <c r="K426" i="24"/>
  <c r="L426" i="24"/>
  <c r="M426" i="24"/>
  <c r="N426" i="24"/>
  <c r="M428" i="24" l="1"/>
  <c r="N428" i="24"/>
  <c r="M427" i="24"/>
  <c r="N427" i="24"/>
  <c r="K428" i="24"/>
  <c r="L428" i="24"/>
  <c r="K427" i="24"/>
  <c r="L427" i="24"/>
  <c r="M429" i="24" l="1"/>
  <c r="N429" i="24"/>
  <c r="K429" i="24"/>
  <c r="L429" i="24"/>
  <c r="L430" i="24"/>
  <c r="K430" i="24"/>
  <c r="N430" i="24"/>
  <c r="M430" i="24"/>
</calcChain>
</file>

<file path=xl/sharedStrings.xml><?xml version="1.0" encoding="utf-8"?>
<sst xmlns="http://schemas.openxmlformats.org/spreadsheetml/2006/main" count="275" uniqueCount="71">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</sst>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6"/>
      <color rgb="FF000000"/>
      <name val="HGS創英角ｺﾞｼｯｸUB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8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1" fillId="0" borderId="0" xfId="0" applyFo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1" fillId="0" borderId="0" xfId="0" applyFont="1" applyBorder="1" applyAlignment="1">
      <alignment vertical="center" shrinkToFit="1"/>
    </xf>
    <xf numFmtId="0" fontId="21" fillId="0" borderId="0" xfId="0" applyFont="1" applyFill="1" applyBorder="1" applyAlignment="1">
      <alignment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20" xfId="0" applyFont="1" applyFill="1" applyBorder="1" applyAlignment="1">
      <alignment vertical="center"/>
    </xf>
    <xf numFmtId="0" fontId="23" fillId="0" borderId="0" xfId="0" applyFont="1" applyFill="1">
      <alignment vertical="center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right" vertical="center" shrinkToFit="1"/>
    </xf>
    <xf numFmtId="0" fontId="21" fillId="0" borderId="73" xfId="0" applyFont="1" applyBorder="1" applyAlignment="1">
      <alignment horizontal="right" vertical="center" shrinkToFit="1"/>
    </xf>
    <xf numFmtId="0" fontId="21" fillId="8" borderId="76" xfId="0" applyFont="1" applyFill="1" applyBorder="1" applyAlignment="1">
      <alignment horizontal="right" vertical="center" shrinkToFit="1"/>
    </xf>
    <xf numFmtId="0" fontId="25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1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3" fillId="3" borderId="83" xfId="0" applyFont="1" applyFill="1" applyBorder="1" applyAlignment="1" applyProtection="1">
      <alignment horizontal="center" vertical="center"/>
      <protection locked="0"/>
    </xf>
    <xf numFmtId="0" fontId="23" fillId="9" borderId="83" xfId="0" applyFont="1" applyFill="1" applyBorder="1" applyAlignment="1" applyProtection="1">
      <alignment horizontal="center" vertical="center"/>
      <protection locked="0"/>
    </xf>
    <xf numFmtId="0" fontId="23" fillId="0" borderId="1" xfId="0" applyFont="1" applyFill="1" applyBorder="1" applyAlignment="1">
      <alignment horizontal="center" vertical="center" shrinkToFit="1"/>
    </xf>
    <xf numFmtId="0" fontId="23" fillId="0" borderId="53" xfId="0" applyFont="1" applyFill="1" applyBorder="1" applyAlignment="1">
      <alignment horizontal="center" vertical="center" shrinkToFit="1"/>
    </xf>
    <xf numFmtId="0" fontId="23" fillId="0" borderId="59" xfId="0" applyFont="1" applyFill="1" applyBorder="1" applyAlignment="1">
      <alignment horizontal="center" vertical="center" shrinkToFit="1"/>
    </xf>
    <xf numFmtId="0" fontId="23" fillId="0" borderId="5" xfId="0" applyFont="1" applyFill="1" applyBorder="1" applyAlignment="1">
      <alignment horizontal="center" vertical="center" shrinkToFit="1"/>
    </xf>
    <xf numFmtId="0" fontId="23" fillId="0" borderId="1" xfId="0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3" fillId="0" borderId="0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3" fillId="11" borderId="40" xfId="0" applyFont="1" applyFill="1" applyBorder="1" applyAlignment="1">
      <alignment horizontal="center" vertical="center"/>
    </xf>
    <xf numFmtId="0" fontId="23" fillId="11" borderId="1" xfId="0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center" vertical="center"/>
      <protection locked="0"/>
    </xf>
    <xf numFmtId="0" fontId="23" fillId="11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0" fontId="27" fillId="0" borderId="24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Alignment="1" applyProtection="1">
      <alignment horizontal="center" vertical="center"/>
      <protection locked="0"/>
    </xf>
    <xf numFmtId="0" fontId="27" fillId="0" borderId="22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19" xfId="0" applyFont="1" applyFill="1" applyBorder="1" applyAlignment="1" applyProtection="1">
      <alignment horizontal="center" vertical="center"/>
      <protection locked="0"/>
    </xf>
    <xf numFmtId="0" fontId="27" fillId="0" borderId="20" xfId="0" applyFont="1" applyFill="1" applyBorder="1" applyAlignment="1" applyProtection="1">
      <alignment horizontal="center" vertical="center"/>
      <protection locked="0"/>
    </xf>
    <xf numFmtId="0" fontId="23" fillId="0" borderId="23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17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82" xfId="0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textRotation="255"/>
    </xf>
    <xf numFmtId="0" fontId="21" fillId="0" borderId="0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101" xfId="0" applyNumberFormat="1" applyFont="1" applyBorder="1" applyAlignment="1">
      <alignment horizontal="center" vertical="center"/>
    </xf>
    <xf numFmtId="177" fontId="21" fillId="0" borderId="102" xfId="0" applyNumberFormat="1" applyFont="1" applyBorder="1" applyAlignment="1">
      <alignment horizontal="center" vertical="center"/>
    </xf>
    <xf numFmtId="177" fontId="21" fillId="0" borderId="103" xfId="0" applyNumberFormat="1" applyFont="1" applyBorder="1" applyAlignment="1">
      <alignment horizontal="center" vertical="center"/>
    </xf>
    <xf numFmtId="177" fontId="21" fillId="0" borderId="104" xfId="0" applyNumberFormat="1" applyFont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11" borderId="2" xfId="0" applyFont="1" applyFill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0" xfId="0" applyFont="1" applyFill="1" applyBorder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21" fillId="0" borderId="2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21" fillId="0" borderId="74" xfId="0" applyFont="1" applyBorder="1" applyAlignment="1">
      <alignment horizontal="center" vertical="center" shrinkToFit="1"/>
    </xf>
    <xf numFmtId="0" fontId="21" fillId="8" borderId="77" xfId="0" applyFont="1" applyFill="1" applyBorder="1" applyAlignment="1">
      <alignment horizontal="center" vertical="center" shrinkToFit="1"/>
    </xf>
    <xf numFmtId="0" fontId="21" fillId="8" borderId="78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3" fillId="0" borderId="1" xfId="0" applyFont="1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9" fontId="21" fillId="0" borderId="0" xfId="3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9" fontId="21" fillId="0" borderId="1" xfId="3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9" fontId="21" fillId="8" borderId="77" xfId="3" applyFont="1" applyFill="1" applyBorder="1" applyAlignment="1">
      <alignment horizontal="center" vertical="center" shrinkToFit="1"/>
    </xf>
    <xf numFmtId="9" fontId="21" fillId="8" borderId="78" xfId="3" applyFont="1" applyFill="1" applyBorder="1" applyAlignment="1">
      <alignment horizontal="center" vertical="center" shrinkToFit="1"/>
    </xf>
    <xf numFmtId="0" fontId="25" fillId="8" borderId="77" xfId="0" applyFont="1" applyFill="1" applyBorder="1" applyAlignment="1">
      <alignment horizontal="center" vertical="center" shrinkToFit="1"/>
    </xf>
    <xf numFmtId="0" fontId="25" fillId="8" borderId="80" xfId="0" applyFont="1" applyFill="1" applyBorder="1" applyAlignment="1">
      <alignment horizontal="center" vertical="center" shrinkToFit="1"/>
    </xf>
    <xf numFmtId="0" fontId="25" fillId="8" borderId="78" xfId="0" applyFont="1" applyFill="1" applyBorder="1" applyAlignment="1">
      <alignment horizontal="center" vertical="center" shrinkToFit="1"/>
    </xf>
    <xf numFmtId="0" fontId="21" fillId="8" borderId="81" xfId="0" applyFont="1" applyFill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0" fontId="21" fillId="7" borderId="19" xfId="0" applyFont="1" applyFill="1" applyBorder="1" applyAlignment="1">
      <alignment horizontal="center" vertical="center" shrinkToFit="1"/>
    </xf>
    <xf numFmtId="0" fontId="21" fillId="7" borderId="26" xfId="0" applyFont="1" applyFill="1" applyBorder="1" applyAlignment="1">
      <alignment horizontal="center" vertical="center" shrinkToFit="1"/>
    </xf>
    <xf numFmtId="9" fontId="21" fillId="0" borderId="19" xfId="3" applyFont="1" applyBorder="1" applyAlignment="1">
      <alignment horizontal="center" vertical="center" shrinkToFit="1"/>
    </xf>
    <xf numFmtId="9" fontId="21" fillId="0" borderId="26" xfId="3" applyFont="1" applyBorder="1" applyAlignment="1">
      <alignment horizontal="center" vertical="center" shrinkToFit="1"/>
    </xf>
    <xf numFmtId="0" fontId="25" fillId="0" borderId="19" xfId="0" applyFont="1" applyBorder="1" applyAlignment="1">
      <alignment horizontal="center" vertical="center" shrinkToFit="1"/>
    </xf>
    <xf numFmtId="0" fontId="25" fillId="0" borderId="20" xfId="0" applyFont="1" applyBorder="1" applyAlignment="1">
      <alignment horizontal="center" vertical="center" shrinkToFit="1"/>
    </xf>
    <xf numFmtId="0" fontId="25" fillId="0" borderId="26" xfId="0" applyFont="1" applyBorder="1" applyAlignment="1">
      <alignment horizontal="center" vertical="center" shrinkToFit="1"/>
    </xf>
    <xf numFmtId="0" fontId="21" fillId="0" borderId="75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 applyProtection="1">
      <alignment horizontal="center" vertical="center" shrinkToFit="1"/>
      <protection locked="0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  <xf numFmtId="0" fontId="0" fillId="0" borderId="20" xfId="0" applyFill="1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8"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D8F41243-8394-C900-5D76-57EDD54374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0</xdr:row>
          <xdr:rowOff>342900</xdr:rowOff>
        </xdr:from>
        <xdr:to>
          <xdr:col>3</xdr:col>
          <xdr:colOff>927100</xdr:colOff>
          <xdr:row>0</xdr:row>
          <xdr:rowOff>863600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HGS創英角ｺﾞｼｯｸUB" charset="-128"/>
                  <a:ea typeface="HGS創英角ｺﾞｼｯｸUB" charset="-128"/>
                </a:rPr>
                <a:t>追試者一覧作成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296334</xdr:colOff>
      <xdr:row>1</xdr:row>
      <xdr:rowOff>116416</xdr:rowOff>
    </xdr:from>
    <xdr:to>
      <xdr:col>19</xdr:col>
      <xdr:colOff>254000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646334" y="1248833"/>
          <a:ext cx="6053666" cy="2190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</a:rPr>
            <a:t>【</a:t>
          </a:r>
          <a:r>
            <a:rPr kumimoji="1" lang="ja-JP" altLang="en-US" sz="1400">
              <a:solidFill>
                <a:schemeClr val="tx1"/>
              </a:solidFill>
            </a:rPr>
            <a:t>使い方</a:t>
          </a:r>
          <a:r>
            <a:rPr kumimoji="1" lang="en-US" altLang="ja-JP" sz="14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１．「追試者一覧作成」ボタンを押し、追試者の一覧を作成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２．一覧に記載された追試者の素点（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列）が空欄になっていることを確認し、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「す」の入力書式に値貼付けする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</a:t>
          </a:r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tabSelected="1" view="pageBreakPreview" zoomScale="136" zoomScaleNormal="100" zoomScaleSheetLayoutView="207" workbookViewId="0">
      <selection activeCell="C38" sqref="C38:J41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172" t="s">
        <v>38</v>
      </c>
      <c r="D3" s="172"/>
      <c r="E3" s="172"/>
      <c r="F3" s="172"/>
      <c r="G3" s="172"/>
      <c r="H3" s="172"/>
      <c r="I3" s="172"/>
      <c r="J3" s="172"/>
      <c r="K3" s="75"/>
      <c r="L3" s="75"/>
      <c r="M3" s="75"/>
    </row>
    <row r="4" spans="2:50" ht="9" customHeight="1">
      <c r="C4" s="172"/>
      <c r="D4" s="172"/>
      <c r="E4" s="172"/>
      <c r="F4" s="172"/>
      <c r="G4" s="172"/>
      <c r="H4" s="172"/>
      <c r="I4" s="172"/>
      <c r="J4" s="172"/>
      <c r="K4" s="75"/>
      <c r="L4" s="75"/>
      <c r="M4" s="75"/>
    </row>
    <row r="5" spans="2:50" ht="9" customHeight="1" thickBot="1">
      <c r="B5" s="14"/>
      <c r="C5" s="173"/>
      <c r="D5" s="173"/>
      <c r="E5" s="173"/>
      <c r="F5" s="173"/>
      <c r="G5" s="173"/>
      <c r="H5" s="173"/>
      <c r="I5" s="173"/>
      <c r="J5" s="173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78" t="s">
        <v>36</v>
      </c>
      <c r="D6" s="178"/>
      <c r="E6" s="178"/>
      <c r="F6" s="178"/>
      <c r="G6" s="174">
        <v>1</v>
      </c>
      <c r="H6" s="174"/>
      <c r="I6" s="174"/>
      <c r="J6" s="174"/>
      <c r="K6" s="174">
        <v>2</v>
      </c>
      <c r="L6" s="174"/>
      <c r="M6" s="174"/>
      <c r="N6" s="174"/>
      <c r="O6" s="174">
        <v>3</v>
      </c>
      <c r="P6" s="174"/>
      <c r="Q6" s="174"/>
      <c r="R6" s="174"/>
      <c r="S6" s="174">
        <v>4</v>
      </c>
      <c r="T6" s="174"/>
      <c r="U6" s="174"/>
      <c r="V6" s="174"/>
      <c r="W6" s="174">
        <v>5</v>
      </c>
      <c r="X6" s="174"/>
      <c r="Y6" s="174"/>
      <c r="Z6" s="174"/>
      <c r="AA6" s="174">
        <v>6</v>
      </c>
      <c r="AB6" s="174"/>
      <c r="AC6" s="174"/>
      <c r="AD6" s="174"/>
      <c r="AE6" s="174">
        <v>7</v>
      </c>
      <c r="AF6" s="174"/>
      <c r="AG6" s="174"/>
      <c r="AH6" s="174"/>
      <c r="AI6" s="174">
        <v>8</v>
      </c>
      <c r="AJ6" s="174"/>
      <c r="AK6" s="174"/>
      <c r="AL6" s="174"/>
      <c r="AM6" s="174">
        <v>9</v>
      </c>
      <c r="AN6" s="174"/>
      <c r="AO6" s="174"/>
      <c r="AP6" s="174"/>
      <c r="AQ6" s="174"/>
      <c r="AR6" s="174"/>
      <c r="AS6" s="174"/>
      <c r="AT6" s="190"/>
      <c r="AU6" s="191" t="s">
        <v>24</v>
      </c>
      <c r="AV6" s="192"/>
      <c r="AW6" s="192"/>
      <c r="AX6" s="193"/>
    </row>
    <row r="7" spans="2:50" ht="9" customHeight="1">
      <c r="B7" s="14"/>
      <c r="C7" s="178"/>
      <c r="D7" s="178"/>
      <c r="E7" s="178"/>
      <c r="F7" s="178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90"/>
      <c r="AU7" s="194"/>
      <c r="AV7" s="178"/>
      <c r="AW7" s="178"/>
      <c r="AX7" s="195"/>
    </row>
    <row r="8" spans="2:50" ht="9" customHeight="1">
      <c r="B8" s="14"/>
      <c r="C8" s="178"/>
      <c r="D8" s="178"/>
      <c r="E8" s="178"/>
      <c r="F8" s="178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74"/>
      <c r="AG8" s="174"/>
      <c r="AH8" s="174"/>
      <c r="AI8" s="174"/>
      <c r="AJ8" s="174"/>
      <c r="AK8" s="174"/>
      <c r="AL8" s="174"/>
      <c r="AM8" s="174"/>
      <c r="AN8" s="174"/>
      <c r="AO8" s="174"/>
      <c r="AP8" s="174"/>
      <c r="AQ8" s="174"/>
      <c r="AR8" s="174"/>
      <c r="AS8" s="174"/>
      <c r="AT8" s="190"/>
      <c r="AU8" s="194"/>
      <c r="AV8" s="178"/>
      <c r="AW8" s="178"/>
      <c r="AX8" s="195"/>
    </row>
    <row r="9" spans="2:50" ht="9" customHeight="1">
      <c r="B9" s="14"/>
      <c r="C9" s="178"/>
      <c r="D9" s="178"/>
      <c r="E9" s="178"/>
      <c r="F9" s="178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4"/>
      <c r="AD9" s="174"/>
      <c r="AE9" s="174"/>
      <c r="AF9" s="174"/>
      <c r="AG9" s="174"/>
      <c r="AH9" s="174"/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90"/>
      <c r="AU9" s="194"/>
      <c r="AV9" s="178"/>
      <c r="AW9" s="178"/>
      <c r="AX9" s="195"/>
    </row>
    <row r="10" spans="2:50" ht="9" customHeight="1">
      <c r="B10" s="14"/>
      <c r="C10" s="178" t="s">
        <v>37</v>
      </c>
      <c r="D10" s="178"/>
      <c r="E10" s="178"/>
      <c r="F10" s="178"/>
      <c r="G10" s="179">
        <v>40</v>
      </c>
      <c r="H10" s="179"/>
      <c r="I10" s="179"/>
      <c r="J10" s="179"/>
      <c r="K10" s="180">
        <v>40</v>
      </c>
      <c r="L10" s="181"/>
      <c r="M10" s="181"/>
      <c r="N10" s="182"/>
      <c r="O10" s="180">
        <v>40</v>
      </c>
      <c r="P10" s="181"/>
      <c r="Q10" s="181"/>
      <c r="R10" s="182"/>
      <c r="S10" s="180">
        <v>40</v>
      </c>
      <c r="T10" s="181"/>
      <c r="U10" s="181"/>
      <c r="V10" s="182"/>
      <c r="W10" s="180">
        <v>40</v>
      </c>
      <c r="X10" s="181"/>
      <c r="Y10" s="181"/>
      <c r="Z10" s="182"/>
      <c r="AA10" s="180">
        <v>40</v>
      </c>
      <c r="AB10" s="181"/>
      <c r="AC10" s="181"/>
      <c r="AD10" s="182"/>
      <c r="AE10" s="180">
        <v>40</v>
      </c>
      <c r="AF10" s="181"/>
      <c r="AG10" s="181"/>
      <c r="AH10" s="182"/>
      <c r="AI10" s="180">
        <v>40</v>
      </c>
      <c r="AJ10" s="181"/>
      <c r="AK10" s="181"/>
      <c r="AL10" s="182"/>
      <c r="AM10" s="180">
        <v>40</v>
      </c>
      <c r="AN10" s="181"/>
      <c r="AO10" s="181"/>
      <c r="AP10" s="182"/>
      <c r="AQ10" s="180"/>
      <c r="AR10" s="181"/>
      <c r="AS10" s="181"/>
      <c r="AT10" s="181"/>
      <c r="AU10" s="196">
        <f>SUM(G10:AT13)</f>
        <v>360</v>
      </c>
      <c r="AV10" s="197"/>
      <c r="AW10" s="197"/>
      <c r="AX10" s="198"/>
    </row>
    <row r="11" spans="2:50" ht="9" customHeight="1">
      <c r="B11" s="14"/>
      <c r="C11" s="178"/>
      <c r="D11" s="178"/>
      <c r="E11" s="178"/>
      <c r="F11" s="178"/>
      <c r="G11" s="179"/>
      <c r="H11" s="179"/>
      <c r="I11" s="179"/>
      <c r="J11" s="179"/>
      <c r="K11" s="183"/>
      <c r="L11" s="184"/>
      <c r="M11" s="184"/>
      <c r="N11" s="185"/>
      <c r="O11" s="183"/>
      <c r="P11" s="184"/>
      <c r="Q11" s="184"/>
      <c r="R11" s="185"/>
      <c r="S11" s="183"/>
      <c r="T11" s="184"/>
      <c r="U11" s="184"/>
      <c r="V11" s="185"/>
      <c r="W11" s="183"/>
      <c r="X11" s="184"/>
      <c r="Y11" s="184"/>
      <c r="Z11" s="185"/>
      <c r="AA11" s="183"/>
      <c r="AB11" s="184"/>
      <c r="AC11" s="184"/>
      <c r="AD11" s="185"/>
      <c r="AE11" s="183"/>
      <c r="AF11" s="184"/>
      <c r="AG11" s="184"/>
      <c r="AH11" s="185"/>
      <c r="AI11" s="183"/>
      <c r="AJ11" s="184"/>
      <c r="AK11" s="184"/>
      <c r="AL11" s="185"/>
      <c r="AM11" s="183"/>
      <c r="AN11" s="184"/>
      <c r="AO11" s="184"/>
      <c r="AP11" s="185"/>
      <c r="AQ11" s="183"/>
      <c r="AR11" s="184"/>
      <c r="AS11" s="184"/>
      <c r="AT11" s="184"/>
      <c r="AU11" s="196"/>
      <c r="AV11" s="197"/>
      <c r="AW11" s="197"/>
      <c r="AX11" s="198"/>
    </row>
    <row r="12" spans="2:50" ht="9" customHeight="1">
      <c r="B12" s="14"/>
      <c r="C12" s="178"/>
      <c r="D12" s="178"/>
      <c r="E12" s="178"/>
      <c r="F12" s="178"/>
      <c r="G12" s="179"/>
      <c r="H12" s="179"/>
      <c r="I12" s="179"/>
      <c r="J12" s="179"/>
      <c r="K12" s="183"/>
      <c r="L12" s="184"/>
      <c r="M12" s="184"/>
      <c r="N12" s="185"/>
      <c r="O12" s="183"/>
      <c r="P12" s="184"/>
      <c r="Q12" s="184"/>
      <c r="R12" s="185"/>
      <c r="S12" s="183"/>
      <c r="T12" s="184"/>
      <c r="U12" s="184"/>
      <c r="V12" s="185"/>
      <c r="W12" s="183"/>
      <c r="X12" s="184"/>
      <c r="Y12" s="184"/>
      <c r="Z12" s="185"/>
      <c r="AA12" s="183"/>
      <c r="AB12" s="184"/>
      <c r="AC12" s="184"/>
      <c r="AD12" s="185"/>
      <c r="AE12" s="183"/>
      <c r="AF12" s="184"/>
      <c r="AG12" s="184"/>
      <c r="AH12" s="185"/>
      <c r="AI12" s="183"/>
      <c r="AJ12" s="184"/>
      <c r="AK12" s="184"/>
      <c r="AL12" s="185"/>
      <c r="AM12" s="183"/>
      <c r="AN12" s="184"/>
      <c r="AO12" s="184"/>
      <c r="AP12" s="185"/>
      <c r="AQ12" s="183"/>
      <c r="AR12" s="184"/>
      <c r="AS12" s="184"/>
      <c r="AT12" s="184"/>
      <c r="AU12" s="196"/>
      <c r="AV12" s="197"/>
      <c r="AW12" s="197"/>
      <c r="AX12" s="198"/>
    </row>
    <row r="13" spans="2:50" ht="9" customHeight="1" thickBot="1">
      <c r="B13" s="14"/>
      <c r="C13" s="178"/>
      <c r="D13" s="178"/>
      <c r="E13" s="178"/>
      <c r="F13" s="178"/>
      <c r="G13" s="179"/>
      <c r="H13" s="179"/>
      <c r="I13" s="179"/>
      <c r="J13" s="179"/>
      <c r="K13" s="186"/>
      <c r="L13" s="187"/>
      <c r="M13" s="187"/>
      <c r="N13" s="188"/>
      <c r="O13" s="186"/>
      <c r="P13" s="187"/>
      <c r="Q13" s="187"/>
      <c r="R13" s="188"/>
      <c r="S13" s="186"/>
      <c r="T13" s="187"/>
      <c r="U13" s="187"/>
      <c r="V13" s="188"/>
      <c r="W13" s="186"/>
      <c r="X13" s="187"/>
      <c r="Y13" s="187"/>
      <c r="Z13" s="188"/>
      <c r="AA13" s="186"/>
      <c r="AB13" s="187"/>
      <c r="AC13" s="187"/>
      <c r="AD13" s="188"/>
      <c r="AE13" s="186"/>
      <c r="AF13" s="187"/>
      <c r="AG13" s="187"/>
      <c r="AH13" s="188"/>
      <c r="AI13" s="186"/>
      <c r="AJ13" s="187"/>
      <c r="AK13" s="187"/>
      <c r="AL13" s="188"/>
      <c r="AM13" s="186"/>
      <c r="AN13" s="187"/>
      <c r="AO13" s="187"/>
      <c r="AP13" s="188"/>
      <c r="AQ13" s="186"/>
      <c r="AR13" s="187"/>
      <c r="AS13" s="187"/>
      <c r="AT13" s="187"/>
      <c r="AU13" s="199"/>
      <c r="AV13" s="200"/>
      <c r="AW13" s="200"/>
      <c r="AX13" s="201"/>
    </row>
    <row r="14" spans="2:50" ht="9" customHeight="1">
      <c r="B14" s="14"/>
      <c r="C14" s="178" t="s">
        <v>46</v>
      </c>
      <c r="D14" s="178"/>
      <c r="E14" s="178"/>
      <c r="F14" s="178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R14" s="177"/>
      <c r="AS14" s="177"/>
      <c r="AT14" s="177"/>
      <c r="AU14" s="56"/>
      <c r="AV14" s="56"/>
      <c r="AW14" s="56"/>
      <c r="AX14" s="56"/>
    </row>
    <row r="15" spans="2:50" ht="9" customHeight="1">
      <c r="B15" s="14"/>
      <c r="C15" s="178"/>
      <c r="D15" s="178"/>
      <c r="E15" s="178"/>
      <c r="F15" s="178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177"/>
      <c r="AT15" s="177"/>
      <c r="AU15" s="56"/>
      <c r="AV15" s="56"/>
      <c r="AW15" s="56"/>
      <c r="AX15" s="56"/>
    </row>
    <row r="16" spans="2:50" ht="9" customHeight="1">
      <c r="B16" s="14"/>
      <c r="C16" s="178"/>
      <c r="D16" s="178"/>
      <c r="E16" s="178"/>
      <c r="F16" s="178"/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  <c r="AQ16" s="177"/>
      <c r="AR16" s="177"/>
      <c r="AS16" s="177"/>
      <c r="AT16" s="177"/>
      <c r="AU16" s="56"/>
      <c r="AV16" s="56"/>
      <c r="AW16" s="56"/>
      <c r="AX16" s="56"/>
    </row>
    <row r="17" spans="2:50" ht="9" customHeight="1">
      <c r="B17" s="14"/>
      <c r="C17" s="178"/>
      <c r="D17" s="178"/>
      <c r="E17" s="178"/>
      <c r="F17" s="178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217" t="s">
        <v>51</v>
      </c>
      <c r="D21" s="217"/>
      <c r="E21" s="217"/>
      <c r="F21" s="217"/>
      <c r="G21" s="217"/>
      <c r="H21" s="217"/>
      <c r="I21" s="217"/>
      <c r="J21" s="217"/>
      <c r="K21" s="75"/>
      <c r="L21" s="75"/>
      <c r="M21" s="75"/>
    </row>
    <row r="22" spans="2:50" ht="9" customHeight="1">
      <c r="B22" s="14"/>
      <c r="C22" s="217"/>
      <c r="D22" s="217"/>
      <c r="E22" s="217"/>
      <c r="F22" s="217"/>
      <c r="G22" s="217"/>
      <c r="H22" s="217"/>
      <c r="I22" s="217"/>
      <c r="J22" s="217"/>
      <c r="K22" s="75"/>
      <c r="L22" s="75"/>
      <c r="M22" s="75"/>
    </row>
    <row r="23" spans="2:50" ht="9" customHeight="1">
      <c r="B23" s="14"/>
      <c r="C23" s="218"/>
      <c r="D23" s="218"/>
      <c r="E23" s="218"/>
      <c r="F23" s="218"/>
      <c r="G23" s="218"/>
      <c r="H23" s="218"/>
      <c r="I23" s="218"/>
      <c r="J23" s="218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175"/>
      <c r="D24" s="175"/>
      <c r="E24" s="175"/>
      <c r="F24" s="175"/>
      <c r="G24" s="176" t="s">
        <v>0</v>
      </c>
      <c r="H24" s="176"/>
      <c r="I24" s="176"/>
      <c r="J24" s="176"/>
      <c r="K24" s="176" t="s">
        <v>1</v>
      </c>
      <c r="L24" s="176"/>
      <c r="M24" s="176"/>
      <c r="N24" s="176"/>
      <c r="O24" s="176" t="s">
        <v>2</v>
      </c>
      <c r="P24" s="176"/>
      <c r="Q24" s="176"/>
      <c r="R24" s="176"/>
      <c r="S24" s="176" t="s">
        <v>3</v>
      </c>
      <c r="T24" s="176"/>
      <c r="U24" s="176"/>
      <c r="V24" s="176"/>
      <c r="W24" s="176" t="s">
        <v>4</v>
      </c>
      <c r="X24" s="176"/>
      <c r="Y24" s="176"/>
      <c r="Z24" s="176"/>
      <c r="AA24" s="176" t="s">
        <v>5</v>
      </c>
      <c r="AB24" s="176"/>
      <c r="AC24" s="176"/>
      <c r="AD24" s="176"/>
      <c r="AE24" s="176" t="s">
        <v>6</v>
      </c>
      <c r="AF24" s="176"/>
      <c r="AG24" s="176"/>
      <c r="AH24" s="176"/>
      <c r="AI24" s="176" t="s">
        <v>20</v>
      </c>
      <c r="AJ24" s="176"/>
      <c r="AK24" s="176"/>
      <c r="AL24" s="176"/>
      <c r="AM24" s="176" t="s">
        <v>40</v>
      </c>
      <c r="AN24" s="176"/>
      <c r="AO24" s="176"/>
      <c r="AP24" s="176"/>
      <c r="AQ24" s="176" t="s">
        <v>41</v>
      </c>
      <c r="AR24" s="176"/>
      <c r="AS24" s="176"/>
      <c r="AT24" s="176"/>
    </row>
    <row r="25" spans="2:50" ht="9" customHeight="1">
      <c r="B25" s="14"/>
      <c r="C25" s="175"/>
      <c r="D25" s="175"/>
      <c r="E25" s="175"/>
      <c r="F25" s="175"/>
      <c r="G25" s="176"/>
      <c r="H25" s="176"/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6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76"/>
      <c r="AH25" s="176"/>
      <c r="AI25" s="176"/>
      <c r="AJ25" s="176"/>
      <c r="AK25" s="176"/>
      <c r="AL25" s="176"/>
      <c r="AM25" s="176"/>
      <c r="AN25" s="176"/>
      <c r="AO25" s="176"/>
      <c r="AP25" s="176"/>
      <c r="AQ25" s="176"/>
      <c r="AR25" s="176"/>
      <c r="AS25" s="176"/>
      <c r="AT25" s="176"/>
    </row>
    <row r="26" spans="2:50" ht="9" customHeight="1">
      <c r="B26" s="14"/>
      <c r="C26" s="175"/>
      <c r="D26" s="175"/>
      <c r="E26" s="175"/>
      <c r="F26" s="175"/>
      <c r="G26" s="176"/>
      <c r="H26" s="176"/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176"/>
      <c r="AH26" s="176"/>
      <c r="AI26" s="176"/>
      <c r="AJ26" s="176"/>
      <c r="AK26" s="176"/>
      <c r="AL26" s="176"/>
      <c r="AM26" s="176"/>
      <c r="AN26" s="176"/>
      <c r="AO26" s="176"/>
      <c r="AP26" s="176"/>
      <c r="AQ26" s="176"/>
      <c r="AR26" s="176"/>
      <c r="AS26" s="176"/>
      <c r="AT26" s="176"/>
    </row>
    <row r="27" spans="2:50" ht="9" customHeight="1">
      <c r="B27" s="14"/>
      <c r="C27" s="175"/>
      <c r="D27" s="175"/>
      <c r="E27" s="175"/>
      <c r="F27" s="175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76"/>
      <c r="AA27" s="176"/>
      <c r="AB27" s="176"/>
      <c r="AC27" s="176"/>
      <c r="AD27" s="176"/>
      <c r="AE27" s="176"/>
      <c r="AF27" s="176"/>
      <c r="AG27" s="176"/>
      <c r="AH27" s="176"/>
      <c r="AI27" s="176"/>
      <c r="AJ27" s="176"/>
      <c r="AK27" s="176"/>
      <c r="AL27" s="176"/>
      <c r="AM27" s="176"/>
      <c r="AN27" s="176"/>
      <c r="AO27" s="176"/>
      <c r="AP27" s="176"/>
      <c r="AQ27" s="176"/>
      <c r="AR27" s="176"/>
      <c r="AS27" s="176"/>
      <c r="AT27" s="176"/>
    </row>
    <row r="28" spans="2:50" ht="11" customHeight="1">
      <c r="B28" s="14"/>
      <c r="C28" s="178" t="s">
        <v>22</v>
      </c>
      <c r="D28" s="178"/>
      <c r="E28" s="178"/>
      <c r="F28" s="178"/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  <c r="R28" s="189"/>
      <c r="S28" s="189"/>
      <c r="T28" s="189"/>
      <c r="U28" s="189"/>
      <c r="V28" s="189"/>
      <c r="W28" s="189"/>
      <c r="X28" s="189"/>
      <c r="Y28" s="189"/>
      <c r="Z28" s="189"/>
      <c r="AA28" s="189"/>
      <c r="AB28" s="189"/>
      <c r="AC28" s="189"/>
      <c r="AD28" s="189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</row>
    <row r="29" spans="2:50" ht="11" customHeight="1">
      <c r="B29" s="14"/>
      <c r="C29" s="178"/>
      <c r="D29" s="178"/>
      <c r="E29" s="178"/>
      <c r="F29" s="178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  <c r="AC29" s="189"/>
      <c r="AD29" s="189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0" ht="11" customHeight="1">
      <c r="B30" s="14"/>
      <c r="C30" s="178"/>
      <c r="D30" s="178"/>
      <c r="E30" s="178"/>
      <c r="F30" s="178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  <c r="AC30" s="189"/>
      <c r="AD30" s="189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0" ht="11" customHeight="1">
      <c r="B31" s="14"/>
      <c r="C31" s="178"/>
      <c r="D31" s="178"/>
      <c r="E31" s="178"/>
      <c r="F31" s="178"/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89"/>
      <c r="W31" s="189"/>
      <c r="X31" s="189"/>
      <c r="Y31" s="189"/>
      <c r="Z31" s="189"/>
      <c r="AA31" s="189"/>
      <c r="AB31" s="189"/>
      <c r="AC31" s="189"/>
      <c r="AD31" s="189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29" ht="9" customHeight="1">
      <c r="B33" s="1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29" ht="9" customHeight="1">
      <c r="B34" s="14"/>
      <c r="C34" s="56"/>
      <c r="D34" s="56"/>
      <c r="E34" s="56"/>
      <c r="F34" s="56"/>
      <c r="G34" s="56"/>
      <c r="H34" s="56"/>
      <c r="I34" s="56"/>
      <c r="J34" s="56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29" ht="9" customHeight="1">
      <c r="B35" s="14"/>
      <c r="C35" s="219" t="s">
        <v>70</v>
      </c>
      <c r="D35" s="219"/>
      <c r="E35" s="219"/>
      <c r="F35" s="219"/>
      <c r="G35" s="219"/>
      <c r="H35" s="219"/>
      <c r="I35" s="219"/>
      <c r="J35" s="219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</row>
    <row r="36" spans="2:29" ht="9" customHeight="1">
      <c r="B36" s="14"/>
      <c r="C36" s="219"/>
      <c r="D36" s="219"/>
      <c r="E36" s="219"/>
      <c r="F36" s="219"/>
      <c r="G36" s="219"/>
      <c r="H36" s="219"/>
      <c r="I36" s="219"/>
      <c r="J36" s="219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</row>
    <row r="37" spans="2:29" ht="9" customHeight="1">
      <c r="B37" s="14"/>
      <c r="C37" s="220"/>
      <c r="D37" s="220"/>
      <c r="E37" s="220"/>
      <c r="F37" s="220"/>
      <c r="G37" s="220"/>
      <c r="H37" s="220"/>
      <c r="I37" s="220"/>
      <c r="J37" s="220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</row>
    <row r="38" spans="2:29" ht="9" customHeight="1">
      <c r="B38" s="14"/>
      <c r="C38" s="174"/>
      <c r="D38" s="174"/>
      <c r="E38" s="174"/>
      <c r="F38" s="174"/>
      <c r="G38" s="174"/>
      <c r="H38" s="174"/>
      <c r="I38" s="174"/>
      <c r="J38" s="174"/>
      <c r="K38" s="174"/>
      <c r="L38" s="174"/>
      <c r="M38" s="174"/>
      <c r="N38" s="174"/>
      <c r="O38" s="174"/>
      <c r="P38" s="174"/>
      <c r="Q38" s="174"/>
      <c r="R38" s="1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</row>
    <row r="39" spans="2:29" ht="9" customHeight="1">
      <c r="B39" s="14"/>
      <c r="C39" s="174"/>
      <c r="D39" s="174"/>
      <c r="E39" s="174"/>
      <c r="F39" s="174"/>
      <c r="G39" s="174"/>
      <c r="H39" s="174"/>
      <c r="I39" s="174"/>
      <c r="J39" s="174"/>
      <c r="K39" s="174"/>
      <c r="L39" s="174"/>
      <c r="M39" s="174"/>
      <c r="N39" s="174"/>
      <c r="O39" s="174"/>
      <c r="P39" s="174"/>
      <c r="Q39" s="174"/>
      <c r="R39" s="1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</row>
    <row r="40" spans="2:29" ht="9" customHeight="1">
      <c r="B40" s="1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4"/>
      <c r="P40" s="174"/>
      <c r="Q40" s="174"/>
      <c r="R40" s="1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</row>
    <row r="41" spans="2:29" ht="9" customHeight="1">
      <c r="B41" s="14"/>
      <c r="C41" s="174"/>
      <c r="D41" s="174"/>
      <c r="E41" s="174"/>
      <c r="F41" s="174"/>
      <c r="G41" s="174"/>
      <c r="H41" s="174"/>
      <c r="I41" s="174"/>
      <c r="J41" s="174"/>
      <c r="K41" s="174"/>
      <c r="L41" s="174"/>
      <c r="M41" s="174"/>
      <c r="N41" s="174"/>
      <c r="O41" s="174"/>
      <c r="P41" s="174"/>
      <c r="Q41" s="174"/>
      <c r="R41" s="1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</row>
    <row r="42" spans="2:29" ht="9" customHeight="1">
      <c r="B42" s="14"/>
      <c r="C42" s="171"/>
      <c r="D42" s="171"/>
      <c r="E42" s="171"/>
      <c r="F42" s="171"/>
      <c r="G42" s="171"/>
      <c r="H42" s="171"/>
      <c r="I42" s="171"/>
      <c r="J42" s="171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</row>
    <row r="43" spans="2:29" ht="9" customHeight="1">
      <c r="B43" s="14"/>
      <c r="C43" s="171"/>
      <c r="D43" s="171"/>
      <c r="E43" s="171"/>
      <c r="F43" s="171"/>
      <c r="G43" s="171"/>
      <c r="H43" s="171"/>
      <c r="I43" s="171"/>
      <c r="J43" s="171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</row>
    <row r="44" spans="2:29" ht="9" customHeight="1">
      <c r="B44" s="1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</row>
    <row r="45" spans="2:29" ht="9" customHeight="1">
      <c r="B45" s="14"/>
      <c r="C45" s="215" t="s">
        <v>42</v>
      </c>
      <c r="D45" s="215"/>
      <c r="E45" s="215"/>
      <c r="F45" s="215"/>
      <c r="G45" s="215"/>
      <c r="H45" s="215"/>
      <c r="I45" s="215"/>
      <c r="J45" s="215"/>
      <c r="K45" s="75"/>
      <c r="L45" s="75"/>
      <c r="M45" s="75"/>
      <c r="N45" s="77"/>
      <c r="U45" s="74"/>
      <c r="V45" s="74"/>
      <c r="W45" s="74"/>
      <c r="X45" s="74"/>
      <c r="Y45" s="74"/>
      <c r="Z45" s="74"/>
      <c r="AA45" s="74"/>
      <c r="AB45" s="74"/>
      <c r="AC45" s="74"/>
    </row>
    <row r="46" spans="2:29" ht="9" customHeight="1">
      <c r="B46" s="14"/>
      <c r="C46" s="215"/>
      <c r="D46" s="215"/>
      <c r="E46" s="215"/>
      <c r="F46" s="215"/>
      <c r="G46" s="215"/>
      <c r="H46" s="215"/>
      <c r="I46" s="215"/>
      <c r="J46" s="215"/>
      <c r="K46" s="75"/>
      <c r="L46" s="75"/>
      <c r="M46" s="75"/>
      <c r="N46" s="77"/>
      <c r="U46" s="74"/>
      <c r="V46" s="74"/>
      <c r="W46" s="74"/>
      <c r="X46" s="74"/>
      <c r="Y46" s="74"/>
      <c r="Z46" s="74"/>
      <c r="AA46" s="74"/>
      <c r="AB46" s="74"/>
      <c r="AC46" s="74"/>
    </row>
    <row r="47" spans="2:29" ht="9" customHeight="1">
      <c r="C47" s="216"/>
      <c r="D47" s="216"/>
      <c r="E47" s="216"/>
      <c r="F47" s="216"/>
      <c r="G47" s="216"/>
      <c r="H47" s="216"/>
      <c r="I47" s="216"/>
      <c r="J47" s="216"/>
      <c r="K47" s="75"/>
      <c r="L47" s="75"/>
      <c r="M47" s="75"/>
      <c r="N47" s="77"/>
    </row>
    <row r="48" spans="2:29" ht="9" customHeight="1">
      <c r="C48" s="203">
        <v>100</v>
      </c>
      <c r="D48" s="204"/>
      <c r="E48" s="204"/>
      <c r="F48" s="204"/>
      <c r="G48" s="204"/>
      <c r="H48" s="204"/>
      <c r="I48" s="209" t="s">
        <v>43</v>
      </c>
      <c r="J48" s="210"/>
    </row>
    <row r="49" spans="3:30" ht="9" customHeight="1">
      <c r="C49" s="205"/>
      <c r="D49" s="206"/>
      <c r="E49" s="206"/>
      <c r="F49" s="206"/>
      <c r="G49" s="206"/>
      <c r="H49" s="206"/>
      <c r="I49" s="211"/>
      <c r="J49" s="212"/>
    </row>
    <row r="50" spans="3:30" ht="9" customHeight="1">
      <c r="C50" s="205"/>
      <c r="D50" s="206"/>
      <c r="E50" s="206"/>
      <c r="F50" s="206"/>
      <c r="G50" s="206"/>
      <c r="H50" s="206"/>
      <c r="I50" s="211"/>
      <c r="J50" s="212"/>
    </row>
    <row r="51" spans="3:30" ht="9" customHeight="1">
      <c r="C51" s="207"/>
      <c r="D51" s="208"/>
      <c r="E51" s="208"/>
      <c r="F51" s="208"/>
      <c r="G51" s="208"/>
      <c r="H51" s="208"/>
      <c r="I51" s="213"/>
      <c r="J51" s="214"/>
      <c r="AD51" s="77"/>
    </row>
    <row r="52" spans="3:30" ht="9" customHeight="1">
      <c r="C52" s="14"/>
      <c r="D52" s="14"/>
      <c r="E52" s="14"/>
      <c r="F52" s="14"/>
      <c r="G52" s="14"/>
      <c r="H52" s="14"/>
      <c r="I52" s="14"/>
      <c r="J52" s="14"/>
    </row>
    <row r="53" spans="3:30" ht="9" customHeight="1">
      <c r="C53" s="14"/>
      <c r="D53" s="14"/>
      <c r="E53" s="14"/>
      <c r="F53" s="14"/>
      <c r="G53" s="14"/>
      <c r="H53" s="14"/>
      <c r="I53" s="14"/>
      <c r="J53" s="14"/>
    </row>
    <row r="54" spans="3:30" ht="7" customHeight="1">
      <c r="C54" s="14"/>
      <c r="D54" s="14"/>
      <c r="E54" s="14"/>
      <c r="F54" s="14"/>
      <c r="G54" s="14"/>
      <c r="H54" s="14"/>
      <c r="I54" s="14"/>
      <c r="J54" s="14"/>
    </row>
    <row r="55" spans="3:30" ht="7" customHeight="1">
      <c r="C55" s="14"/>
      <c r="D55" s="14"/>
      <c r="E55" s="14"/>
      <c r="F55" s="14"/>
      <c r="G55" s="14"/>
      <c r="H55" s="14"/>
      <c r="I55" s="14"/>
      <c r="J55" s="14"/>
    </row>
    <row r="56" spans="3:30" ht="7" customHeight="1">
      <c r="C56" s="14"/>
      <c r="D56" s="14"/>
      <c r="E56" s="14"/>
      <c r="F56" s="14"/>
      <c r="G56" s="14"/>
      <c r="H56" s="14"/>
      <c r="I56" s="14"/>
      <c r="J56" s="14"/>
    </row>
    <row r="57" spans="3:30" ht="7" customHeight="1">
      <c r="C57" s="14"/>
      <c r="D57" s="14"/>
      <c r="E57" s="14"/>
      <c r="F57" s="14"/>
      <c r="G57" s="14"/>
      <c r="H57" s="14"/>
      <c r="I57" s="14"/>
      <c r="J57" s="14"/>
    </row>
    <row r="58" spans="3:30" ht="7" customHeight="1">
      <c r="C58" s="14"/>
      <c r="D58" s="14"/>
      <c r="E58" s="14"/>
      <c r="F58" s="14"/>
      <c r="G58" s="14"/>
      <c r="H58" s="14"/>
      <c r="I58" s="14"/>
      <c r="J58" s="14"/>
    </row>
    <row r="59" spans="3:30" ht="7" customHeight="1">
      <c r="C59" s="14"/>
      <c r="D59" s="14"/>
      <c r="E59" s="14"/>
      <c r="F59" s="14"/>
      <c r="G59" s="14"/>
      <c r="H59" s="14"/>
      <c r="I59" s="14"/>
      <c r="J59" s="14"/>
    </row>
  </sheetData>
  <sheetProtection sheet="1" objects="1" scenarios="1"/>
  <mergeCells count="65"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4"/>
  <conditionalFormatting sqref="G28:AT31">
    <cfRule type="containsBlanks" dxfId="27" priority="4">
      <formula>LEN(TRIM(G28))=0</formula>
    </cfRule>
  </conditionalFormatting>
  <conditionalFormatting sqref="C48:H51">
    <cfRule type="containsBlanks" dxfId="26" priority="3">
      <formula>LEN(TRIM(C48))=0</formula>
    </cfRule>
  </conditionalFormatting>
  <conditionalFormatting sqref="G6:AT17">
    <cfRule type="containsBlanks" dxfId="25" priority="2">
      <formula>LEN(TRIM(G6))=0</formula>
    </cfRule>
  </conditionalFormatting>
  <conditionalFormatting sqref="C38:R41">
    <cfRule type="containsBlanks" dxfId="24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B3:AS129"/>
  <sheetViews>
    <sheetView zoomScale="130" zoomScaleNormal="130" zoomScaleSheetLayoutView="108" workbookViewId="0">
      <pane xSplit="1" ySplit="19" topLeftCell="B24" activePane="bottomRight" state="frozen"/>
      <selection pane="topRight" activeCell="B1" sqref="B1"/>
      <selection pane="bottomLeft" activeCell="A25" sqref="A25"/>
      <selection pane="bottomRight" activeCell="R40" sqref="R40:T40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217" t="s">
        <v>39</v>
      </c>
      <c r="C3" s="217"/>
      <c r="D3" s="217"/>
      <c r="E3" s="217"/>
      <c r="F3" s="217"/>
      <c r="G3" s="217"/>
      <c r="H3" s="217"/>
      <c r="I3" s="217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217"/>
      <c r="C4" s="217"/>
      <c r="D4" s="217"/>
      <c r="E4" s="217"/>
      <c r="F4" s="217"/>
      <c r="G4" s="217"/>
      <c r="H4" s="217"/>
      <c r="I4" s="217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218"/>
      <c r="C5" s="218"/>
      <c r="D5" s="218"/>
      <c r="E5" s="218"/>
      <c r="F5" s="218"/>
      <c r="G5" s="218"/>
      <c r="H5" s="218"/>
      <c r="I5" s="21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175"/>
      <c r="C6" s="175"/>
      <c r="D6" s="175"/>
      <c r="E6" s="175"/>
      <c r="F6" s="229" t="s">
        <v>0</v>
      </c>
      <c r="G6" s="229"/>
      <c r="H6" s="229"/>
      <c r="I6" s="229"/>
      <c r="J6" s="229" t="s">
        <v>1</v>
      </c>
      <c r="K6" s="229"/>
      <c r="L6" s="229"/>
      <c r="M6" s="229"/>
      <c r="N6" s="229" t="s">
        <v>2</v>
      </c>
      <c r="O6" s="229"/>
      <c r="P6" s="229"/>
      <c r="Q6" s="229"/>
      <c r="R6" s="229" t="s">
        <v>3</v>
      </c>
      <c r="S6" s="229"/>
      <c r="T6" s="229"/>
      <c r="U6" s="229"/>
      <c r="V6" s="229" t="s">
        <v>4</v>
      </c>
      <c r="W6" s="229"/>
      <c r="X6" s="229"/>
      <c r="Y6" s="229"/>
      <c r="Z6" s="229" t="s">
        <v>5</v>
      </c>
      <c r="AA6" s="229"/>
      <c r="AB6" s="229"/>
      <c r="AC6" s="229"/>
      <c r="AD6" s="229" t="s">
        <v>6</v>
      </c>
      <c r="AE6" s="229"/>
      <c r="AF6" s="229"/>
      <c r="AG6" s="229"/>
      <c r="AH6" s="229" t="s">
        <v>20</v>
      </c>
      <c r="AI6" s="229"/>
      <c r="AJ6" s="229"/>
      <c r="AK6" s="229"/>
      <c r="AL6" s="229" t="s">
        <v>40</v>
      </c>
      <c r="AM6" s="229"/>
      <c r="AN6" s="229"/>
      <c r="AO6" s="229"/>
      <c r="AP6" s="229" t="s">
        <v>41</v>
      </c>
      <c r="AQ6" s="229"/>
      <c r="AR6" s="229"/>
      <c r="AS6" s="229"/>
    </row>
    <row r="7" spans="2:45" ht="7" customHeight="1">
      <c r="B7" s="175"/>
      <c r="C7" s="175"/>
      <c r="D7" s="175"/>
      <c r="E7" s="175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  <c r="AI7" s="229"/>
      <c r="AJ7" s="229"/>
      <c r="AK7" s="229"/>
      <c r="AL7" s="229"/>
      <c r="AM7" s="229"/>
      <c r="AN7" s="229"/>
      <c r="AO7" s="229"/>
      <c r="AP7" s="229"/>
      <c r="AQ7" s="229"/>
      <c r="AR7" s="229"/>
      <c r="AS7" s="229"/>
    </row>
    <row r="8" spans="2:45" ht="7" customHeight="1">
      <c r="B8" s="175"/>
      <c r="C8" s="175"/>
      <c r="D8" s="175"/>
      <c r="E8" s="175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  <c r="AI8" s="229"/>
      <c r="AJ8" s="229"/>
      <c r="AK8" s="229"/>
      <c r="AL8" s="229"/>
      <c r="AM8" s="229"/>
      <c r="AN8" s="229"/>
      <c r="AO8" s="229"/>
      <c r="AP8" s="229"/>
      <c r="AQ8" s="229"/>
      <c r="AR8" s="229"/>
      <c r="AS8" s="229"/>
    </row>
    <row r="9" spans="2:45" ht="7" customHeight="1">
      <c r="B9" s="175"/>
      <c r="C9" s="175"/>
      <c r="D9" s="175"/>
      <c r="E9" s="175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  <c r="AI9" s="229"/>
      <c r="AJ9" s="229"/>
      <c r="AK9" s="229"/>
      <c r="AL9" s="229"/>
      <c r="AM9" s="229"/>
      <c r="AN9" s="229"/>
      <c r="AO9" s="229"/>
      <c r="AP9" s="229"/>
      <c r="AQ9" s="229"/>
      <c r="AR9" s="229"/>
      <c r="AS9" s="229"/>
    </row>
    <row r="10" spans="2:45" ht="9" customHeight="1">
      <c r="B10" s="229" t="s">
        <v>67</v>
      </c>
      <c r="C10" s="229"/>
      <c r="D10" s="229"/>
      <c r="E10" s="229"/>
      <c r="F10" s="230" t="str">
        <f>IF(ISBLANK(初期設定!G28),"",初期設定!G28)</f>
        <v/>
      </c>
      <c r="G10" s="230"/>
      <c r="H10" s="230"/>
      <c r="I10" s="230"/>
      <c r="J10" s="230" t="str">
        <f>IF(ISBLANK(初期設定!K28),"",初期設定!K28)</f>
        <v/>
      </c>
      <c r="K10" s="230"/>
      <c r="L10" s="230"/>
      <c r="M10" s="230"/>
      <c r="N10" s="230" t="str">
        <f>IF(ISBLANK(初期設定!O28),"",初期設定!O28)</f>
        <v/>
      </c>
      <c r="O10" s="230"/>
      <c r="P10" s="230"/>
      <c r="Q10" s="230"/>
      <c r="R10" s="230" t="str">
        <f>IF(ISBLANK(初期設定!S28),"",初期設定!S28)</f>
        <v/>
      </c>
      <c r="S10" s="230"/>
      <c r="T10" s="230"/>
      <c r="U10" s="230"/>
      <c r="V10" s="230" t="str">
        <f>IF(ISBLANK(初期設定!W28),"",初期設定!W28)</f>
        <v/>
      </c>
      <c r="W10" s="230"/>
      <c r="X10" s="230"/>
      <c r="Y10" s="230"/>
      <c r="Z10" s="230" t="str">
        <f>IF(ISBLANK(初期設定!AA28),"",初期設定!AA28)</f>
        <v/>
      </c>
      <c r="AA10" s="230"/>
      <c r="AB10" s="230"/>
      <c r="AC10" s="230"/>
      <c r="AD10" s="230" t="str">
        <f>IF(ISBLANK(初期設定!AE28),"",初期設定!AE28)</f>
        <v/>
      </c>
      <c r="AE10" s="230"/>
      <c r="AF10" s="230"/>
      <c r="AG10" s="230"/>
      <c r="AH10" s="230" t="str">
        <f>IF(ISBLANK(初期設定!AI28),"",初期設定!AI28)</f>
        <v/>
      </c>
      <c r="AI10" s="230"/>
      <c r="AJ10" s="230"/>
      <c r="AK10" s="230"/>
      <c r="AL10" s="230" t="str">
        <f>IF(ISBLANK(初期設定!AM28),"",初期設定!AM28)</f>
        <v/>
      </c>
      <c r="AM10" s="230"/>
      <c r="AN10" s="230"/>
      <c r="AO10" s="230"/>
      <c r="AP10" s="230" t="str">
        <f>IF(ISBLANK(初期設定!AQ28),"",初期設定!AQ28)</f>
        <v/>
      </c>
      <c r="AQ10" s="230"/>
      <c r="AR10" s="230"/>
      <c r="AS10" s="230"/>
    </row>
    <row r="11" spans="2:45" ht="9" customHeight="1">
      <c r="B11" s="229"/>
      <c r="C11" s="229"/>
      <c r="D11" s="229"/>
      <c r="E11" s="229"/>
      <c r="F11" s="230"/>
      <c r="G11" s="230"/>
      <c r="H11" s="230"/>
      <c r="I11" s="230"/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</row>
    <row r="12" spans="2:45" ht="9" customHeight="1">
      <c r="B12" s="229"/>
      <c r="C12" s="229"/>
      <c r="D12" s="229"/>
      <c r="E12" s="229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</row>
    <row r="13" spans="2:45" ht="9" customHeight="1">
      <c r="B13" s="229"/>
      <c r="C13" s="229"/>
      <c r="D13" s="229"/>
      <c r="E13" s="229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</row>
    <row r="15" spans="2:45" ht="7" customHeight="1" thickBot="1"/>
    <row r="16" spans="2:45" ht="7" customHeight="1">
      <c r="B16" s="231" t="s">
        <v>44</v>
      </c>
      <c r="C16" s="232"/>
      <c r="D16" s="232"/>
      <c r="E16" s="232" t="s">
        <v>33</v>
      </c>
      <c r="F16" s="232"/>
      <c r="G16" s="232"/>
      <c r="H16" s="234" t="s">
        <v>45</v>
      </c>
      <c r="I16" s="235"/>
      <c r="J16" s="235"/>
      <c r="K16" s="235"/>
      <c r="L16" s="235"/>
      <c r="M16" s="235"/>
      <c r="N16" s="235"/>
      <c r="O16" s="235"/>
      <c r="P16" s="235"/>
      <c r="Q16" s="236"/>
      <c r="R16" s="232" t="s">
        <v>50</v>
      </c>
      <c r="S16" s="232"/>
      <c r="T16" s="243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2:33" ht="7" customHeight="1">
      <c r="B17" s="233"/>
      <c r="C17" s="229"/>
      <c r="D17" s="229"/>
      <c r="E17" s="229"/>
      <c r="F17" s="229"/>
      <c r="G17" s="229"/>
      <c r="H17" s="237"/>
      <c r="I17" s="238"/>
      <c r="J17" s="238"/>
      <c r="K17" s="238"/>
      <c r="L17" s="238"/>
      <c r="M17" s="238"/>
      <c r="N17" s="238"/>
      <c r="O17" s="238"/>
      <c r="P17" s="238"/>
      <c r="Q17" s="239"/>
      <c r="R17" s="229"/>
      <c r="S17" s="229"/>
      <c r="T17" s="244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2:33" ht="7" customHeight="1">
      <c r="B18" s="233"/>
      <c r="C18" s="229"/>
      <c r="D18" s="229"/>
      <c r="E18" s="229"/>
      <c r="F18" s="229"/>
      <c r="G18" s="229"/>
      <c r="H18" s="237"/>
      <c r="I18" s="238"/>
      <c r="J18" s="238"/>
      <c r="K18" s="238"/>
      <c r="L18" s="238"/>
      <c r="M18" s="238"/>
      <c r="N18" s="238"/>
      <c r="O18" s="238"/>
      <c r="P18" s="238"/>
      <c r="Q18" s="239"/>
      <c r="R18" s="229"/>
      <c r="S18" s="229"/>
      <c r="T18" s="244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2:33" ht="7" customHeight="1">
      <c r="B19" s="233"/>
      <c r="C19" s="229"/>
      <c r="D19" s="229"/>
      <c r="E19" s="229"/>
      <c r="F19" s="229"/>
      <c r="G19" s="229"/>
      <c r="H19" s="240"/>
      <c r="I19" s="241"/>
      <c r="J19" s="241"/>
      <c r="K19" s="241"/>
      <c r="L19" s="241"/>
      <c r="M19" s="241"/>
      <c r="N19" s="241"/>
      <c r="O19" s="241"/>
      <c r="P19" s="241"/>
      <c r="Q19" s="242"/>
      <c r="R19" s="229"/>
      <c r="S19" s="229"/>
      <c r="T19" s="244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2:33" ht="21" customHeight="1">
      <c r="B20" s="245"/>
      <c r="C20" s="246"/>
      <c r="D20" s="247"/>
      <c r="E20" s="248"/>
      <c r="F20" s="246"/>
      <c r="G20" s="247"/>
      <c r="H20" s="248"/>
      <c r="I20" s="246"/>
      <c r="J20" s="247"/>
      <c r="K20" s="249" t="str">
        <f>IFERROR(HLOOKUP(H20,$F$6:$AS$13,5,FALSE),"")</f>
        <v/>
      </c>
      <c r="L20" s="250"/>
      <c r="M20" s="250"/>
      <c r="N20" s="250"/>
      <c r="O20" s="250"/>
      <c r="P20" s="250"/>
      <c r="Q20" s="251"/>
      <c r="R20" s="227"/>
      <c r="S20" s="227"/>
      <c r="T20" s="228"/>
    </row>
    <row r="21" spans="2:33" ht="21" customHeight="1">
      <c r="B21" s="245"/>
      <c r="C21" s="246"/>
      <c r="D21" s="247"/>
      <c r="E21" s="248"/>
      <c r="F21" s="246"/>
      <c r="G21" s="247"/>
      <c r="H21" s="248"/>
      <c r="I21" s="246"/>
      <c r="J21" s="247"/>
      <c r="K21" s="249" t="str">
        <f t="shared" ref="K21:K84" si="0">IFERROR(HLOOKUP(H21,$F$6:$AS$13,5,FALSE),"")</f>
        <v/>
      </c>
      <c r="L21" s="250"/>
      <c r="M21" s="250"/>
      <c r="N21" s="250"/>
      <c r="O21" s="250"/>
      <c r="P21" s="250"/>
      <c r="Q21" s="251"/>
      <c r="R21" s="227"/>
      <c r="S21" s="227"/>
      <c r="T21" s="228"/>
    </row>
    <row r="22" spans="2:33" ht="21" customHeight="1">
      <c r="B22" s="245"/>
      <c r="C22" s="246"/>
      <c r="D22" s="247"/>
      <c r="E22" s="248"/>
      <c r="F22" s="246"/>
      <c r="G22" s="247"/>
      <c r="H22" s="248"/>
      <c r="I22" s="246"/>
      <c r="J22" s="247"/>
      <c r="K22" s="249" t="str">
        <f t="shared" si="0"/>
        <v/>
      </c>
      <c r="L22" s="250"/>
      <c r="M22" s="250"/>
      <c r="N22" s="250"/>
      <c r="O22" s="250"/>
      <c r="P22" s="250"/>
      <c r="Q22" s="251"/>
      <c r="R22" s="221"/>
      <c r="S22" s="222"/>
      <c r="T22" s="223"/>
    </row>
    <row r="23" spans="2:33" ht="21" customHeight="1">
      <c r="B23" s="245"/>
      <c r="C23" s="246"/>
      <c r="D23" s="247"/>
      <c r="E23" s="248"/>
      <c r="F23" s="246"/>
      <c r="G23" s="247"/>
      <c r="H23" s="248"/>
      <c r="I23" s="246"/>
      <c r="J23" s="247"/>
      <c r="K23" s="249" t="str">
        <f t="shared" si="0"/>
        <v/>
      </c>
      <c r="L23" s="250"/>
      <c r="M23" s="250"/>
      <c r="N23" s="250"/>
      <c r="O23" s="250"/>
      <c r="P23" s="250"/>
      <c r="Q23" s="251"/>
      <c r="R23" s="221"/>
      <c r="S23" s="222"/>
      <c r="T23" s="223"/>
    </row>
    <row r="24" spans="2:33" ht="21" customHeight="1">
      <c r="B24" s="245"/>
      <c r="C24" s="246"/>
      <c r="D24" s="247"/>
      <c r="E24" s="248"/>
      <c r="F24" s="246"/>
      <c r="G24" s="247"/>
      <c r="H24" s="248"/>
      <c r="I24" s="246"/>
      <c r="J24" s="247"/>
      <c r="K24" s="249" t="str">
        <f t="shared" si="0"/>
        <v/>
      </c>
      <c r="L24" s="250"/>
      <c r="M24" s="250"/>
      <c r="N24" s="250"/>
      <c r="O24" s="250"/>
      <c r="P24" s="250"/>
      <c r="Q24" s="251"/>
      <c r="R24" s="221"/>
      <c r="S24" s="222"/>
      <c r="T24" s="223"/>
    </row>
    <row r="25" spans="2:33" ht="21" customHeight="1">
      <c r="B25" s="245"/>
      <c r="C25" s="246"/>
      <c r="D25" s="247"/>
      <c r="E25" s="248"/>
      <c r="F25" s="246"/>
      <c r="G25" s="247"/>
      <c r="H25" s="248"/>
      <c r="I25" s="246"/>
      <c r="J25" s="247"/>
      <c r="K25" s="249" t="str">
        <f t="shared" si="0"/>
        <v/>
      </c>
      <c r="L25" s="250"/>
      <c r="M25" s="250"/>
      <c r="N25" s="250"/>
      <c r="O25" s="250"/>
      <c r="P25" s="250"/>
      <c r="Q25" s="251"/>
      <c r="R25" s="221"/>
      <c r="S25" s="222"/>
      <c r="T25" s="223"/>
    </row>
    <row r="26" spans="2:33" ht="21" customHeight="1">
      <c r="B26" s="245"/>
      <c r="C26" s="246"/>
      <c r="D26" s="247"/>
      <c r="E26" s="248"/>
      <c r="F26" s="246"/>
      <c r="G26" s="247"/>
      <c r="H26" s="248"/>
      <c r="I26" s="246"/>
      <c r="J26" s="247"/>
      <c r="K26" s="249" t="str">
        <f t="shared" si="0"/>
        <v/>
      </c>
      <c r="L26" s="250"/>
      <c r="M26" s="250"/>
      <c r="N26" s="250"/>
      <c r="O26" s="250"/>
      <c r="P26" s="250"/>
      <c r="Q26" s="251"/>
      <c r="R26" s="221"/>
      <c r="S26" s="222"/>
      <c r="T26" s="223"/>
    </row>
    <row r="27" spans="2:33" ht="21" customHeight="1">
      <c r="B27" s="245"/>
      <c r="C27" s="246"/>
      <c r="D27" s="247"/>
      <c r="E27" s="248"/>
      <c r="F27" s="246"/>
      <c r="G27" s="247"/>
      <c r="H27" s="248"/>
      <c r="I27" s="246"/>
      <c r="J27" s="247"/>
      <c r="K27" s="249" t="str">
        <f t="shared" si="0"/>
        <v/>
      </c>
      <c r="L27" s="250"/>
      <c r="M27" s="250"/>
      <c r="N27" s="250"/>
      <c r="O27" s="250"/>
      <c r="P27" s="250"/>
      <c r="Q27" s="251"/>
      <c r="R27" s="221"/>
      <c r="S27" s="222"/>
      <c r="T27" s="223"/>
    </row>
    <row r="28" spans="2:33" ht="21" customHeight="1">
      <c r="B28" s="245"/>
      <c r="C28" s="246"/>
      <c r="D28" s="247"/>
      <c r="E28" s="248"/>
      <c r="F28" s="246"/>
      <c r="G28" s="247"/>
      <c r="H28" s="248"/>
      <c r="I28" s="246"/>
      <c r="J28" s="247"/>
      <c r="K28" s="249" t="str">
        <f t="shared" si="0"/>
        <v/>
      </c>
      <c r="L28" s="250"/>
      <c r="M28" s="250"/>
      <c r="N28" s="250"/>
      <c r="O28" s="250"/>
      <c r="P28" s="250"/>
      <c r="Q28" s="251"/>
      <c r="R28" s="221"/>
      <c r="S28" s="222"/>
      <c r="T28" s="223"/>
    </row>
    <row r="29" spans="2:33" ht="21" customHeight="1">
      <c r="B29" s="245"/>
      <c r="C29" s="246"/>
      <c r="D29" s="247"/>
      <c r="E29" s="248"/>
      <c r="F29" s="246"/>
      <c r="G29" s="247"/>
      <c r="H29" s="248"/>
      <c r="I29" s="246"/>
      <c r="J29" s="247"/>
      <c r="K29" s="249" t="str">
        <f t="shared" si="0"/>
        <v/>
      </c>
      <c r="L29" s="250"/>
      <c r="M29" s="250"/>
      <c r="N29" s="250"/>
      <c r="O29" s="250"/>
      <c r="P29" s="250"/>
      <c r="Q29" s="251"/>
      <c r="R29" s="221"/>
      <c r="S29" s="222"/>
      <c r="T29" s="223"/>
    </row>
    <row r="30" spans="2:33" ht="21" customHeight="1">
      <c r="B30" s="245"/>
      <c r="C30" s="246"/>
      <c r="D30" s="247"/>
      <c r="E30" s="248"/>
      <c r="F30" s="246"/>
      <c r="G30" s="247"/>
      <c r="H30" s="248"/>
      <c r="I30" s="246"/>
      <c r="J30" s="247"/>
      <c r="K30" s="249" t="str">
        <f t="shared" si="0"/>
        <v/>
      </c>
      <c r="L30" s="250"/>
      <c r="M30" s="250"/>
      <c r="N30" s="250"/>
      <c r="O30" s="250"/>
      <c r="P30" s="250"/>
      <c r="Q30" s="251"/>
      <c r="R30" s="221"/>
      <c r="S30" s="222"/>
      <c r="T30" s="223"/>
    </row>
    <row r="31" spans="2:33" ht="21" customHeight="1">
      <c r="B31" s="245"/>
      <c r="C31" s="246"/>
      <c r="D31" s="247"/>
      <c r="E31" s="248"/>
      <c r="F31" s="246"/>
      <c r="G31" s="247"/>
      <c r="H31" s="248"/>
      <c r="I31" s="246"/>
      <c r="J31" s="247"/>
      <c r="K31" s="249" t="str">
        <f t="shared" si="0"/>
        <v/>
      </c>
      <c r="L31" s="250"/>
      <c r="M31" s="250"/>
      <c r="N31" s="250"/>
      <c r="O31" s="250"/>
      <c r="P31" s="250"/>
      <c r="Q31" s="251"/>
      <c r="R31" s="221"/>
      <c r="S31" s="222"/>
      <c r="T31" s="223"/>
    </row>
    <row r="32" spans="2:33" ht="21" customHeight="1">
      <c r="B32" s="245"/>
      <c r="C32" s="246"/>
      <c r="D32" s="247"/>
      <c r="E32" s="248"/>
      <c r="F32" s="246"/>
      <c r="G32" s="247"/>
      <c r="H32" s="248"/>
      <c r="I32" s="246"/>
      <c r="J32" s="247"/>
      <c r="K32" s="249" t="str">
        <f t="shared" si="0"/>
        <v/>
      </c>
      <c r="L32" s="250"/>
      <c r="M32" s="250"/>
      <c r="N32" s="250"/>
      <c r="O32" s="250"/>
      <c r="P32" s="250"/>
      <c r="Q32" s="251"/>
      <c r="R32" s="221"/>
      <c r="S32" s="222"/>
      <c r="T32" s="223"/>
    </row>
    <row r="33" spans="2:20" ht="21" customHeight="1">
      <c r="B33" s="245"/>
      <c r="C33" s="246"/>
      <c r="D33" s="247"/>
      <c r="E33" s="248"/>
      <c r="F33" s="246"/>
      <c r="G33" s="247"/>
      <c r="H33" s="248"/>
      <c r="I33" s="246"/>
      <c r="J33" s="247"/>
      <c r="K33" s="249" t="str">
        <f t="shared" si="0"/>
        <v/>
      </c>
      <c r="L33" s="250"/>
      <c r="M33" s="250"/>
      <c r="N33" s="250"/>
      <c r="O33" s="250"/>
      <c r="P33" s="250"/>
      <c r="Q33" s="251"/>
      <c r="R33" s="221"/>
      <c r="S33" s="222"/>
      <c r="T33" s="223"/>
    </row>
    <row r="34" spans="2:20" ht="21" customHeight="1">
      <c r="B34" s="245"/>
      <c r="C34" s="246"/>
      <c r="D34" s="247"/>
      <c r="E34" s="248"/>
      <c r="F34" s="246"/>
      <c r="G34" s="247"/>
      <c r="H34" s="248"/>
      <c r="I34" s="246"/>
      <c r="J34" s="247"/>
      <c r="K34" s="249" t="str">
        <f t="shared" si="0"/>
        <v/>
      </c>
      <c r="L34" s="250"/>
      <c r="M34" s="250"/>
      <c r="N34" s="250"/>
      <c r="O34" s="250"/>
      <c r="P34" s="250"/>
      <c r="Q34" s="251"/>
      <c r="R34" s="221"/>
      <c r="S34" s="222"/>
      <c r="T34" s="223"/>
    </row>
    <row r="35" spans="2:20" ht="21" customHeight="1">
      <c r="B35" s="245"/>
      <c r="C35" s="246"/>
      <c r="D35" s="247"/>
      <c r="E35" s="248"/>
      <c r="F35" s="246"/>
      <c r="G35" s="247"/>
      <c r="H35" s="248"/>
      <c r="I35" s="246"/>
      <c r="J35" s="247"/>
      <c r="K35" s="249" t="str">
        <f t="shared" si="0"/>
        <v/>
      </c>
      <c r="L35" s="250"/>
      <c r="M35" s="250"/>
      <c r="N35" s="250"/>
      <c r="O35" s="250"/>
      <c r="P35" s="250"/>
      <c r="Q35" s="251"/>
      <c r="R35" s="221"/>
      <c r="S35" s="222"/>
      <c r="T35" s="223"/>
    </row>
    <row r="36" spans="2:20" ht="21" customHeight="1">
      <c r="B36" s="245"/>
      <c r="C36" s="246"/>
      <c r="D36" s="247"/>
      <c r="E36" s="248"/>
      <c r="F36" s="246"/>
      <c r="G36" s="247"/>
      <c r="H36" s="248"/>
      <c r="I36" s="246"/>
      <c r="J36" s="247"/>
      <c r="K36" s="249" t="str">
        <f t="shared" si="0"/>
        <v/>
      </c>
      <c r="L36" s="250"/>
      <c r="M36" s="250"/>
      <c r="N36" s="250"/>
      <c r="O36" s="250"/>
      <c r="P36" s="250"/>
      <c r="Q36" s="251"/>
      <c r="R36" s="221"/>
      <c r="S36" s="222"/>
      <c r="T36" s="223"/>
    </row>
    <row r="37" spans="2:20" ht="21" customHeight="1">
      <c r="B37" s="245"/>
      <c r="C37" s="246"/>
      <c r="D37" s="247"/>
      <c r="E37" s="248"/>
      <c r="F37" s="246"/>
      <c r="G37" s="247"/>
      <c r="H37" s="248"/>
      <c r="I37" s="246"/>
      <c r="J37" s="247"/>
      <c r="K37" s="249" t="str">
        <f t="shared" si="0"/>
        <v/>
      </c>
      <c r="L37" s="250"/>
      <c r="M37" s="250"/>
      <c r="N37" s="250"/>
      <c r="O37" s="250"/>
      <c r="P37" s="250"/>
      <c r="Q37" s="251"/>
      <c r="R37" s="221"/>
      <c r="S37" s="222"/>
      <c r="T37" s="223"/>
    </row>
    <row r="38" spans="2:20" ht="21" customHeight="1">
      <c r="B38" s="245"/>
      <c r="C38" s="246"/>
      <c r="D38" s="247"/>
      <c r="E38" s="248"/>
      <c r="F38" s="246"/>
      <c r="G38" s="247"/>
      <c r="H38" s="248"/>
      <c r="I38" s="246"/>
      <c r="J38" s="247"/>
      <c r="K38" s="249" t="str">
        <f t="shared" si="0"/>
        <v/>
      </c>
      <c r="L38" s="250"/>
      <c r="M38" s="250"/>
      <c r="N38" s="250"/>
      <c r="O38" s="250"/>
      <c r="P38" s="250"/>
      <c r="Q38" s="251"/>
      <c r="R38" s="221"/>
      <c r="S38" s="222"/>
      <c r="T38" s="223"/>
    </row>
    <row r="39" spans="2:20" ht="21" customHeight="1">
      <c r="B39" s="245"/>
      <c r="C39" s="246"/>
      <c r="D39" s="247"/>
      <c r="E39" s="248"/>
      <c r="F39" s="246"/>
      <c r="G39" s="247"/>
      <c r="H39" s="248"/>
      <c r="I39" s="246"/>
      <c r="J39" s="247"/>
      <c r="K39" s="249" t="str">
        <f t="shared" si="0"/>
        <v/>
      </c>
      <c r="L39" s="250"/>
      <c r="M39" s="250"/>
      <c r="N39" s="250"/>
      <c r="O39" s="250"/>
      <c r="P39" s="250"/>
      <c r="Q39" s="251"/>
      <c r="R39" s="221"/>
      <c r="S39" s="222"/>
      <c r="T39" s="223"/>
    </row>
    <row r="40" spans="2:20" ht="21" customHeight="1">
      <c r="B40" s="245"/>
      <c r="C40" s="246"/>
      <c r="D40" s="247"/>
      <c r="E40" s="248"/>
      <c r="F40" s="246"/>
      <c r="G40" s="247"/>
      <c r="H40" s="248"/>
      <c r="I40" s="246"/>
      <c r="J40" s="247"/>
      <c r="K40" s="249" t="str">
        <f t="shared" si="0"/>
        <v/>
      </c>
      <c r="L40" s="250"/>
      <c r="M40" s="250"/>
      <c r="N40" s="250"/>
      <c r="O40" s="250"/>
      <c r="P40" s="250"/>
      <c r="Q40" s="251"/>
      <c r="R40" s="221"/>
      <c r="S40" s="222"/>
      <c r="T40" s="223"/>
    </row>
    <row r="41" spans="2:20" ht="21" customHeight="1">
      <c r="B41" s="245"/>
      <c r="C41" s="246"/>
      <c r="D41" s="247"/>
      <c r="E41" s="248"/>
      <c r="F41" s="246"/>
      <c r="G41" s="247"/>
      <c r="H41" s="248"/>
      <c r="I41" s="246"/>
      <c r="J41" s="247"/>
      <c r="K41" s="249" t="str">
        <f t="shared" si="0"/>
        <v/>
      </c>
      <c r="L41" s="250"/>
      <c r="M41" s="250"/>
      <c r="N41" s="250"/>
      <c r="O41" s="250"/>
      <c r="P41" s="250"/>
      <c r="Q41" s="251"/>
      <c r="R41" s="221"/>
      <c r="S41" s="222"/>
      <c r="T41" s="223"/>
    </row>
    <row r="42" spans="2:20" ht="21" customHeight="1">
      <c r="B42" s="245"/>
      <c r="C42" s="246"/>
      <c r="D42" s="247"/>
      <c r="E42" s="248"/>
      <c r="F42" s="246"/>
      <c r="G42" s="247"/>
      <c r="H42" s="248"/>
      <c r="I42" s="246"/>
      <c r="J42" s="247"/>
      <c r="K42" s="249" t="str">
        <f t="shared" si="0"/>
        <v/>
      </c>
      <c r="L42" s="250"/>
      <c r="M42" s="250"/>
      <c r="N42" s="250"/>
      <c r="O42" s="250"/>
      <c r="P42" s="250"/>
      <c r="Q42" s="251"/>
      <c r="R42" s="221"/>
      <c r="S42" s="222"/>
      <c r="T42" s="223"/>
    </row>
    <row r="43" spans="2:20" ht="21" customHeight="1">
      <c r="B43" s="245"/>
      <c r="C43" s="246"/>
      <c r="D43" s="247"/>
      <c r="E43" s="248"/>
      <c r="F43" s="246"/>
      <c r="G43" s="247"/>
      <c r="H43" s="248"/>
      <c r="I43" s="246"/>
      <c r="J43" s="247"/>
      <c r="K43" s="249" t="str">
        <f t="shared" si="0"/>
        <v/>
      </c>
      <c r="L43" s="250"/>
      <c r="M43" s="250"/>
      <c r="N43" s="250"/>
      <c r="O43" s="250"/>
      <c r="P43" s="250"/>
      <c r="Q43" s="251"/>
      <c r="R43" s="221"/>
      <c r="S43" s="222"/>
      <c r="T43" s="223"/>
    </row>
    <row r="44" spans="2:20" ht="21" customHeight="1">
      <c r="B44" s="245"/>
      <c r="C44" s="246"/>
      <c r="D44" s="247"/>
      <c r="E44" s="248"/>
      <c r="F44" s="246"/>
      <c r="G44" s="247"/>
      <c r="H44" s="248"/>
      <c r="I44" s="246"/>
      <c r="J44" s="247"/>
      <c r="K44" s="249" t="str">
        <f t="shared" si="0"/>
        <v/>
      </c>
      <c r="L44" s="250"/>
      <c r="M44" s="250"/>
      <c r="N44" s="250"/>
      <c r="O44" s="250"/>
      <c r="P44" s="250"/>
      <c r="Q44" s="251"/>
      <c r="R44" s="221"/>
      <c r="S44" s="222"/>
      <c r="T44" s="223"/>
    </row>
    <row r="45" spans="2:20" ht="21" customHeight="1">
      <c r="B45" s="245"/>
      <c r="C45" s="246"/>
      <c r="D45" s="247"/>
      <c r="E45" s="248"/>
      <c r="F45" s="246"/>
      <c r="G45" s="247"/>
      <c r="H45" s="248"/>
      <c r="I45" s="246"/>
      <c r="J45" s="247"/>
      <c r="K45" s="249" t="str">
        <f t="shared" si="0"/>
        <v/>
      </c>
      <c r="L45" s="250"/>
      <c r="M45" s="250"/>
      <c r="N45" s="250"/>
      <c r="O45" s="250"/>
      <c r="P45" s="250"/>
      <c r="Q45" s="251"/>
      <c r="R45" s="221"/>
      <c r="S45" s="222"/>
      <c r="T45" s="223"/>
    </row>
    <row r="46" spans="2:20" ht="21" customHeight="1">
      <c r="B46" s="245"/>
      <c r="C46" s="246"/>
      <c r="D46" s="247"/>
      <c r="E46" s="248"/>
      <c r="F46" s="246"/>
      <c r="G46" s="247"/>
      <c r="H46" s="248"/>
      <c r="I46" s="246"/>
      <c r="J46" s="247"/>
      <c r="K46" s="249" t="str">
        <f t="shared" si="0"/>
        <v/>
      </c>
      <c r="L46" s="250"/>
      <c r="M46" s="250"/>
      <c r="N46" s="250"/>
      <c r="O46" s="250"/>
      <c r="P46" s="250"/>
      <c r="Q46" s="251"/>
      <c r="R46" s="221"/>
      <c r="S46" s="222"/>
      <c r="T46" s="223"/>
    </row>
    <row r="47" spans="2:20" ht="21" customHeight="1">
      <c r="B47" s="245"/>
      <c r="C47" s="246"/>
      <c r="D47" s="247"/>
      <c r="E47" s="248"/>
      <c r="F47" s="246"/>
      <c r="G47" s="247"/>
      <c r="H47" s="248"/>
      <c r="I47" s="246"/>
      <c r="J47" s="247"/>
      <c r="K47" s="249" t="str">
        <f t="shared" si="0"/>
        <v/>
      </c>
      <c r="L47" s="250"/>
      <c r="M47" s="250"/>
      <c r="N47" s="250"/>
      <c r="O47" s="250"/>
      <c r="P47" s="250"/>
      <c r="Q47" s="251"/>
      <c r="R47" s="221"/>
      <c r="S47" s="222"/>
      <c r="T47" s="223"/>
    </row>
    <row r="48" spans="2:20" ht="21" customHeight="1">
      <c r="B48" s="245"/>
      <c r="C48" s="246"/>
      <c r="D48" s="247"/>
      <c r="E48" s="248"/>
      <c r="F48" s="246"/>
      <c r="G48" s="247"/>
      <c r="H48" s="248"/>
      <c r="I48" s="246"/>
      <c r="J48" s="247"/>
      <c r="K48" s="249" t="str">
        <f t="shared" si="0"/>
        <v/>
      </c>
      <c r="L48" s="250"/>
      <c r="M48" s="250"/>
      <c r="N48" s="250"/>
      <c r="O48" s="250"/>
      <c r="P48" s="250"/>
      <c r="Q48" s="251"/>
      <c r="R48" s="221"/>
      <c r="S48" s="222"/>
      <c r="T48" s="223"/>
    </row>
    <row r="49" spans="2:20" ht="21" customHeight="1">
      <c r="B49" s="245"/>
      <c r="C49" s="246"/>
      <c r="D49" s="247"/>
      <c r="E49" s="248"/>
      <c r="F49" s="246"/>
      <c r="G49" s="247"/>
      <c r="H49" s="248"/>
      <c r="I49" s="246"/>
      <c r="J49" s="247"/>
      <c r="K49" s="249" t="str">
        <f t="shared" si="0"/>
        <v/>
      </c>
      <c r="L49" s="250"/>
      <c r="M49" s="250"/>
      <c r="N49" s="250"/>
      <c r="O49" s="250"/>
      <c r="P49" s="250"/>
      <c r="Q49" s="251"/>
      <c r="R49" s="221"/>
      <c r="S49" s="222"/>
      <c r="T49" s="223"/>
    </row>
    <row r="50" spans="2:20" ht="21" customHeight="1">
      <c r="B50" s="245"/>
      <c r="C50" s="246"/>
      <c r="D50" s="247"/>
      <c r="E50" s="248"/>
      <c r="F50" s="246"/>
      <c r="G50" s="247"/>
      <c r="H50" s="248"/>
      <c r="I50" s="246"/>
      <c r="J50" s="247"/>
      <c r="K50" s="249" t="str">
        <f t="shared" si="0"/>
        <v/>
      </c>
      <c r="L50" s="250"/>
      <c r="M50" s="250"/>
      <c r="N50" s="250"/>
      <c r="O50" s="250"/>
      <c r="P50" s="250"/>
      <c r="Q50" s="251"/>
      <c r="R50" s="221"/>
      <c r="S50" s="222"/>
      <c r="T50" s="223"/>
    </row>
    <row r="51" spans="2:20" ht="21" customHeight="1">
      <c r="B51" s="245"/>
      <c r="C51" s="246"/>
      <c r="D51" s="247"/>
      <c r="E51" s="248"/>
      <c r="F51" s="246"/>
      <c r="G51" s="247"/>
      <c r="H51" s="248"/>
      <c r="I51" s="246"/>
      <c r="J51" s="247"/>
      <c r="K51" s="249" t="str">
        <f t="shared" si="0"/>
        <v/>
      </c>
      <c r="L51" s="250"/>
      <c r="M51" s="250"/>
      <c r="N51" s="250"/>
      <c r="O51" s="250"/>
      <c r="P51" s="250"/>
      <c r="Q51" s="251"/>
      <c r="R51" s="221"/>
      <c r="S51" s="222"/>
      <c r="T51" s="223"/>
    </row>
    <row r="52" spans="2:20" ht="21" customHeight="1">
      <c r="B52" s="245"/>
      <c r="C52" s="246"/>
      <c r="D52" s="247"/>
      <c r="E52" s="248"/>
      <c r="F52" s="246"/>
      <c r="G52" s="247"/>
      <c r="H52" s="248"/>
      <c r="I52" s="246"/>
      <c r="J52" s="247"/>
      <c r="K52" s="249" t="str">
        <f t="shared" si="0"/>
        <v/>
      </c>
      <c r="L52" s="250"/>
      <c r="M52" s="250"/>
      <c r="N52" s="250"/>
      <c r="O52" s="250"/>
      <c r="P52" s="250"/>
      <c r="Q52" s="251"/>
      <c r="R52" s="221"/>
      <c r="S52" s="222"/>
      <c r="T52" s="223"/>
    </row>
    <row r="53" spans="2:20" ht="21" customHeight="1">
      <c r="B53" s="245"/>
      <c r="C53" s="246"/>
      <c r="D53" s="247"/>
      <c r="E53" s="248"/>
      <c r="F53" s="246"/>
      <c r="G53" s="247"/>
      <c r="H53" s="248"/>
      <c r="I53" s="246"/>
      <c r="J53" s="247"/>
      <c r="K53" s="249" t="str">
        <f t="shared" si="0"/>
        <v/>
      </c>
      <c r="L53" s="250"/>
      <c r="M53" s="250"/>
      <c r="N53" s="250"/>
      <c r="O53" s="250"/>
      <c r="P53" s="250"/>
      <c r="Q53" s="251"/>
      <c r="R53" s="221"/>
      <c r="S53" s="222"/>
      <c r="T53" s="223"/>
    </row>
    <row r="54" spans="2:20" ht="21" customHeight="1">
      <c r="B54" s="245"/>
      <c r="C54" s="246"/>
      <c r="D54" s="247"/>
      <c r="E54" s="248"/>
      <c r="F54" s="246"/>
      <c r="G54" s="247"/>
      <c r="H54" s="248"/>
      <c r="I54" s="246"/>
      <c r="J54" s="247"/>
      <c r="K54" s="249" t="str">
        <f t="shared" si="0"/>
        <v/>
      </c>
      <c r="L54" s="250"/>
      <c r="M54" s="250"/>
      <c r="N54" s="250"/>
      <c r="O54" s="250"/>
      <c r="P54" s="250"/>
      <c r="Q54" s="251"/>
      <c r="R54" s="221"/>
      <c r="S54" s="222"/>
      <c r="T54" s="223"/>
    </row>
    <row r="55" spans="2:20" ht="21" customHeight="1">
      <c r="B55" s="245"/>
      <c r="C55" s="246"/>
      <c r="D55" s="247"/>
      <c r="E55" s="248"/>
      <c r="F55" s="246"/>
      <c r="G55" s="247"/>
      <c r="H55" s="248"/>
      <c r="I55" s="246"/>
      <c r="J55" s="247"/>
      <c r="K55" s="249" t="str">
        <f t="shared" si="0"/>
        <v/>
      </c>
      <c r="L55" s="250"/>
      <c r="M55" s="250"/>
      <c r="N55" s="250"/>
      <c r="O55" s="250"/>
      <c r="P55" s="250"/>
      <c r="Q55" s="251"/>
      <c r="R55" s="221"/>
      <c r="S55" s="222"/>
      <c r="T55" s="223"/>
    </row>
    <row r="56" spans="2:20" ht="21" customHeight="1">
      <c r="B56" s="245"/>
      <c r="C56" s="246"/>
      <c r="D56" s="247"/>
      <c r="E56" s="248"/>
      <c r="F56" s="246"/>
      <c r="G56" s="247"/>
      <c r="H56" s="248"/>
      <c r="I56" s="246"/>
      <c r="J56" s="247"/>
      <c r="K56" s="249" t="str">
        <f t="shared" si="0"/>
        <v/>
      </c>
      <c r="L56" s="250"/>
      <c r="M56" s="250"/>
      <c r="N56" s="250"/>
      <c r="O56" s="250"/>
      <c r="P56" s="250"/>
      <c r="Q56" s="251"/>
      <c r="R56" s="221"/>
      <c r="S56" s="222"/>
      <c r="T56" s="223"/>
    </row>
    <row r="57" spans="2:20" ht="21" customHeight="1">
      <c r="B57" s="245"/>
      <c r="C57" s="246"/>
      <c r="D57" s="247"/>
      <c r="E57" s="248"/>
      <c r="F57" s="246"/>
      <c r="G57" s="247"/>
      <c r="H57" s="248"/>
      <c r="I57" s="246"/>
      <c r="J57" s="247"/>
      <c r="K57" s="249" t="str">
        <f t="shared" si="0"/>
        <v/>
      </c>
      <c r="L57" s="250"/>
      <c r="M57" s="250"/>
      <c r="N57" s="250"/>
      <c r="O57" s="250"/>
      <c r="P57" s="250"/>
      <c r="Q57" s="251"/>
      <c r="R57" s="221"/>
      <c r="S57" s="222"/>
      <c r="T57" s="223"/>
    </row>
    <row r="58" spans="2:20" ht="21" customHeight="1">
      <c r="B58" s="245"/>
      <c r="C58" s="246"/>
      <c r="D58" s="247"/>
      <c r="E58" s="248"/>
      <c r="F58" s="246"/>
      <c r="G58" s="247"/>
      <c r="H58" s="248"/>
      <c r="I58" s="246"/>
      <c r="J58" s="247"/>
      <c r="K58" s="249" t="str">
        <f t="shared" si="0"/>
        <v/>
      </c>
      <c r="L58" s="250"/>
      <c r="M58" s="250"/>
      <c r="N58" s="250"/>
      <c r="O58" s="250"/>
      <c r="P58" s="250"/>
      <c r="Q58" s="251"/>
      <c r="R58" s="221"/>
      <c r="S58" s="222"/>
      <c r="T58" s="223"/>
    </row>
    <row r="59" spans="2:20" ht="21" customHeight="1">
      <c r="B59" s="245"/>
      <c r="C59" s="246"/>
      <c r="D59" s="247"/>
      <c r="E59" s="248"/>
      <c r="F59" s="246"/>
      <c r="G59" s="247"/>
      <c r="H59" s="248"/>
      <c r="I59" s="246"/>
      <c r="J59" s="247"/>
      <c r="K59" s="249" t="str">
        <f t="shared" si="0"/>
        <v/>
      </c>
      <c r="L59" s="250"/>
      <c r="M59" s="250"/>
      <c r="N59" s="250"/>
      <c r="O59" s="250"/>
      <c r="P59" s="250"/>
      <c r="Q59" s="251"/>
      <c r="R59" s="221"/>
      <c r="S59" s="222"/>
      <c r="T59" s="223"/>
    </row>
    <row r="60" spans="2:20" ht="21" customHeight="1">
      <c r="B60" s="245"/>
      <c r="C60" s="246"/>
      <c r="D60" s="247"/>
      <c r="E60" s="248"/>
      <c r="F60" s="246"/>
      <c r="G60" s="247"/>
      <c r="H60" s="248"/>
      <c r="I60" s="246"/>
      <c r="J60" s="247"/>
      <c r="K60" s="249" t="str">
        <f t="shared" si="0"/>
        <v/>
      </c>
      <c r="L60" s="250"/>
      <c r="M60" s="250"/>
      <c r="N60" s="250"/>
      <c r="O60" s="250"/>
      <c r="P60" s="250"/>
      <c r="Q60" s="251"/>
      <c r="R60" s="221"/>
      <c r="S60" s="222"/>
      <c r="T60" s="223"/>
    </row>
    <row r="61" spans="2:20" ht="21" customHeight="1">
      <c r="B61" s="245"/>
      <c r="C61" s="246"/>
      <c r="D61" s="247"/>
      <c r="E61" s="248"/>
      <c r="F61" s="246"/>
      <c r="G61" s="247"/>
      <c r="H61" s="248"/>
      <c r="I61" s="246"/>
      <c r="J61" s="247"/>
      <c r="K61" s="249" t="str">
        <f t="shared" si="0"/>
        <v/>
      </c>
      <c r="L61" s="250"/>
      <c r="M61" s="250"/>
      <c r="N61" s="250"/>
      <c r="O61" s="250"/>
      <c r="P61" s="250"/>
      <c r="Q61" s="251"/>
      <c r="R61" s="221"/>
      <c r="S61" s="222"/>
      <c r="T61" s="223"/>
    </row>
    <row r="62" spans="2:20" ht="21" customHeight="1">
      <c r="B62" s="245"/>
      <c r="C62" s="246"/>
      <c r="D62" s="247"/>
      <c r="E62" s="248"/>
      <c r="F62" s="246"/>
      <c r="G62" s="247"/>
      <c r="H62" s="248"/>
      <c r="I62" s="246"/>
      <c r="J62" s="247"/>
      <c r="K62" s="249" t="str">
        <f t="shared" si="0"/>
        <v/>
      </c>
      <c r="L62" s="250"/>
      <c r="M62" s="250"/>
      <c r="N62" s="250"/>
      <c r="O62" s="250"/>
      <c r="P62" s="250"/>
      <c r="Q62" s="251"/>
      <c r="R62" s="221"/>
      <c r="S62" s="222"/>
      <c r="T62" s="223"/>
    </row>
    <row r="63" spans="2:20" ht="21" customHeight="1">
      <c r="B63" s="245"/>
      <c r="C63" s="246"/>
      <c r="D63" s="247"/>
      <c r="E63" s="248"/>
      <c r="F63" s="246"/>
      <c r="G63" s="247"/>
      <c r="H63" s="248"/>
      <c r="I63" s="246"/>
      <c r="J63" s="247"/>
      <c r="K63" s="249" t="str">
        <f t="shared" si="0"/>
        <v/>
      </c>
      <c r="L63" s="250"/>
      <c r="M63" s="250"/>
      <c r="N63" s="250"/>
      <c r="O63" s="250"/>
      <c r="P63" s="250"/>
      <c r="Q63" s="251"/>
      <c r="R63" s="221"/>
      <c r="S63" s="222"/>
      <c r="T63" s="223"/>
    </row>
    <row r="64" spans="2:20" ht="21" customHeight="1">
      <c r="B64" s="245"/>
      <c r="C64" s="246"/>
      <c r="D64" s="247"/>
      <c r="E64" s="248"/>
      <c r="F64" s="246"/>
      <c r="G64" s="247"/>
      <c r="H64" s="248"/>
      <c r="I64" s="246"/>
      <c r="J64" s="247"/>
      <c r="K64" s="249" t="str">
        <f t="shared" si="0"/>
        <v/>
      </c>
      <c r="L64" s="250"/>
      <c r="M64" s="250"/>
      <c r="N64" s="250"/>
      <c r="O64" s="250"/>
      <c r="P64" s="250"/>
      <c r="Q64" s="251"/>
      <c r="R64" s="221"/>
      <c r="S64" s="222"/>
      <c r="T64" s="223"/>
    </row>
    <row r="65" spans="2:20" ht="21" customHeight="1">
      <c r="B65" s="245"/>
      <c r="C65" s="246"/>
      <c r="D65" s="247"/>
      <c r="E65" s="248"/>
      <c r="F65" s="246"/>
      <c r="G65" s="247"/>
      <c r="H65" s="248"/>
      <c r="I65" s="246"/>
      <c r="J65" s="247"/>
      <c r="K65" s="249" t="str">
        <f t="shared" si="0"/>
        <v/>
      </c>
      <c r="L65" s="250"/>
      <c r="M65" s="250"/>
      <c r="N65" s="250"/>
      <c r="O65" s="250"/>
      <c r="P65" s="250"/>
      <c r="Q65" s="251"/>
      <c r="R65" s="221"/>
      <c r="S65" s="222"/>
      <c r="T65" s="223"/>
    </row>
    <row r="66" spans="2:20" ht="21" customHeight="1">
      <c r="B66" s="245"/>
      <c r="C66" s="246"/>
      <c r="D66" s="247"/>
      <c r="E66" s="248"/>
      <c r="F66" s="246"/>
      <c r="G66" s="247"/>
      <c r="H66" s="248"/>
      <c r="I66" s="246"/>
      <c r="J66" s="247"/>
      <c r="K66" s="249" t="str">
        <f t="shared" si="0"/>
        <v/>
      </c>
      <c r="L66" s="250"/>
      <c r="M66" s="250"/>
      <c r="N66" s="250"/>
      <c r="O66" s="250"/>
      <c r="P66" s="250"/>
      <c r="Q66" s="251"/>
      <c r="R66" s="221"/>
      <c r="S66" s="222"/>
      <c r="T66" s="223"/>
    </row>
    <row r="67" spans="2:20" ht="21" customHeight="1">
      <c r="B67" s="245"/>
      <c r="C67" s="246"/>
      <c r="D67" s="247"/>
      <c r="E67" s="248"/>
      <c r="F67" s="246"/>
      <c r="G67" s="247"/>
      <c r="H67" s="248"/>
      <c r="I67" s="246"/>
      <c r="J67" s="247"/>
      <c r="K67" s="249" t="str">
        <f t="shared" si="0"/>
        <v/>
      </c>
      <c r="L67" s="250"/>
      <c r="M67" s="250"/>
      <c r="N67" s="250"/>
      <c r="O67" s="250"/>
      <c r="P67" s="250"/>
      <c r="Q67" s="251"/>
      <c r="R67" s="221"/>
      <c r="S67" s="222"/>
      <c r="T67" s="223"/>
    </row>
    <row r="68" spans="2:20" ht="21" customHeight="1">
      <c r="B68" s="245"/>
      <c r="C68" s="246"/>
      <c r="D68" s="247"/>
      <c r="E68" s="248"/>
      <c r="F68" s="246"/>
      <c r="G68" s="247"/>
      <c r="H68" s="248"/>
      <c r="I68" s="246"/>
      <c r="J68" s="247"/>
      <c r="K68" s="249" t="str">
        <f t="shared" si="0"/>
        <v/>
      </c>
      <c r="L68" s="250"/>
      <c r="M68" s="250"/>
      <c r="N68" s="250"/>
      <c r="O68" s="250"/>
      <c r="P68" s="250"/>
      <c r="Q68" s="251"/>
      <c r="R68" s="221"/>
      <c r="S68" s="222"/>
      <c r="T68" s="223"/>
    </row>
    <row r="69" spans="2:20" ht="21" customHeight="1">
      <c r="B69" s="245"/>
      <c r="C69" s="246"/>
      <c r="D69" s="247"/>
      <c r="E69" s="248"/>
      <c r="F69" s="246"/>
      <c r="G69" s="247"/>
      <c r="H69" s="248"/>
      <c r="I69" s="246"/>
      <c r="J69" s="247"/>
      <c r="K69" s="249" t="str">
        <f t="shared" si="0"/>
        <v/>
      </c>
      <c r="L69" s="250"/>
      <c r="M69" s="250"/>
      <c r="N69" s="250"/>
      <c r="O69" s="250"/>
      <c r="P69" s="250"/>
      <c r="Q69" s="251"/>
      <c r="R69" s="221"/>
      <c r="S69" s="222"/>
      <c r="T69" s="223"/>
    </row>
    <row r="70" spans="2:20" ht="21" customHeight="1">
      <c r="B70" s="245"/>
      <c r="C70" s="246"/>
      <c r="D70" s="247"/>
      <c r="E70" s="248"/>
      <c r="F70" s="246"/>
      <c r="G70" s="247"/>
      <c r="H70" s="248"/>
      <c r="I70" s="246"/>
      <c r="J70" s="247"/>
      <c r="K70" s="249" t="str">
        <f t="shared" si="0"/>
        <v/>
      </c>
      <c r="L70" s="250"/>
      <c r="M70" s="250"/>
      <c r="N70" s="250"/>
      <c r="O70" s="250"/>
      <c r="P70" s="250"/>
      <c r="Q70" s="251"/>
      <c r="R70" s="221"/>
      <c r="S70" s="222"/>
      <c r="T70" s="223"/>
    </row>
    <row r="71" spans="2:20" ht="21" customHeight="1">
      <c r="B71" s="245"/>
      <c r="C71" s="246"/>
      <c r="D71" s="247"/>
      <c r="E71" s="248"/>
      <c r="F71" s="246"/>
      <c r="G71" s="247"/>
      <c r="H71" s="248"/>
      <c r="I71" s="246"/>
      <c r="J71" s="247"/>
      <c r="K71" s="249" t="str">
        <f t="shared" si="0"/>
        <v/>
      </c>
      <c r="L71" s="250"/>
      <c r="M71" s="250"/>
      <c r="N71" s="250"/>
      <c r="O71" s="250"/>
      <c r="P71" s="250"/>
      <c r="Q71" s="251"/>
      <c r="R71" s="221"/>
      <c r="S71" s="222"/>
      <c r="T71" s="223"/>
    </row>
    <row r="72" spans="2:20" ht="21" customHeight="1">
      <c r="B72" s="245"/>
      <c r="C72" s="246"/>
      <c r="D72" s="247"/>
      <c r="E72" s="248"/>
      <c r="F72" s="246"/>
      <c r="G72" s="247"/>
      <c r="H72" s="248"/>
      <c r="I72" s="246"/>
      <c r="J72" s="247"/>
      <c r="K72" s="249" t="str">
        <f t="shared" si="0"/>
        <v/>
      </c>
      <c r="L72" s="250"/>
      <c r="M72" s="250"/>
      <c r="N72" s="250"/>
      <c r="O72" s="250"/>
      <c r="P72" s="250"/>
      <c r="Q72" s="251"/>
      <c r="R72" s="221"/>
      <c r="S72" s="222"/>
      <c r="T72" s="223"/>
    </row>
    <row r="73" spans="2:20" ht="21" customHeight="1">
      <c r="B73" s="245"/>
      <c r="C73" s="246"/>
      <c r="D73" s="247"/>
      <c r="E73" s="248"/>
      <c r="F73" s="246"/>
      <c r="G73" s="247"/>
      <c r="H73" s="248"/>
      <c r="I73" s="246"/>
      <c r="J73" s="247"/>
      <c r="K73" s="249" t="str">
        <f t="shared" si="0"/>
        <v/>
      </c>
      <c r="L73" s="250"/>
      <c r="M73" s="250"/>
      <c r="N73" s="250"/>
      <c r="O73" s="250"/>
      <c r="P73" s="250"/>
      <c r="Q73" s="251"/>
      <c r="R73" s="221"/>
      <c r="S73" s="222"/>
      <c r="T73" s="223"/>
    </row>
    <row r="74" spans="2:20" ht="21" customHeight="1">
      <c r="B74" s="245"/>
      <c r="C74" s="246"/>
      <c r="D74" s="247"/>
      <c r="E74" s="248"/>
      <c r="F74" s="246"/>
      <c r="G74" s="247"/>
      <c r="H74" s="248"/>
      <c r="I74" s="246"/>
      <c r="J74" s="247"/>
      <c r="K74" s="249" t="str">
        <f t="shared" si="0"/>
        <v/>
      </c>
      <c r="L74" s="250"/>
      <c r="M74" s="250"/>
      <c r="N74" s="250"/>
      <c r="O74" s="250"/>
      <c r="P74" s="250"/>
      <c r="Q74" s="251"/>
      <c r="R74" s="221"/>
      <c r="S74" s="222"/>
      <c r="T74" s="223"/>
    </row>
    <row r="75" spans="2:20" ht="21" customHeight="1">
      <c r="B75" s="245"/>
      <c r="C75" s="246"/>
      <c r="D75" s="247"/>
      <c r="E75" s="248"/>
      <c r="F75" s="246"/>
      <c r="G75" s="247"/>
      <c r="H75" s="248"/>
      <c r="I75" s="246"/>
      <c r="J75" s="247"/>
      <c r="K75" s="249" t="str">
        <f t="shared" si="0"/>
        <v/>
      </c>
      <c r="L75" s="250"/>
      <c r="M75" s="250"/>
      <c r="N75" s="250"/>
      <c r="O75" s="250"/>
      <c r="P75" s="250"/>
      <c r="Q75" s="251"/>
      <c r="R75" s="221"/>
      <c r="S75" s="222"/>
      <c r="T75" s="223"/>
    </row>
    <row r="76" spans="2:20" ht="21" customHeight="1">
      <c r="B76" s="245"/>
      <c r="C76" s="246"/>
      <c r="D76" s="247"/>
      <c r="E76" s="248"/>
      <c r="F76" s="246"/>
      <c r="G76" s="247"/>
      <c r="H76" s="248"/>
      <c r="I76" s="246"/>
      <c r="J76" s="247"/>
      <c r="K76" s="249" t="str">
        <f t="shared" si="0"/>
        <v/>
      </c>
      <c r="L76" s="250"/>
      <c r="M76" s="250"/>
      <c r="N76" s="250"/>
      <c r="O76" s="250"/>
      <c r="P76" s="250"/>
      <c r="Q76" s="251"/>
      <c r="R76" s="221"/>
      <c r="S76" s="222"/>
      <c r="T76" s="223"/>
    </row>
    <row r="77" spans="2:20" ht="21" customHeight="1">
      <c r="B77" s="245"/>
      <c r="C77" s="246"/>
      <c r="D77" s="247"/>
      <c r="E77" s="248"/>
      <c r="F77" s="246"/>
      <c r="G77" s="247"/>
      <c r="H77" s="248"/>
      <c r="I77" s="246"/>
      <c r="J77" s="247"/>
      <c r="K77" s="249" t="str">
        <f t="shared" si="0"/>
        <v/>
      </c>
      <c r="L77" s="250"/>
      <c r="M77" s="250"/>
      <c r="N77" s="250"/>
      <c r="O77" s="250"/>
      <c r="P77" s="250"/>
      <c r="Q77" s="251"/>
      <c r="R77" s="221"/>
      <c r="S77" s="222"/>
      <c r="T77" s="223"/>
    </row>
    <row r="78" spans="2:20" ht="21" customHeight="1">
      <c r="B78" s="245"/>
      <c r="C78" s="246"/>
      <c r="D78" s="247"/>
      <c r="E78" s="248"/>
      <c r="F78" s="246"/>
      <c r="G78" s="247"/>
      <c r="H78" s="248"/>
      <c r="I78" s="246"/>
      <c r="J78" s="247"/>
      <c r="K78" s="249" t="str">
        <f t="shared" si="0"/>
        <v/>
      </c>
      <c r="L78" s="250"/>
      <c r="M78" s="250"/>
      <c r="N78" s="250"/>
      <c r="O78" s="250"/>
      <c r="P78" s="250"/>
      <c r="Q78" s="251"/>
      <c r="R78" s="221"/>
      <c r="S78" s="222"/>
      <c r="T78" s="223"/>
    </row>
    <row r="79" spans="2:20" ht="21" customHeight="1">
      <c r="B79" s="245"/>
      <c r="C79" s="246"/>
      <c r="D79" s="247"/>
      <c r="E79" s="248"/>
      <c r="F79" s="246"/>
      <c r="G79" s="247"/>
      <c r="H79" s="248"/>
      <c r="I79" s="246"/>
      <c r="J79" s="247"/>
      <c r="K79" s="249" t="str">
        <f t="shared" si="0"/>
        <v/>
      </c>
      <c r="L79" s="250"/>
      <c r="M79" s="250"/>
      <c r="N79" s="250"/>
      <c r="O79" s="250"/>
      <c r="P79" s="250"/>
      <c r="Q79" s="251"/>
      <c r="R79" s="221"/>
      <c r="S79" s="222"/>
      <c r="T79" s="223"/>
    </row>
    <row r="80" spans="2:20" ht="21" customHeight="1">
      <c r="B80" s="245"/>
      <c r="C80" s="246"/>
      <c r="D80" s="247"/>
      <c r="E80" s="248"/>
      <c r="F80" s="246"/>
      <c r="G80" s="247"/>
      <c r="H80" s="248"/>
      <c r="I80" s="246"/>
      <c r="J80" s="247"/>
      <c r="K80" s="249" t="str">
        <f t="shared" si="0"/>
        <v/>
      </c>
      <c r="L80" s="250"/>
      <c r="M80" s="250"/>
      <c r="N80" s="250"/>
      <c r="O80" s="250"/>
      <c r="P80" s="250"/>
      <c r="Q80" s="251"/>
      <c r="R80" s="221"/>
      <c r="S80" s="222"/>
      <c r="T80" s="223"/>
    </row>
    <row r="81" spans="2:20" ht="21" customHeight="1">
      <c r="B81" s="245"/>
      <c r="C81" s="246"/>
      <c r="D81" s="247"/>
      <c r="E81" s="248"/>
      <c r="F81" s="246"/>
      <c r="G81" s="247"/>
      <c r="H81" s="248"/>
      <c r="I81" s="246"/>
      <c r="J81" s="247"/>
      <c r="K81" s="249" t="str">
        <f t="shared" si="0"/>
        <v/>
      </c>
      <c r="L81" s="250"/>
      <c r="M81" s="250"/>
      <c r="N81" s="250"/>
      <c r="O81" s="250"/>
      <c r="P81" s="250"/>
      <c r="Q81" s="251"/>
      <c r="R81" s="221"/>
      <c r="S81" s="222"/>
      <c r="T81" s="223"/>
    </row>
    <row r="82" spans="2:20" ht="21" customHeight="1">
      <c r="B82" s="245"/>
      <c r="C82" s="246"/>
      <c r="D82" s="247"/>
      <c r="E82" s="248"/>
      <c r="F82" s="246"/>
      <c r="G82" s="247"/>
      <c r="H82" s="248"/>
      <c r="I82" s="246"/>
      <c r="J82" s="247"/>
      <c r="K82" s="249" t="str">
        <f t="shared" si="0"/>
        <v/>
      </c>
      <c r="L82" s="250"/>
      <c r="M82" s="250"/>
      <c r="N82" s="250"/>
      <c r="O82" s="250"/>
      <c r="P82" s="250"/>
      <c r="Q82" s="251"/>
      <c r="R82" s="221"/>
      <c r="S82" s="222"/>
      <c r="T82" s="223"/>
    </row>
    <row r="83" spans="2:20" ht="21" customHeight="1">
      <c r="B83" s="245"/>
      <c r="C83" s="246"/>
      <c r="D83" s="247"/>
      <c r="E83" s="248"/>
      <c r="F83" s="246"/>
      <c r="G83" s="247"/>
      <c r="H83" s="248"/>
      <c r="I83" s="246"/>
      <c r="J83" s="247"/>
      <c r="K83" s="249" t="str">
        <f t="shared" si="0"/>
        <v/>
      </c>
      <c r="L83" s="250"/>
      <c r="M83" s="250"/>
      <c r="N83" s="250"/>
      <c r="O83" s="250"/>
      <c r="P83" s="250"/>
      <c r="Q83" s="251"/>
      <c r="R83" s="221"/>
      <c r="S83" s="222"/>
      <c r="T83" s="223"/>
    </row>
    <row r="84" spans="2:20" ht="21" customHeight="1">
      <c r="B84" s="245"/>
      <c r="C84" s="246"/>
      <c r="D84" s="247"/>
      <c r="E84" s="248"/>
      <c r="F84" s="246"/>
      <c r="G84" s="247"/>
      <c r="H84" s="248"/>
      <c r="I84" s="246"/>
      <c r="J84" s="247"/>
      <c r="K84" s="249" t="str">
        <f t="shared" si="0"/>
        <v/>
      </c>
      <c r="L84" s="250"/>
      <c r="M84" s="250"/>
      <c r="N84" s="250"/>
      <c r="O84" s="250"/>
      <c r="P84" s="250"/>
      <c r="Q84" s="251"/>
      <c r="R84" s="221"/>
      <c r="S84" s="222"/>
      <c r="T84" s="223"/>
    </row>
    <row r="85" spans="2:20" ht="21" customHeight="1">
      <c r="B85" s="245"/>
      <c r="C85" s="246"/>
      <c r="D85" s="247"/>
      <c r="E85" s="248"/>
      <c r="F85" s="246"/>
      <c r="G85" s="247"/>
      <c r="H85" s="248"/>
      <c r="I85" s="246"/>
      <c r="J85" s="247"/>
      <c r="K85" s="249" t="str">
        <f t="shared" ref="K85:K119" si="1">IFERROR(HLOOKUP(H85,$F$6:$AS$13,5,FALSE),"")</f>
        <v/>
      </c>
      <c r="L85" s="250"/>
      <c r="M85" s="250"/>
      <c r="N85" s="250"/>
      <c r="O85" s="250"/>
      <c r="P85" s="250"/>
      <c r="Q85" s="251"/>
      <c r="R85" s="221"/>
      <c r="S85" s="222"/>
      <c r="T85" s="223"/>
    </row>
    <row r="86" spans="2:20" ht="21" customHeight="1">
      <c r="B86" s="245"/>
      <c r="C86" s="246"/>
      <c r="D86" s="247"/>
      <c r="E86" s="248"/>
      <c r="F86" s="246"/>
      <c r="G86" s="247"/>
      <c r="H86" s="248"/>
      <c r="I86" s="246"/>
      <c r="J86" s="247"/>
      <c r="K86" s="249" t="str">
        <f t="shared" si="1"/>
        <v/>
      </c>
      <c r="L86" s="250"/>
      <c r="M86" s="250"/>
      <c r="N86" s="250"/>
      <c r="O86" s="250"/>
      <c r="P86" s="250"/>
      <c r="Q86" s="251"/>
      <c r="R86" s="221"/>
      <c r="S86" s="222"/>
      <c r="T86" s="223"/>
    </row>
    <row r="87" spans="2:20" ht="21" customHeight="1">
      <c r="B87" s="245"/>
      <c r="C87" s="246"/>
      <c r="D87" s="247"/>
      <c r="E87" s="248"/>
      <c r="F87" s="246"/>
      <c r="G87" s="247"/>
      <c r="H87" s="248"/>
      <c r="I87" s="246"/>
      <c r="J87" s="247"/>
      <c r="K87" s="249" t="str">
        <f t="shared" si="1"/>
        <v/>
      </c>
      <c r="L87" s="250"/>
      <c r="M87" s="250"/>
      <c r="N87" s="250"/>
      <c r="O87" s="250"/>
      <c r="P87" s="250"/>
      <c r="Q87" s="251"/>
      <c r="R87" s="221"/>
      <c r="S87" s="222"/>
      <c r="T87" s="223"/>
    </row>
    <row r="88" spans="2:20" ht="21" customHeight="1">
      <c r="B88" s="245"/>
      <c r="C88" s="246"/>
      <c r="D88" s="247"/>
      <c r="E88" s="248"/>
      <c r="F88" s="246"/>
      <c r="G88" s="247"/>
      <c r="H88" s="248"/>
      <c r="I88" s="246"/>
      <c r="J88" s="247"/>
      <c r="K88" s="249" t="str">
        <f t="shared" si="1"/>
        <v/>
      </c>
      <c r="L88" s="250"/>
      <c r="M88" s="250"/>
      <c r="N88" s="250"/>
      <c r="O88" s="250"/>
      <c r="P88" s="250"/>
      <c r="Q88" s="251"/>
      <c r="R88" s="221"/>
      <c r="S88" s="222"/>
      <c r="T88" s="223"/>
    </row>
    <row r="89" spans="2:20" ht="21" customHeight="1">
      <c r="B89" s="245"/>
      <c r="C89" s="246"/>
      <c r="D89" s="247"/>
      <c r="E89" s="248"/>
      <c r="F89" s="246"/>
      <c r="G89" s="247"/>
      <c r="H89" s="248"/>
      <c r="I89" s="246"/>
      <c r="J89" s="247"/>
      <c r="K89" s="249" t="str">
        <f t="shared" si="1"/>
        <v/>
      </c>
      <c r="L89" s="250"/>
      <c r="M89" s="250"/>
      <c r="N89" s="250"/>
      <c r="O89" s="250"/>
      <c r="P89" s="250"/>
      <c r="Q89" s="251"/>
      <c r="R89" s="221"/>
      <c r="S89" s="222"/>
      <c r="T89" s="223"/>
    </row>
    <row r="90" spans="2:20" ht="21" customHeight="1">
      <c r="B90" s="245"/>
      <c r="C90" s="246"/>
      <c r="D90" s="247"/>
      <c r="E90" s="248"/>
      <c r="F90" s="246"/>
      <c r="G90" s="247"/>
      <c r="H90" s="248"/>
      <c r="I90" s="246"/>
      <c r="J90" s="247"/>
      <c r="K90" s="249" t="str">
        <f t="shared" si="1"/>
        <v/>
      </c>
      <c r="L90" s="250"/>
      <c r="M90" s="250"/>
      <c r="N90" s="250"/>
      <c r="O90" s="250"/>
      <c r="P90" s="250"/>
      <c r="Q90" s="251"/>
      <c r="R90" s="221"/>
      <c r="S90" s="222"/>
      <c r="T90" s="223"/>
    </row>
    <row r="91" spans="2:20" ht="21" customHeight="1">
      <c r="B91" s="245"/>
      <c r="C91" s="246"/>
      <c r="D91" s="247"/>
      <c r="E91" s="248"/>
      <c r="F91" s="246"/>
      <c r="G91" s="247"/>
      <c r="H91" s="248"/>
      <c r="I91" s="246"/>
      <c r="J91" s="247"/>
      <c r="K91" s="249" t="str">
        <f t="shared" si="1"/>
        <v/>
      </c>
      <c r="L91" s="250"/>
      <c r="M91" s="250"/>
      <c r="N91" s="250"/>
      <c r="O91" s="250"/>
      <c r="P91" s="250"/>
      <c r="Q91" s="251"/>
      <c r="R91" s="221"/>
      <c r="S91" s="222"/>
      <c r="T91" s="223"/>
    </row>
    <row r="92" spans="2:20" ht="21" customHeight="1">
      <c r="B92" s="245"/>
      <c r="C92" s="246"/>
      <c r="D92" s="247"/>
      <c r="E92" s="248"/>
      <c r="F92" s="246"/>
      <c r="G92" s="247"/>
      <c r="H92" s="248"/>
      <c r="I92" s="246"/>
      <c r="J92" s="247"/>
      <c r="K92" s="249" t="str">
        <f t="shared" si="1"/>
        <v/>
      </c>
      <c r="L92" s="250"/>
      <c r="M92" s="250"/>
      <c r="N92" s="250"/>
      <c r="O92" s="250"/>
      <c r="P92" s="250"/>
      <c r="Q92" s="251"/>
      <c r="R92" s="221"/>
      <c r="S92" s="222"/>
      <c r="T92" s="223"/>
    </row>
    <row r="93" spans="2:20" ht="21" customHeight="1">
      <c r="B93" s="245"/>
      <c r="C93" s="246"/>
      <c r="D93" s="247"/>
      <c r="E93" s="248"/>
      <c r="F93" s="246"/>
      <c r="G93" s="247"/>
      <c r="H93" s="248"/>
      <c r="I93" s="246"/>
      <c r="J93" s="247"/>
      <c r="K93" s="249" t="str">
        <f t="shared" si="1"/>
        <v/>
      </c>
      <c r="L93" s="250"/>
      <c r="M93" s="250"/>
      <c r="N93" s="250"/>
      <c r="O93" s="250"/>
      <c r="P93" s="250"/>
      <c r="Q93" s="251"/>
      <c r="R93" s="221"/>
      <c r="S93" s="222"/>
      <c r="T93" s="223"/>
    </row>
    <row r="94" spans="2:20" ht="21" customHeight="1">
      <c r="B94" s="245"/>
      <c r="C94" s="246"/>
      <c r="D94" s="247"/>
      <c r="E94" s="248"/>
      <c r="F94" s="246"/>
      <c r="G94" s="247"/>
      <c r="H94" s="248"/>
      <c r="I94" s="246"/>
      <c r="J94" s="247"/>
      <c r="K94" s="249" t="str">
        <f t="shared" si="1"/>
        <v/>
      </c>
      <c r="L94" s="250"/>
      <c r="M94" s="250"/>
      <c r="N94" s="250"/>
      <c r="O94" s="250"/>
      <c r="P94" s="250"/>
      <c r="Q94" s="251"/>
      <c r="R94" s="221"/>
      <c r="S94" s="222"/>
      <c r="T94" s="223"/>
    </row>
    <row r="95" spans="2:20" ht="21" customHeight="1">
      <c r="B95" s="245"/>
      <c r="C95" s="246"/>
      <c r="D95" s="247"/>
      <c r="E95" s="248"/>
      <c r="F95" s="246"/>
      <c r="G95" s="247"/>
      <c r="H95" s="248"/>
      <c r="I95" s="246"/>
      <c r="J95" s="247"/>
      <c r="K95" s="249" t="str">
        <f t="shared" si="1"/>
        <v/>
      </c>
      <c r="L95" s="250"/>
      <c r="M95" s="250"/>
      <c r="N95" s="250"/>
      <c r="O95" s="250"/>
      <c r="P95" s="250"/>
      <c r="Q95" s="251"/>
      <c r="R95" s="221"/>
      <c r="S95" s="222"/>
      <c r="T95" s="223"/>
    </row>
    <row r="96" spans="2:20" ht="21" customHeight="1">
      <c r="B96" s="245"/>
      <c r="C96" s="246"/>
      <c r="D96" s="247"/>
      <c r="E96" s="248"/>
      <c r="F96" s="246"/>
      <c r="G96" s="247"/>
      <c r="H96" s="248"/>
      <c r="I96" s="246"/>
      <c r="J96" s="247"/>
      <c r="K96" s="249" t="str">
        <f t="shared" si="1"/>
        <v/>
      </c>
      <c r="L96" s="250"/>
      <c r="M96" s="250"/>
      <c r="N96" s="250"/>
      <c r="O96" s="250"/>
      <c r="P96" s="250"/>
      <c r="Q96" s="251"/>
      <c r="R96" s="221"/>
      <c r="S96" s="222"/>
      <c r="T96" s="223"/>
    </row>
    <row r="97" spans="2:20" ht="21" customHeight="1">
      <c r="B97" s="245"/>
      <c r="C97" s="246"/>
      <c r="D97" s="247"/>
      <c r="E97" s="248"/>
      <c r="F97" s="246"/>
      <c r="G97" s="247"/>
      <c r="H97" s="248"/>
      <c r="I97" s="246"/>
      <c r="J97" s="247"/>
      <c r="K97" s="249" t="str">
        <f t="shared" si="1"/>
        <v/>
      </c>
      <c r="L97" s="250"/>
      <c r="M97" s="250"/>
      <c r="N97" s="250"/>
      <c r="O97" s="250"/>
      <c r="P97" s="250"/>
      <c r="Q97" s="251"/>
      <c r="R97" s="221"/>
      <c r="S97" s="222"/>
      <c r="T97" s="223"/>
    </row>
    <row r="98" spans="2:20" ht="21" customHeight="1">
      <c r="B98" s="245"/>
      <c r="C98" s="246"/>
      <c r="D98" s="247"/>
      <c r="E98" s="248"/>
      <c r="F98" s="246"/>
      <c r="G98" s="247"/>
      <c r="H98" s="248"/>
      <c r="I98" s="246"/>
      <c r="J98" s="247"/>
      <c r="K98" s="249" t="str">
        <f t="shared" si="1"/>
        <v/>
      </c>
      <c r="L98" s="250"/>
      <c r="M98" s="250"/>
      <c r="N98" s="250"/>
      <c r="O98" s="250"/>
      <c r="P98" s="250"/>
      <c r="Q98" s="251"/>
      <c r="R98" s="221"/>
      <c r="S98" s="222"/>
      <c r="T98" s="223"/>
    </row>
    <row r="99" spans="2:20" ht="21" customHeight="1">
      <c r="B99" s="245"/>
      <c r="C99" s="246"/>
      <c r="D99" s="247"/>
      <c r="E99" s="248"/>
      <c r="F99" s="246"/>
      <c r="G99" s="247"/>
      <c r="H99" s="248"/>
      <c r="I99" s="246"/>
      <c r="J99" s="247"/>
      <c r="K99" s="249" t="str">
        <f t="shared" si="1"/>
        <v/>
      </c>
      <c r="L99" s="250"/>
      <c r="M99" s="250"/>
      <c r="N99" s="250"/>
      <c r="O99" s="250"/>
      <c r="P99" s="250"/>
      <c r="Q99" s="251"/>
      <c r="R99" s="221"/>
      <c r="S99" s="222"/>
      <c r="T99" s="223"/>
    </row>
    <row r="100" spans="2:20" ht="21" customHeight="1">
      <c r="B100" s="245"/>
      <c r="C100" s="246"/>
      <c r="D100" s="247"/>
      <c r="E100" s="248"/>
      <c r="F100" s="246"/>
      <c r="G100" s="247"/>
      <c r="H100" s="248"/>
      <c r="I100" s="246"/>
      <c r="J100" s="247"/>
      <c r="K100" s="249" t="str">
        <f t="shared" si="1"/>
        <v/>
      </c>
      <c r="L100" s="250"/>
      <c r="M100" s="250"/>
      <c r="N100" s="250"/>
      <c r="O100" s="250"/>
      <c r="P100" s="250"/>
      <c r="Q100" s="251"/>
      <c r="R100" s="221"/>
      <c r="S100" s="222"/>
      <c r="T100" s="223"/>
    </row>
    <row r="101" spans="2:20" ht="21" customHeight="1">
      <c r="B101" s="245"/>
      <c r="C101" s="246"/>
      <c r="D101" s="247"/>
      <c r="E101" s="248"/>
      <c r="F101" s="246"/>
      <c r="G101" s="247"/>
      <c r="H101" s="248"/>
      <c r="I101" s="246"/>
      <c r="J101" s="247"/>
      <c r="K101" s="249" t="str">
        <f t="shared" si="1"/>
        <v/>
      </c>
      <c r="L101" s="250"/>
      <c r="M101" s="250"/>
      <c r="N101" s="250"/>
      <c r="O101" s="250"/>
      <c r="P101" s="250"/>
      <c r="Q101" s="251"/>
      <c r="R101" s="221"/>
      <c r="S101" s="222"/>
      <c r="T101" s="223"/>
    </row>
    <row r="102" spans="2:20" ht="21" customHeight="1">
      <c r="B102" s="245"/>
      <c r="C102" s="246"/>
      <c r="D102" s="247"/>
      <c r="E102" s="248"/>
      <c r="F102" s="246"/>
      <c r="G102" s="247"/>
      <c r="H102" s="248"/>
      <c r="I102" s="246"/>
      <c r="J102" s="247"/>
      <c r="K102" s="249" t="str">
        <f t="shared" si="1"/>
        <v/>
      </c>
      <c r="L102" s="250"/>
      <c r="M102" s="250"/>
      <c r="N102" s="250"/>
      <c r="O102" s="250"/>
      <c r="P102" s="250"/>
      <c r="Q102" s="251"/>
      <c r="R102" s="221"/>
      <c r="S102" s="222"/>
      <c r="T102" s="223"/>
    </row>
    <row r="103" spans="2:20" ht="21" customHeight="1">
      <c r="B103" s="245"/>
      <c r="C103" s="246"/>
      <c r="D103" s="247"/>
      <c r="E103" s="248"/>
      <c r="F103" s="246"/>
      <c r="G103" s="247"/>
      <c r="H103" s="248"/>
      <c r="I103" s="246"/>
      <c r="J103" s="247"/>
      <c r="K103" s="249" t="str">
        <f t="shared" si="1"/>
        <v/>
      </c>
      <c r="L103" s="250"/>
      <c r="M103" s="250"/>
      <c r="N103" s="250"/>
      <c r="O103" s="250"/>
      <c r="P103" s="250"/>
      <c r="Q103" s="251"/>
      <c r="R103" s="221"/>
      <c r="S103" s="222"/>
      <c r="T103" s="223"/>
    </row>
    <row r="104" spans="2:20" ht="21" customHeight="1">
      <c r="B104" s="245"/>
      <c r="C104" s="246"/>
      <c r="D104" s="247"/>
      <c r="E104" s="248"/>
      <c r="F104" s="246"/>
      <c r="G104" s="247"/>
      <c r="H104" s="248"/>
      <c r="I104" s="246"/>
      <c r="J104" s="247"/>
      <c r="K104" s="249" t="str">
        <f t="shared" si="1"/>
        <v/>
      </c>
      <c r="L104" s="250"/>
      <c r="M104" s="250"/>
      <c r="N104" s="250"/>
      <c r="O104" s="250"/>
      <c r="P104" s="250"/>
      <c r="Q104" s="251"/>
      <c r="R104" s="221"/>
      <c r="S104" s="222"/>
      <c r="T104" s="223"/>
    </row>
    <row r="105" spans="2:20" ht="21" customHeight="1">
      <c r="B105" s="245"/>
      <c r="C105" s="246"/>
      <c r="D105" s="247"/>
      <c r="E105" s="248"/>
      <c r="F105" s="246"/>
      <c r="G105" s="247"/>
      <c r="H105" s="248"/>
      <c r="I105" s="246"/>
      <c r="J105" s="247"/>
      <c r="K105" s="249" t="str">
        <f t="shared" si="1"/>
        <v/>
      </c>
      <c r="L105" s="250"/>
      <c r="M105" s="250"/>
      <c r="N105" s="250"/>
      <c r="O105" s="250"/>
      <c r="P105" s="250"/>
      <c r="Q105" s="251"/>
      <c r="R105" s="221"/>
      <c r="S105" s="222"/>
      <c r="T105" s="223"/>
    </row>
    <row r="106" spans="2:20" ht="21" customHeight="1">
      <c r="B106" s="245"/>
      <c r="C106" s="246"/>
      <c r="D106" s="247"/>
      <c r="E106" s="248"/>
      <c r="F106" s="246"/>
      <c r="G106" s="247"/>
      <c r="H106" s="248"/>
      <c r="I106" s="246"/>
      <c r="J106" s="247"/>
      <c r="K106" s="249" t="str">
        <f t="shared" si="1"/>
        <v/>
      </c>
      <c r="L106" s="250"/>
      <c r="M106" s="250"/>
      <c r="N106" s="250"/>
      <c r="O106" s="250"/>
      <c r="P106" s="250"/>
      <c r="Q106" s="251"/>
      <c r="R106" s="221"/>
      <c r="S106" s="222"/>
      <c r="T106" s="223"/>
    </row>
    <row r="107" spans="2:20" ht="21" customHeight="1">
      <c r="B107" s="245"/>
      <c r="C107" s="246"/>
      <c r="D107" s="247"/>
      <c r="E107" s="248"/>
      <c r="F107" s="246"/>
      <c r="G107" s="247"/>
      <c r="H107" s="248"/>
      <c r="I107" s="246"/>
      <c r="J107" s="247"/>
      <c r="K107" s="249" t="str">
        <f t="shared" si="1"/>
        <v/>
      </c>
      <c r="L107" s="250"/>
      <c r="M107" s="250"/>
      <c r="N107" s="250"/>
      <c r="O107" s="250"/>
      <c r="P107" s="250"/>
      <c r="Q107" s="251"/>
      <c r="R107" s="221"/>
      <c r="S107" s="222"/>
      <c r="T107" s="223"/>
    </row>
    <row r="108" spans="2:20" ht="21" customHeight="1">
      <c r="B108" s="245"/>
      <c r="C108" s="246"/>
      <c r="D108" s="247"/>
      <c r="E108" s="248"/>
      <c r="F108" s="246"/>
      <c r="G108" s="247"/>
      <c r="H108" s="248"/>
      <c r="I108" s="246"/>
      <c r="J108" s="247"/>
      <c r="K108" s="249" t="str">
        <f t="shared" si="1"/>
        <v/>
      </c>
      <c r="L108" s="250"/>
      <c r="M108" s="250"/>
      <c r="N108" s="250"/>
      <c r="O108" s="250"/>
      <c r="P108" s="250"/>
      <c r="Q108" s="251"/>
      <c r="R108" s="221"/>
      <c r="S108" s="222"/>
      <c r="T108" s="223"/>
    </row>
    <row r="109" spans="2:20" ht="21" customHeight="1">
      <c r="B109" s="245"/>
      <c r="C109" s="246"/>
      <c r="D109" s="247"/>
      <c r="E109" s="248"/>
      <c r="F109" s="246"/>
      <c r="G109" s="247"/>
      <c r="H109" s="248"/>
      <c r="I109" s="246"/>
      <c r="J109" s="247"/>
      <c r="K109" s="249" t="str">
        <f t="shared" si="1"/>
        <v/>
      </c>
      <c r="L109" s="250"/>
      <c r="M109" s="250"/>
      <c r="N109" s="250"/>
      <c r="O109" s="250"/>
      <c r="P109" s="250"/>
      <c r="Q109" s="251"/>
      <c r="R109" s="221"/>
      <c r="S109" s="222"/>
      <c r="T109" s="223"/>
    </row>
    <row r="110" spans="2:20" ht="21" customHeight="1">
      <c r="B110" s="245"/>
      <c r="C110" s="246"/>
      <c r="D110" s="247"/>
      <c r="E110" s="248"/>
      <c r="F110" s="246"/>
      <c r="G110" s="247"/>
      <c r="H110" s="248"/>
      <c r="I110" s="246"/>
      <c r="J110" s="247"/>
      <c r="K110" s="249" t="str">
        <f t="shared" si="1"/>
        <v/>
      </c>
      <c r="L110" s="250"/>
      <c r="M110" s="250"/>
      <c r="N110" s="250"/>
      <c r="O110" s="250"/>
      <c r="P110" s="250"/>
      <c r="Q110" s="251"/>
      <c r="R110" s="221"/>
      <c r="S110" s="222"/>
      <c r="T110" s="223"/>
    </row>
    <row r="111" spans="2:20" ht="21" customHeight="1">
      <c r="B111" s="245"/>
      <c r="C111" s="246"/>
      <c r="D111" s="247"/>
      <c r="E111" s="248"/>
      <c r="F111" s="246"/>
      <c r="G111" s="247"/>
      <c r="H111" s="248"/>
      <c r="I111" s="246"/>
      <c r="J111" s="247"/>
      <c r="K111" s="249" t="str">
        <f t="shared" si="1"/>
        <v/>
      </c>
      <c r="L111" s="250"/>
      <c r="M111" s="250"/>
      <c r="N111" s="250"/>
      <c r="O111" s="250"/>
      <c r="P111" s="250"/>
      <c r="Q111" s="251"/>
      <c r="R111" s="221"/>
      <c r="S111" s="222"/>
      <c r="T111" s="223"/>
    </row>
    <row r="112" spans="2:20" ht="21" customHeight="1">
      <c r="B112" s="245"/>
      <c r="C112" s="246"/>
      <c r="D112" s="247"/>
      <c r="E112" s="248"/>
      <c r="F112" s="246"/>
      <c r="G112" s="247"/>
      <c r="H112" s="248"/>
      <c r="I112" s="246"/>
      <c r="J112" s="247"/>
      <c r="K112" s="249" t="str">
        <f t="shared" si="1"/>
        <v/>
      </c>
      <c r="L112" s="250"/>
      <c r="M112" s="250"/>
      <c r="N112" s="250"/>
      <c r="O112" s="250"/>
      <c r="P112" s="250"/>
      <c r="Q112" s="251"/>
      <c r="R112" s="221"/>
      <c r="S112" s="222"/>
      <c r="T112" s="223"/>
    </row>
    <row r="113" spans="2:20" ht="21" customHeight="1">
      <c r="B113" s="245"/>
      <c r="C113" s="246"/>
      <c r="D113" s="247"/>
      <c r="E113" s="248"/>
      <c r="F113" s="246"/>
      <c r="G113" s="247"/>
      <c r="H113" s="248"/>
      <c r="I113" s="246"/>
      <c r="J113" s="247"/>
      <c r="K113" s="249" t="str">
        <f t="shared" si="1"/>
        <v/>
      </c>
      <c r="L113" s="250"/>
      <c r="M113" s="250"/>
      <c r="N113" s="250"/>
      <c r="O113" s="250"/>
      <c r="P113" s="250"/>
      <c r="Q113" s="251"/>
      <c r="R113" s="221"/>
      <c r="S113" s="222"/>
      <c r="T113" s="223"/>
    </row>
    <row r="114" spans="2:20" ht="21" customHeight="1">
      <c r="B114" s="245"/>
      <c r="C114" s="246"/>
      <c r="D114" s="247"/>
      <c r="E114" s="248"/>
      <c r="F114" s="246"/>
      <c r="G114" s="247"/>
      <c r="H114" s="248"/>
      <c r="I114" s="246"/>
      <c r="J114" s="247"/>
      <c r="K114" s="249" t="str">
        <f t="shared" si="1"/>
        <v/>
      </c>
      <c r="L114" s="250"/>
      <c r="M114" s="250"/>
      <c r="N114" s="250"/>
      <c r="O114" s="250"/>
      <c r="P114" s="250"/>
      <c r="Q114" s="251"/>
      <c r="R114" s="221"/>
      <c r="S114" s="222"/>
      <c r="T114" s="223"/>
    </row>
    <row r="115" spans="2:20" ht="21" customHeight="1">
      <c r="B115" s="245"/>
      <c r="C115" s="246"/>
      <c r="D115" s="247"/>
      <c r="E115" s="248"/>
      <c r="F115" s="246"/>
      <c r="G115" s="247"/>
      <c r="H115" s="248"/>
      <c r="I115" s="246"/>
      <c r="J115" s="247"/>
      <c r="K115" s="249" t="str">
        <f t="shared" si="1"/>
        <v/>
      </c>
      <c r="L115" s="250"/>
      <c r="M115" s="250"/>
      <c r="N115" s="250"/>
      <c r="O115" s="250"/>
      <c r="P115" s="250"/>
      <c r="Q115" s="251"/>
      <c r="R115" s="221"/>
      <c r="S115" s="222"/>
      <c r="T115" s="223"/>
    </row>
    <row r="116" spans="2:20" ht="21" customHeight="1">
      <c r="B116" s="245"/>
      <c r="C116" s="246"/>
      <c r="D116" s="247"/>
      <c r="E116" s="248"/>
      <c r="F116" s="246"/>
      <c r="G116" s="247"/>
      <c r="H116" s="248"/>
      <c r="I116" s="246"/>
      <c r="J116" s="247"/>
      <c r="K116" s="249" t="str">
        <f t="shared" si="1"/>
        <v/>
      </c>
      <c r="L116" s="250"/>
      <c r="M116" s="250"/>
      <c r="N116" s="250"/>
      <c r="O116" s="250"/>
      <c r="P116" s="250"/>
      <c r="Q116" s="251"/>
      <c r="R116" s="221"/>
      <c r="S116" s="222"/>
      <c r="T116" s="223"/>
    </row>
    <row r="117" spans="2:20" ht="21" customHeight="1">
      <c r="B117" s="245"/>
      <c r="C117" s="246"/>
      <c r="D117" s="247"/>
      <c r="E117" s="248"/>
      <c r="F117" s="246"/>
      <c r="G117" s="247"/>
      <c r="H117" s="248"/>
      <c r="I117" s="246"/>
      <c r="J117" s="247"/>
      <c r="K117" s="249" t="str">
        <f t="shared" si="1"/>
        <v/>
      </c>
      <c r="L117" s="250"/>
      <c r="M117" s="250"/>
      <c r="N117" s="250"/>
      <c r="O117" s="250"/>
      <c r="P117" s="250"/>
      <c r="Q117" s="251"/>
      <c r="R117" s="221"/>
      <c r="S117" s="222"/>
      <c r="T117" s="223"/>
    </row>
    <row r="118" spans="2:20" ht="21" customHeight="1">
      <c r="B118" s="245"/>
      <c r="C118" s="246"/>
      <c r="D118" s="247"/>
      <c r="E118" s="248"/>
      <c r="F118" s="246"/>
      <c r="G118" s="247"/>
      <c r="H118" s="248"/>
      <c r="I118" s="246"/>
      <c r="J118" s="247"/>
      <c r="K118" s="249" t="str">
        <f t="shared" si="1"/>
        <v/>
      </c>
      <c r="L118" s="250"/>
      <c r="M118" s="250"/>
      <c r="N118" s="250"/>
      <c r="O118" s="250"/>
      <c r="P118" s="250"/>
      <c r="Q118" s="251"/>
      <c r="R118" s="221"/>
      <c r="S118" s="222"/>
      <c r="T118" s="223"/>
    </row>
    <row r="119" spans="2:20" ht="21" customHeight="1" thickBot="1">
      <c r="B119" s="252"/>
      <c r="C119" s="253"/>
      <c r="D119" s="254"/>
      <c r="E119" s="255"/>
      <c r="F119" s="253"/>
      <c r="G119" s="254"/>
      <c r="H119" s="255"/>
      <c r="I119" s="253"/>
      <c r="J119" s="254"/>
      <c r="K119" s="256" t="str">
        <f t="shared" si="1"/>
        <v/>
      </c>
      <c r="L119" s="257"/>
      <c r="M119" s="257"/>
      <c r="N119" s="257"/>
      <c r="O119" s="257"/>
      <c r="P119" s="257"/>
      <c r="Q119" s="258"/>
      <c r="R119" s="224"/>
      <c r="S119" s="225"/>
      <c r="T119" s="226"/>
    </row>
    <row r="120" spans="2:20" ht="7" customHeight="1">
      <c r="B120" s="15"/>
      <c r="C120" s="15"/>
      <c r="D120" s="15"/>
    </row>
    <row r="121" spans="2:20" ht="7" customHeight="1">
      <c r="B121" s="15"/>
      <c r="C121" s="15"/>
      <c r="D121" s="15"/>
    </row>
    <row r="122" spans="2:20" ht="7" customHeight="1">
      <c r="B122" s="15"/>
      <c r="C122" s="15"/>
      <c r="D122" s="15"/>
    </row>
    <row r="123" spans="2:20" ht="7" customHeight="1">
      <c r="B123" s="15"/>
      <c r="C123" s="15"/>
      <c r="D123" s="15"/>
    </row>
    <row r="124" spans="2:20" ht="7" customHeight="1">
      <c r="B124" s="15"/>
      <c r="C124" s="15"/>
      <c r="D124" s="15"/>
    </row>
    <row r="125" spans="2:20" ht="7" customHeight="1">
      <c r="B125" s="15"/>
      <c r="C125" s="15"/>
      <c r="D125" s="15"/>
    </row>
    <row r="126" spans="2:20" ht="7" customHeight="1">
      <c r="B126" s="15"/>
      <c r="C126" s="15"/>
      <c r="D126" s="15"/>
    </row>
    <row r="127" spans="2:20" ht="7" customHeight="1">
      <c r="B127" s="15"/>
      <c r="C127" s="15"/>
      <c r="D127" s="15"/>
    </row>
    <row r="128" spans="2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4"/>
  <conditionalFormatting sqref="R20:T119">
    <cfRule type="containsBlanks" dxfId="23" priority="4">
      <formula>LEN(TRIM(R20))=0</formula>
    </cfRule>
  </conditionalFormatting>
  <conditionalFormatting sqref="B20:J119">
    <cfRule type="containsBlanks" dxfId="22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69" t="s">
        <v>25</v>
      </c>
      <c r="D2" s="271" t="s">
        <v>47</v>
      </c>
      <c r="E2" s="273" t="s">
        <v>23</v>
      </c>
      <c r="F2" s="262" t="s">
        <v>21</v>
      </c>
      <c r="G2" s="262" t="s">
        <v>21</v>
      </c>
      <c r="H2" s="262" t="s">
        <v>21</v>
      </c>
      <c r="I2" s="262" t="s">
        <v>21</v>
      </c>
      <c r="J2" s="262" t="s">
        <v>21</v>
      </c>
      <c r="K2" s="262" t="s">
        <v>21</v>
      </c>
      <c r="L2" s="262" t="s">
        <v>21</v>
      </c>
      <c r="M2" s="262" t="s">
        <v>21</v>
      </c>
      <c r="N2" s="262" t="s">
        <v>21</v>
      </c>
      <c r="O2" s="262" t="s">
        <v>21</v>
      </c>
      <c r="P2" s="262" t="s">
        <v>21</v>
      </c>
      <c r="Q2" s="262" t="s">
        <v>21</v>
      </c>
      <c r="R2" s="262" t="s">
        <v>21</v>
      </c>
      <c r="S2" s="262" t="s">
        <v>21</v>
      </c>
      <c r="T2" s="262" t="s">
        <v>21</v>
      </c>
      <c r="U2" s="262" t="s">
        <v>21</v>
      </c>
      <c r="V2" s="262" t="s">
        <v>21</v>
      </c>
      <c r="W2" s="262" t="s">
        <v>21</v>
      </c>
      <c r="X2" s="262" t="s">
        <v>21</v>
      </c>
      <c r="Y2" s="262" t="s">
        <v>21</v>
      </c>
      <c r="Z2" s="262" t="s">
        <v>21</v>
      </c>
      <c r="AA2" s="262" t="s">
        <v>21</v>
      </c>
      <c r="AB2" s="262" t="s">
        <v>21</v>
      </c>
      <c r="AC2" s="262" t="s">
        <v>21</v>
      </c>
      <c r="AD2" s="262" t="s">
        <v>21</v>
      </c>
      <c r="AE2" s="262" t="s">
        <v>21</v>
      </c>
      <c r="AF2" s="262" t="s">
        <v>21</v>
      </c>
      <c r="AG2" s="262" t="s">
        <v>21</v>
      </c>
      <c r="AH2" s="262" t="s">
        <v>21</v>
      </c>
      <c r="AI2" s="262" t="s">
        <v>21</v>
      </c>
      <c r="AJ2" s="262" t="s">
        <v>21</v>
      </c>
      <c r="AK2" s="262" t="s">
        <v>21</v>
      </c>
      <c r="AL2" s="262" t="s">
        <v>21</v>
      </c>
      <c r="AM2" s="262" t="s">
        <v>21</v>
      </c>
      <c r="AN2" s="262" t="s">
        <v>21</v>
      </c>
      <c r="AO2" s="262" t="s">
        <v>21</v>
      </c>
      <c r="AP2" s="262" t="s">
        <v>21</v>
      </c>
      <c r="AQ2" s="262" t="s">
        <v>21</v>
      </c>
      <c r="AR2" s="262" t="s">
        <v>21</v>
      </c>
      <c r="AS2" s="262" t="s">
        <v>21</v>
      </c>
      <c r="AT2" s="262" t="s">
        <v>21</v>
      </c>
      <c r="AU2" s="262" t="s">
        <v>21</v>
      </c>
      <c r="AV2" s="262" t="s">
        <v>21</v>
      </c>
      <c r="AW2" s="262" t="s">
        <v>21</v>
      </c>
      <c r="AX2" s="262" t="s">
        <v>21</v>
      </c>
      <c r="AY2" s="262" t="s">
        <v>21</v>
      </c>
      <c r="AZ2" s="262" t="s">
        <v>21</v>
      </c>
      <c r="BA2" s="262" t="s">
        <v>21</v>
      </c>
      <c r="BB2" s="262" t="s">
        <v>21</v>
      </c>
      <c r="BC2" s="262" t="s">
        <v>21</v>
      </c>
      <c r="BD2" s="262" t="s">
        <v>21</v>
      </c>
      <c r="BE2" s="262" t="s">
        <v>21</v>
      </c>
      <c r="BF2" s="262" t="s">
        <v>21</v>
      </c>
      <c r="BG2" s="262" t="s">
        <v>21</v>
      </c>
      <c r="BH2" s="262" t="s">
        <v>21</v>
      </c>
      <c r="BI2" s="262" t="s">
        <v>21</v>
      </c>
      <c r="BJ2" s="262" t="s">
        <v>21</v>
      </c>
      <c r="BK2" s="262" t="s">
        <v>21</v>
      </c>
      <c r="BL2" s="262" t="s">
        <v>21</v>
      </c>
      <c r="BM2" s="262" t="s">
        <v>21</v>
      </c>
      <c r="BN2" s="262" t="s">
        <v>21</v>
      </c>
      <c r="BO2" s="262" t="s">
        <v>21</v>
      </c>
      <c r="BP2" s="262" t="s">
        <v>21</v>
      </c>
      <c r="BQ2" s="262" t="s">
        <v>21</v>
      </c>
      <c r="BR2" s="262" t="s">
        <v>21</v>
      </c>
      <c r="BS2" s="262" t="s">
        <v>21</v>
      </c>
      <c r="BT2" s="262" t="s">
        <v>21</v>
      </c>
      <c r="BU2" s="262" t="s">
        <v>21</v>
      </c>
      <c r="BV2" s="262" t="s">
        <v>21</v>
      </c>
      <c r="BW2" s="262" t="s">
        <v>21</v>
      </c>
      <c r="BX2" s="262" t="s">
        <v>21</v>
      </c>
      <c r="BY2" s="262" t="s">
        <v>21</v>
      </c>
      <c r="BZ2" s="262" t="s">
        <v>21</v>
      </c>
      <c r="CA2" s="262" t="s">
        <v>21</v>
      </c>
      <c r="CB2" s="262" t="s">
        <v>21</v>
      </c>
      <c r="CC2" s="262" t="s">
        <v>21</v>
      </c>
      <c r="CD2" s="262" t="s">
        <v>21</v>
      </c>
      <c r="CE2" s="262" t="s">
        <v>21</v>
      </c>
      <c r="CF2" s="262" t="s">
        <v>21</v>
      </c>
      <c r="CG2" s="262" t="s">
        <v>21</v>
      </c>
      <c r="CH2" s="262" t="s">
        <v>21</v>
      </c>
      <c r="CI2" s="262" t="s">
        <v>21</v>
      </c>
      <c r="CJ2" s="262" t="s">
        <v>21</v>
      </c>
      <c r="CK2" s="262" t="s">
        <v>21</v>
      </c>
      <c r="CL2" s="262" t="s">
        <v>21</v>
      </c>
      <c r="CM2" s="262" t="s">
        <v>21</v>
      </c>
      <c r="CN2" s="262" t="s">
        <v>21</v>
      </c>
      <c r="CO2" s="262" t="s">
        <v>21</v>
      </c>
      <c r="CP2" s="262" t="s">
        <v>21</v>
      </c>
      <c r="CQ2" s="262" t="s">
        <v>21</v>
      </c>
      <c r="CR2" s="262" t="s">
        <v>21</v>
      </c>
      <c r="CS2" s="262" t="s">
        <v>21</v>
      </c>
      <c r="CT2" s="262" t="s">
        <v>21</v>
      </c>
      <c r="CU2" s="262" t="s">
        <v>21</v>
      </c>
      <c r="CV2" s="262" t="s">
        <v>21</v>
      </c>
      <c r="CW2" s="262" t="s">
        <v>21</v>
      </c>
      <c r="CX2" s="262" t="s">
        <v>21</v>
      </c>
      <c r="CY2" s="262" t="s">
        <v>21</v>
      </c>
      <c r="CZ2" s="262" t="s">
        <v>21</v>
      </c>
      <c r="DA2" s="264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70"/>
      <c r="D3" s="272"/>
      <c r="E3" s="274"/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  <c r="X3" s="263"/>
      <c r="Y3" s="263"/>
      <c r="Z3" s="263"/>
      <c r="AA3" s="263"/>
      <c r="AB3" s="263"/>
      <c r="AC3" s="263"/>
      <c r="AD3" s="263"/>
      <c r="AE3" s="263"/>
      <c r="AF3" s="263"/>
      <c r="AG3" s="263"/>
      <c r="AH3" s="263"/>
      <c r="AI3" s="263"/>
      <c r="AJ3" s="263"/>
      <c r="AK3" s="263"/>
      <c r="AL3" s="263"/>
      <c r="AM3" s="263"/>
      <c r="AN3" s="263"/>
      <c r="AO3" s="263"/>
      <c r="AP3" s="263"/>
      <c r="AQ3" s="263"/>
      <c r="AR3" s="263"/>
      <c r="AS3" s="263"/>
      <c r="AT3" s="263"/>
      <c r="AU3" s="263"/>
      <c r="AV3" s="263"/>
      <c r="AW3" s="263"/>
      <c r="AX3" s="263"/>
      <c r="AY3" s="263"/>
      <c r="AZ3" s="263"/>
      <c r="BA3" s="263"/>
      <c r="BB3" s="263"/>
      <c r="BC3" s="263"/>
      <c r="BD3" s="263"/>
      <c r="BE3" s="263"/>
      <c r="BF3" s="263"/>
      <c r="BG3" s="263"/>
      <c r="BH3" s="263"/>
      <c r="BI3" s="263"/>
      <c r="BJ3" s="263"/>
      <c r="BK3" s="263"/>
      <c r="BL3" s="263"/>
      <c r="BM3" s="263"/>
      <c r="BN3" s="263"/>
      <c r="BO3" s="263"/>
      <c r="BP3" s="263"/>
      <c r="BQ3" s="263"/>
      <c r="BR3" s="263"/>
      <c r="BS3" s="263"/>
      <c r="BT3" s="263"/>
      <c r="BU3" s="263"/>
      <c r="BV3" s="263"/>
      <c r="BW3" s="263"/>
      <c r="BX3" s="263"/>
      <c r="BY3" s="263"/>
      <c r="BZ3" s="263"/>
      <c r="CA3" s="263"/>
      <c r="CB3" s="263"/>
      <c r="CC3" s="263"/>
      <c r="CD3" s="263"/>
      <c r="CE3" s="263"/>
      <c r="CF3" s="263"/>
      <c r="CG3" s="263"/>
      <c r="CH3" s="263"/>
      <c r="CI3" s="263"/>
      <c r="CJ3" s="263"/>
      <c r="CK3" s="263"/>
      <c r="CL3" s="263"/>
      <c r="CM3" s="263"/>
      <c r="CN3" s="263"/>
      <c r="CO3" s="263"/>
      <c r="CP3" s="263"/>
      <c r="CQ3" s="263"/>
      <c r="CR3" s="263"/>
      <c r="CS3" s="263"/>
      <c r="CT3" s="263"/>
      <c r="CU3" s="263"/>
      <c r="CV3" s="263"/>
      <c r="CW3" s="263"/>
      <c r="CX3" s="263"/>
      <c r="CY3" s="263"/>
      <c r="CZ3" s="263"/>
      <c r="DA3" s="26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70"/>
      <c r="D4" s="272"/>
      <c r="E4" s="274"/>
      <c r="F4" s="259">
        <v>1</v>
      </c>
      <c r="G4" s="259">
        <v>2</v>
      </c>
      <c r="H4" s="259">
        <v>3</v>
      </c>
      <c r="I4" s="259">
        <v>4</v>
      </c>
      <c r="J4" s="259">
        <v>5</v>
      </c>
      <c r="K4" s="259">
        <v>6</v>
      </c>
      <c r="L4" s="259">
        <v>7</v>
      </c>
      <c r="M4" s="259">
        <v>8</v>
      </c>
      <c r="N4" s="259">
        <v>9</v>
      </c>
      <c r="O4" s="259">
        <v>10</v>
      </c>
      <c r="P4" s="259">
        <v>11</v>
      </c>
      <c r="Q4" s="259">
        <v>12</v>
      </c>
      <c r="R4" s="259">
        <v>13</v>
      </c>
      <c r="S4" s="259">
        <v>14</v>
      </c>
      <c r="T4" s="259">
        <v>15</v>
      </c>
      <c r="U4" s="259">
        <v>16</v>
      </c>
      <c r="V4" s="259">
        <v>17</v>
      </c>
      <c r="W4" s="259">
        <v>18</v>
      </c>
      <c r="X4" s="259">
        <v>19</v>
      </c>
      <c r="Y4" s="259">
        <v>20</v>
      </c>
      <c r="Z4" s="259">
        <v>21</v>
      </c>
      <c r="AA4" s="259">
        <v>22</v>
      </c>
      <c r="AB4" s="259">
        <v>23</v>
      </c>
      <c r="AC4" s="259">
        <v>24</v>
      </c>
      <c r="AD4" s="259">
        <v>25</v>
      </c>
      <c r="AE4" s="259">
        <v>26</v>
      </c>
      <c r="AF4" s="259">
        <v>27</v>
      </c>
      <c r="AG4" s="259">
        <v>28</v>
      </c>
      <c r="AH4" s="259">
        <v>29</v>
      </c>
      <c r="AI4" s="259">
        <v>30</v>
      </c>
      <c r="AJ4" s="259">
        <v>31</v>
      </c>
      <c r="AK4" s="259">
        <v>32</v>
      </c>
      <c r="AL4" s="259">
        <v>33</v>
      </c>
      <c r="AM4" s="259">
        <v>34</v>
      </c>
      <c r="AN4" s="259">
        <v>35</v>
      </c>
      <c r="AO4" s="259">
        <v>36</v>
      </c>
      <c r="AP4" s="259">
        <v>37</v>
      </c>
      <c r="AQ4" s="259">
        <v>38</v>
      </c>
      <c r="AR4" s="259">
        <v>39</v>
      </c>
      <c r="AS4" s="259">
        <v>40</v>
      </c>
      <c r="AT4" s="259">
        <v>41</v>
      </c>
      <c r="AU4" s="259">
        <v>42</v>
      </c>
      <c r="AV4" s="259">
        <v>43</v>
      </c>
      <c r="AW4" s="259">
        <v>44</v>
      </c>
      <c r="AX4" s="259">
        <v>45</v>
      </c>
      <c r="AY4" s="259">
        <v>46</v>
      </c>
      <c r="AZ4" s="259">
        <v>47</v>
      </c>
      <c r="BA4" s="259">
        <v>48</v>
      </c>
      <c r="BB4" s="259">
        <v>49</v>
      </c>
      <c r="BC4" s="259">
        <v>50</v>
      </c>
      <c r="BD4" s="259">
        <v>51</v>
      </c>
      <c r="BE4" s="259">
        <v>52</v>
      </c>
      <c r="BF4" s="259">
        <v>53</v>
      </c>
      <c r="BG4" s="259">
        <v>54</v>
      </c>
      <c r="BH4" s="259">
        <v>55</v>
      </c>
      <c r="BI4" s="259">
        <v>56</v>
      </c>
      <c r="BJ4" s="259">
        <v>57</v>
      </c>
      <c r="BK4" s="259">
        <v>58</v>
      </c>
      <c r="BL4" s="259">
        <v>59</v>
      </c>
      <c r="BM4" s="259">
        <v>60</v>
      </c>
      <c r="BN4" s="259">
        <v>61</v>
      </c>
      <c r="BO4" s="259">
        <v>62</v>
      </c>
      <c r="BP4" s="259">
        <v>63</v>
      </c>
      <c r="BQ4" s="259">
        <v>64</v>
      </c>
      <c r="BR4" s="259">
        <v>65</v>
      </c>
      <c r="BS4" s="259">
        <v>66</v>
      </c>
      <c r="BT4" s="259">
        <v>67</v>
      </c>
      <c r="BU4" s="259">
        <v>68</v>
      </c>
      <c r="BV4" s="259">
        <v>69</v>
      </c>
      <c r="BW4" s="259">
        <v>70</v>
      </c>
      <c r="BX4" s="259">
        <v>71</v>
      </c>
      <c r="BY4" s="259">
        <v>72</v>
      </c>
      <c r="BZ4" s="259">
        <v>73</v>
      </c>
      <c r="CA4" s="259">
        <v>74</v>
      </c>
      <c r="CB4" s="259">
        <v>75</v>
      </c>
      <c r="CC4" s="259">
        <v>76</v>
      </c>
      <c r="CD4" s="259">
        <v>77</v>
      </c>
      <c r="CE4" s="259">
        <v>78</v>
      </c>
      <c r="CF4" s="259">
        <v>79</v>
      </c>
      <c r="CG4" s="259">
        <v>80</v>
      </c>
      <c r="CH4" s="259">
        <v>81</v>
      </c>
      <c r="CI4" s="259">
        <v>82</v>
      </c>
      <c r="CJ4" s="259">
        <v>83</v>
      </c>
      <c r="CK4" s="259">
        <v>84</v>
      </c>
      <c r="CL4" s="259">
        <v>85</v>
      </c>
      <c r="CM4" s="259">
        <v>86</v>
      </c>
      <c r="CN4" s="259">
        <v>87</v>
      </c>
      <c r="CO4" s="259">
        <v>88</v>
      </c>
      <c r="CP4" s="259">
        <v>89</v>
      </c>
      <c r="CQ4" s="259">
        <v>90</v>
      </c>
      <c r="CR4" s="259">
        <v>91</v>
      </c>
      <c r="CS4" s="259">
        <v>92</v>
      </c>
      <c r="CT4" s="259">
        <v>93</v>
      </c>
      <c r="CU4" s="259">
        <v>94</v>
      </c>
      <c r="CV4" s="259">
        <v>95</v>
      </c>
      <c r="CW4" s="259">
        <v>96</v>
      </c>
      <c r="CX4" s="259">
        <v>97</v>
      </c>
      <c r="CY4" s="259">
        <v>98</v>
      </c>
      <c r="CZ4" s="259">
        <v>99</v>
      </c>
      <c r="DA4" s="266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70"/>
      <c r="D5" s="272"/>
      <c r="E5" s="274"/>
      <c r="F5" s="260"/>
      <c r="G5" s="260"/>
      <c r="H5" s="260"/>
      <c r="I5" s="260"/>
      <c r="J5" s="260"/>
      <c r="K5" s="260"/>
      <c r="L5" s="260"/>
      <c r="M5" s="260"/>
      <c r="N5" s="260"/>
      <c r="O5" s="260"/>
      <c r="P5" s="260"/>
      <c r="Q5" s="260"/>
      <c r="R5" s="260"/>
      <c r="S5" s="260"/>
      <c r="T5" s="260"/>
      <c r="U5" s="260"/>
      <c r="V5" s="260"/>
      <c r="W5" s="260"/>
      <c r="X5" s="260"/>
      <c r="Y5" s="260"/>
      <c r="Z5" s="260"/>
      <c r="AA5" s="260"/>
      <c r="AB5" s="260"/>
      <c r="AC5" s="260"/>
      <c r="AD5" s="260"/>
      <c r="AE5" s="260"/>
      <c r="AF5" s="260"/>
      <c r="AG5" s="260"/>
      <c r="AH5" s="260"/>
      <c r="AI5" s="260"/>
      <c r="AJ5" s="260"/>
      <c r="AK5" s="260"/>
      <c r="AL5" s="260"/>
      <c r="AM5" s="260"/>
      <c r="AN5" s="260"/>
      <c r="AO5" s="260"/>
      <c r="AP5" s="260"/>
      <c r="AQ5" s="260"/>
      <c r="AR5" s="260"/>
      <c r="AS5" s="260"/>
      <c r="AT5" s="260"/>
      <c r="AU5" s="260"/>
      <c r="AV5" s="260"/>
      <c r="AW5" s="260"/>
      <c r="AX5" s="260"/>
      <c r="AY5" s="260"/>
      <c r="AZ5" s="260"/>
      <c r="BA5" s="260"/>
      <c r="BB5" s="260"/>
      <c r="BC5" s="260"/>
      <c r="BD5" s="260"/>
      <c r="BE5" s="260"/>
      <c r="BF5" s="260"/>
      <c r="BG5" s="260"/>
      <c r="BH5" s="260"/>
      <c r="BI5" s="260"/>
      <c r="BJ5" s="260"/>
      <c r="BK5" s="260"/>
      <c r="BL5" s="260"/>
      <c r="BM5" s="260"/>
      <c r="BN5" s="260"/>
      <c r="BO5" s="260"/>
      <c r="BP5" s="260"/>
      <c r="BQ5" s="260"/>
      <c r="BR5" s="260"/>
      <c r="BS5" s="260"/>
      <c r="BT5" s="260"/>
      <c r="BU5" s="260"/>
      <c r="BV5" s="260"/>
      <c r="BW5" s="260"/>
      <c r="BX5" s="260"/>
      <c r="BY5" s="260"/>
      <c r="BZ5" s="260"/>
      <c r="CA5" s="260"/>
      <c r="CB5" s="260"/>
      <c r="CC5" s="260"/>
      <c r="CD5" s="260"/>
      <c r="CE5" s="260"/>
      <c r="CF5" s="260"/>
      <c r="CG5" s="260"/>
      <c r="CH5" s="260"/>
      <c r="CI5" s="260"/>
      <c r="CJ5" s="260"/>
      <c r="CK5" s="260"/>
      <c r="CL5" s="260"/>
      <c r="CM5" s="260"/>
      <c r="CN5" s="260"/>
      <c r="CO5" s="260"/>
      <c r="CP5" s="260"/>
      <c r="CQ5" s="260"/>
      <c r="CR5" s="260"/>
      <c r="CS5" s="260"/>
      <c r="CT5" s="260"/>
      <c r="CU5" s="260"/>
      <c r="CV5" s="260"/>
      <c r="CW5" s="260"/>
      <c r="CX5" s="260"/>
      <c r="CY5" s="260"/>
      <c r="CZ5" s="260"/>
      <c r="DA5" s="267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70"/>
      <c r="D6" s="272"/>
      <c r="E6" s="274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/>
      <c r="AK6" s="260"/>
      <c r="AL6" s="260"/>
      <c r="AM6" s="260"/>
      <c r="AN6" s="260"/>
      <c r="AO6" s="260"/>
      <c r="AP6" s="260"/>
      <c r="AQ6" s="260"/>
      <c r="AR6" s="260"/>
      <c r="AS6" s="260"/>
      <c r="AT6" s="260"/>
      <c r="AU6" s="260"/>
      <c r="AV6" s="260"/>
      <c r="AW6" s="260"/>
      <c r="AX6" s="260"/>
      <c r="AY6" s="260"/>
      <c r="AZ6" s="260"/>
      <c r="BA6" s="260"/>
      <c r="BB6" s="260"/>
      <c r="BC6" s="260"/>
      <c r="BD6" s="260"/>
      <c r="BE6" s="260"/>
      <c r="BF6" s="260"/>
      <c r="BG6" s="260"/>
      <c r="BH6" s="260"/>
      <c r="BI6" s="260"/>
      <c r="BJ6" s="260"/>
      <c r="BK6" s="260"/>
      <c r="BL6" s="260"/>
      <c r="BM6" s="260"/>
      <c r="BN6" s="260"/>
      <c r="BO6" s="260"/>
      <c r="BP6" s="260"/>
      <c r="BQ6" s="260"/>
      <c r="BR6" s="260"/>
      <c r="BS6" s="260"/>
      <c r="BT6" s="260"/>
      <c r="BU6" s="260"/>
      <c r="BV6" s="260"/>
      <c r="BW6" s="260"/>
      <c r="BX6" s="260"/>
      <c r="BY6" s="260"/>
      <c r="BZ6" s="260"/>
      <c r="CA6" s="260"/>
      <c r="CB6" s="260"/>
      <c r="CC6" s="260"/>
      <c r="CD6" s="260"/>
      <c r="CE6" s="260"/>
      <c r="CF6" s="260"/>
      <c r="CG6" s="260"/>
      <c r="CH6" s="260"/>
      <c r="CI6" s="260"/>
      <c r="CJ6" s="260"/>
      <c r="CK6" s="260"/>
      <c r="CL6" s="260"/>
      <c r="CM6" s="260"/>
      <c r="CN6" s="260"/>
      <c r="CO6" s="260"/>
      <c r="CP6" s="260"/>
      <c r="CQ6" s="260"/>
      <c r="CR6" s="260"/>
      <c r="CS6" s="260"/>
      <c r="CT6" s="260"/>
      <c r="CU6" s="260"/>
      <c r="CV6" s="260"/>
      <c r="CW6" s="260"/>
      <c r="CX6" s="260"/>
      <c r="CY6" s="260"/>
      <c r="CZ6" s="260"/>
      <c r="DA6" s="267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70"/>
      <c r="D7" s="272"/>
      <c r="E7" s="274"/>
      <c r="F7" s="260"/>
      <c r="G7" s="260"/>
      <c r="H7" s="260"/>
      <c r="I7" s="260"/>
      <c r="J7" s="260"/>
      <c r="K7" s="260"/>
      <c r="L7" s="260"/>
      <c r="M7" s="260"/>
      <c r="N7" s="260"/>
      <c r="O7" s="260"/>
      <c r="P7" s="260"/>
      <c r="Q7" s="260"/>
      <c r="R7" s="260"/>
      <c r="S7" s="260"/>
      <c r="T7" s="260"/>
      <c r="U7" s="260"/>
      <c r="V7" s="260"/>
      <c r="W7" s="260"/>
      <c r="X7" s="260"/>
      <c r="Y7" s="260"/>
      <c r="Z7" s="260"/>
      <c r="AA7" s="260"/>
      <c r="AB7" s="260"/>
      <c r="AC7" s="260"/>
      <c r="AD7" s="260"/>
      <c r="AE7" s="260"/>
      <c r="AF7" s="260"/>
      <c r="AG7" s="260"/>
      <c r="AH7" s="260"/>
      <c r="AI7" s="260"/>
      <c r="AJ7" s="260"/>
      <c r="AK7" s="260"/>
      <c r="AL7" s="260"/>
      <c r="AM7" s="260"/>
      <c r="AN7" s="260"/>
      <c r="AO7" s="260"/>
      <c r="AP7" s="260"/>
      <c r="AQ7" s="260"/>
      <c r="AR7" s="260"/>
      <c r="AS7" s="260"/>
      <c r="AT7" s="260"/>
      <c r="AU7" s="260"/>
      <c r="AV7" s="260"/>
      <c r="AW7" s="260"/>
      <c r="AX7" s="260"/>
      <c r="AY7" s="260"/>
      <c r="AZ7" s="260"/>
      <c r="BA7" s="260"/>
      <c r="BB7" s="260"/>
      <c r="BC7" s="260"/>
      <c r="BD7" s="260"/>
      <c r="BE7" s="260"/>
      <c r="BF7" s="260"/>
      <c r="BG7" s="260"/>
      <c r="BH7" s="260"/>
      <c r="BI7" s="260"/>
      <c r="BJ7" s="260"/>
      <c r="BK7" s="260"/>
      <c r="BL7" s="260"/>
      <c r="BM7" s="260"/>
      <c r="BN7" s="260"/>
      <c r="BO7" s="260"/>
      <c r="BP7" s="260"/>
      <c r="BQ7" s="260"/>
      <c r="BR7" s="260"/>
      <c r="BS7" s="260"/>
      <c r="BT7" s="260"/>
      <c r="BU7" s="260"/>
      <c r="BV7" s="260"/>
      <c r="BW7" s="260"/>
      <c r="BX7" s="260"/>
      <c r="BY7" s="260"/>
      <c r="BZ7" s="260"/>
      <c r="CA7" s="260"/>
      <c r="CB7" s="260"/>
      <c r="CC7" s="260"/>
      <c r="CD7" s="260"/>
      <c r="CE7" s="260"/>
      <c r="CF7" s="260"/>
      <c r="CG7" s="260"/>
      <c r="CH7" s="260"/>
      <c r="CI7" s="260"/>
      <c r="CJ7" s="260"/>
      <c r="CK7" s="260"/>
      <c r="CL7" s="260"/>
      <c r="CM7" s="260"/>
      <c r="CN7" s="260"/>
      <c r="CO7" s="260"/>
      <c r="CP7" s="260"/>
      <c r="CQ7" s="260"/>
      <c r="CR7" s="260"/>
      <c r="CS7" s="260"/>
      <c r="CT7" s="260"/>
      <c r="CU7" s="260"/>
      <c r="CV7" s="260"/>
      <c r="CW7" s="260"/>
      <c r="CX7" s="260"/>
      <c r="CY7" s="260"/>
      <c r="CZ7" s="260"/>
      <c r="DA7" s="267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70"/>
      <c r="D8" s="272"/>
      <c r="E8" s="274"/>
      <c r="F8" s="260"/>
      <c r="G8" s="260"/>
      <c r="H8" s="260"/>
      <c r="I8" s="260"/>
      <c r="J8" s="260"/>
      <c r="K8" s="260"/>
      <c r="L8" s="260"/>
      <c r="M8" s="260"/>
      <c r="N8" s="260"/>
      <c r="O8" s="260"/>
      <c r="P8" s="260"/>
      <c r="Q8" s="260"/>
      <c r="R8" s="260"/>
      <c r="S8" s="260"/>
      <c r="T8" s="260"/>
      <c r="U8" s="260"/>
      <c r="V8" s="260"/>
      <c r="W8" s="260"/>
      <c r="X8" s="260"/>
      <c r="Y8" s="260"/>
      <c r="Z8" s="260"/>
      <c r="AA8" s="260"/>
      <c r="AB8" s="260"/>
      <c r="AC8" s="260"/>
      <c r="AD8" s="260"/>
      <c r="AE8" s="260"/>
      <c r="AF8" s="260"/>
      <c r="AG8" s="260"/>
      <c r="AH8" s="260"/>
      <c r="AI8" s="260"/>
      <c r="AJ8" s="260"/>
      <c r="AK8" s="260"/>
      <c r="AL8" s="260"/>
      <c r="AM8" s="260"/>
      <c r="AN8" s="260"/>
      <c r="AO8" s="260"/>
      <c r="AP8" s="260"/>
      <c r="AQ8" s="260"/>
      <c r="AR8" s="260"/>
      <c r="AS8" s="260"/>
      <c r="AT8" s="260"/>
      <c r="AU8" s="260"/>
      <c r="AV8" s="260"/>
      <c r="AW8" s="260"/>
      <c r="AX8" s="260"/>
      <c r="AY8" s="260"/>
      <c r="AZ8" s="260"/>
      <c r="BA8" s="260"/>
      <c r="BB8" s="260"/>
      <c r="BC8" s="260"/>
      <c r="BD8" s="260"/>
      <c r="BE8" s="260"/>
      <c r="BF8" s="260"/>
      <c r="BG8" s="260"/>
      <c r="BH8" s="260"/>
      <c r="BI8" s="260"/>
      <c r="BJ8" s="260"/>
      <c r="BK8" s="260"/>
      <c r="BL8" s="260"/>
      <c r="BM8" s="260"/>
      <c r="BN8" s="260"/>
      <c r="BO8" s="260"/>
      <c r="BP8" s="260"/>
      <c r="BQ8" s="260"/>
      <c r="BR8" s="260"/>
      <c r="BS8" s="260"/>
      <c r="BT8" s="260"/>
      <c r="BU8" s="260"/>
      <c r="BV8" s="260"/>
      <c r="BW8" s="260"/>
      <c r="BX8" s="260"/>
      <c r="BY8" s="260"/>
      <c r="BZ8" s="260"/>
      <c r="CA8" s="260"/>
      <c r="CB8" s="260"/>
      <c r="CC8" s="260"/>
      <c r="CD8" s="260"/>
      <c r="CE8" s="260"/>
      <c r="CF8" s="260"/>
      <c r="CG8" s="260"/>
      <c r="CH8" s="260"/>
      <c r="CI8" s="260"/>
      <c r="CJ8" s="260"/>
      <c r="CK8" s="260"/>
      <c r="CL8" s="260"/>
      <c r="CM8" s="260"/>
      <c r="CN8" s="260"/>
      <c r="CO8" s="260"/>
      <c r="CP8" s="260"/>
      <c r="CQ8" s="260"/>
      <c r="CR8" s="260"/>
      <c r="CS8" s="260"/>
      <c r="CT8" s="260"/>
      <c r="CU8" s="260"/>
      <c r="CV8" s="260"/>
      <c r="CW8" s="260"/>
      <c r="CX8" s="260"/>
      <c r="CY8" s="260"/>
      <c r="CZ8" s="260"/>
      <c r="DA8" s="267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70"/>
      <c r="D9" s="272"/>
      <c r="E9" s="274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  <c r="AH9" s="260"/>
      <c r="AI9" s="260"/>
      <c r="AJ9" s="260"/>
      <c r="AK9" s="260"/>
      <c r="AL9" s="260"/>
      <c r="AM9" s="260"/>
      <c r="AN9" s="260"/>
      <c r="AO9" s="260"/>
      <c r="AP9" s="260"/>
      <c r="AQ9" s="260"/>
      <c r="AR9" s="260"/>
      <c r="AS9" s="260"/>
      <c r="AT9" s="260"/>
      <c r="AU9" s="260"/>
      <c r="AV9" s="260"/>
      <c r="AW9" s="260"/>
      <c r="AX9" s="260"/>
      <c r="AY9" s="260"/>
      <c r="AZ9" s="260"/>
      <c r="BA9" s="260"/>
      <c r="BB9" s="260"/>
      <c r="BC9" s="260"/>
      <c r="BD9" s="260"/>
      <c r="BE9" s="260"/>
      <c r="BF9" s="260"/>
      <c r="BG9" s="260"/>
      <c r="BH9" s="260"/>
      <c r="BI9" s="260"/>
      <c r="BJ9" s="260"/>
      <c r="BK9" s="260"/>
      <c r="BL9" s="260"/>
      <c r="BM9" s="260"/>
      <c r="BN9" s="260"/>
      <c r="BO9" s="260"/>
      <c r="BP9" s="260"/>
      <c r="BQ9" s="260"/>
      <c r="BR9" s="260"/>
      <c r="BS9" s="260"/>
      <c r="BT9" s="260"/>
      <c r="BU9" s="260"/>
      <c r="BV9" s="260"/>
      <c r="BW9" s="260"/>
      <c r="BX9" s="260"/>
      <c r="BY9" s="260"/>
      <c r="BZ9" s="260"/>
      <c r="CA9" s="260"/>
      <c r="CB9" s="260"/>
      <c r="CC9" s="260"/>
      <c r="CD9" s="260"/>
      <c r="CE9" s="260"/>
      <c r="CF9" s="260"/>
      <c r="CG9" s="260"/>
      <c r="CH9" s="260"/>
      <c r="CI9" s="260"/>
      <c r="CJ9" s="260"/>
      <c r="CK9" s="260"/>
      <c r="CL9" s="260"/>
      <c r="CM9" s="260"/>
      <c r="CN9" s="260"/>
      <c r="CO9" s="260"/>
      <c r="CP9" s="260"/>
      <c r="CQ9" s="260"/>
      <c r="CR9" s="260"/>
      <c r="CS9" s="260"/>
      <c r="CT9" s="260"/>
      <c r="CU9" s="260"/>
      <c r="CV9" s="260"/>
      <c r="CW9" s="260"/>
      <c r="CX9" s="260"/>
      <c r="CY9" s="260"/>
      <c r="CZ9" s="260"/>
      <c r="DA9" s="267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70"/>
      <c r="D10" s="272"/>
      <c r="E10" s="274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260"/>
      <c r="AE10" s="260"/>
      <c r="AF10" s="260"/>
      <c r="AG10" s="260"/>
      <c r="AH10" s="260"/>
      <c r="AI10" s="260"/>
      <c r="AJ10" s="260"/>
      <c r="AK10" s="260"/>
      <c r="AL10" s="260"/>
      <c r="AM10" s="260"/>
      <c r="AN10" s="260"/>
      <c r="AO10" s="260"/>
      <c r="AP10" s="260"/>
      <c r="AQ10" s="260"/>
      <c r="AR10" s="260"/>
      <c r="AS10" s="260"/>
      <c r="AT10" s="260"/>
      <c r="AU10" s="260"/>
      <c r="AV10" s="260"/>
      <c r="AW10" s="260"/>
      <c r="AX10" s="260"/>
      <c r="AY10" s="260"/>
      <c r="AZ10" s="260"/>
      <c r="BA10" s="260"/>
      <c r="BB10" s="260"/>
      <c r="BC10" s="260"/>
      <c r="BD10" s="260"/>
      <c r="BE10" s="260"/>
      <c r="BF10" s="260"/>
      <c r="BG10" s="260"/>
      <c r="BH10" s="260"/>
      <c r="BI10" s="260"/>
      <c r="BJ10" s="260"/>
      <c r="BK10" s="260"/>
      <c r="BL10" s="260"/>
      <c r="BM10" s="260"/>
      <c r="BN10" s="260"/>
      <c r="BO10" s="260"/>
      <c r="BP10" s="260"/>
      <c r="BQ10" s="260"/>
      <c r="BR10" s="260"/>
      <c r="BS10" s="260"/>
      <c r="BT10" s="260"/>
      <c r="BU10" s="260"/>
      <c r="BV10" s="260"/>
      <c r="BW10" s="260"/>
      <c r="BX10" s="260"/>
      <c r="BY10" s="260"/>
      <c r="BZ10" s="260"/>
      <c r="CA10" s="260"/>
      <c r="CB10" s="260"/>
      <c r="CC10" s="260"/>
      <c r="CD10" s="260"/>
      <c r="CE10" s="260"/>
      <c r="CF10" s="260"/>
      <c r="CG10" s="260"/>
      <c r="CH10" s="260"/>
      <c r="CI10" s="260"/>
      <c r="CJ10" s="260"/>
      <c r="CK10" s="260"/>
      <c r="CL10" s="260"/>
      <c r="CM10" s="260"/>
      <c r="CN10" s="260"/>
      <c r="CO10" s="260"/>
      <c r="CP10" s="260"/>
      <c r="CQ10" s="260"/>
      <c r="CR10" s="260"/>
      <c r="CS10" s="260"/>
      <c r="CT10" s="260"/>
      <c r="CU10" s="260"/>
      <c r="CV10" s="260"/>
      <c r="CW10" s="260"/>
      <c r="CX10" s="260"/>
      <c r="CY10" s="260"/>
      <c r="CZ10" s="260"/>
      <c r="DA10" s="267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70"/>
      <c r="D11" s="272"/>
      <c r="E11" s="274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1"/>
      <c r="R11" s="261"/>
      <c r="S11" s="261"/>
      <c r="T11" s="261"/>
      <c r="U11" s="261"/>
      <c r="V11" s="261"/>
      <c r="W11" s="261"/>
      <c r="X11" s="261"/>
      <c r="Y11" s="261"/>
      <c r="Z11" s="261"/>
      <c r="AA11" s="261"/>
      <c r="AB11" s="261"/>
      <c r="AC11" s="261"/>
      <c r="AD11" s="261"/>
      <c r="AE11" s="261"/>
      <c r="AF11" s="261"/>
      <c r="AG11" s="261"/>
      <c r="AH11" s="261"/>
      <c r="AI11" s="261"/>
      <c r="AJ11" s="261"/>
      <c r="AK11" s="261"/>
      <c r="AL11" s="261"/>
      <c r="AM11" s="261"/>
      <c r="AN11" s="261"/>
      <c r="AO11" s="261"/>
      <c r="AP11" s="261"/>
      <c r="AQ11" s="261"/>
      <c r="AR11" s="261"/>
      <c r="AS11" s="261"/>
      <c r="AT11" s="261"/>
      <c r="AU11" s="261"/>
      <c r="AV11" s="261"/>
      <c r="AW11" s="261"/>
      <c r="AX11" s="261"/>
      <c r="AY11" s="261"/>
      <c r="AZ11" s="261"/>
      <c r="BA11" s="261"/>
      <c r="BB11" s="261"/>
      <c r="BC11" s="261"/>
      <c r="BD11" s="261"/>
      <c r="BE11" s="261"/>
      <c r="BF11" s="261"/>
      <c r="BG11" s="261"/>
      <c r="BH11" s="261"/>
      <c r="BI11" s="261"/>
      <c r="BJ11" s="261"/>
      <c r="BK11" s="261"/>
      <c r="BL11" s="261"/>
      <c r="BM11" s="261"/>
      <c r="BN11" s="261"/>
      <c r="BO11" s="261"/>
      <c r="BP11" s="261"/>
      <c r="BQ11" s="261"/>
      <c r="BR11" s="261"/>
      <c r="BS11" s="261"/>
      <c r="BT11" s="261"/>
      <c r="BU11" s="261"/>
      <c r="BV11" s="261"/>
      <c r="BW11" s="261"/>
      <c r="BX11" s="261"/>
      <c r="BY11" s="261"/>
      <c r="BZ11" s="261"/>
      <c r="CA11" s="261"/>
      <c r="CB11" s="261"/>
      <c r="CC11" s="261"/>
      <c r="CD11" s="261"/>
      <c r="CE11" s="261"/>
      <c r="CF11" s="261"/>
      <c r="CG11" s="261"/>
      <c r="CH11" s="261"/>
      <c r="CI11" s="261"/>
      <c r="CJ11" s="261"/>
      <c r="CK11" s="261"/>
      <c r="CL11" s="261"/>
      <c r="CM11" s="261"/>
      <c r="CN11" s="261"/>
      <c r="CO11" s="261"/>
      <c r="CP11" s="261"/>
      <c r="CQ11" s="261"/>
      <c r="CR11" s="261"/>
      <c r="CS11" s="261"/>
      <c r="CT11" s="261"/>
      <c r="CU11" s="261"/>
      <c r="CV11" s="261"/>
      <c r="CW11" s="261"/>
      <c r="CX11" s="261"/>
      <c r="CY11" s="261"/>
      <c r="CZ11" s="261"/>
      <c r="DA11" s="268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5"/>
      <c r="D12" s="136"/>
      <c r="E12" s="136"/>
      <c r="F12" s="137"/>
      <c r="G12" s="137"/>
      <c r="H12" s="137"/>
      <c r="I12" s="170"/>
      <c r="J12" s="170"/>
      <c r="K12" s="170"/>
      <c r="L12" s="138"/>
      <c r="M12" s="137"/>
      <c r="N12" s="138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9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40"/>
      <c r="D13" s="141"/>
      <c r="E13" s="141"/>
      <c r="F13" s="142"/>
      <c r="G13" s="142"/>
      <c r="H13" s="142"/>
      <c r="I13" s="143"/>
      <c r="J13" s="143"/>
      <c r="K13" s="143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142"/>
      <c r="CU13" s="142"/>
      <c r="CV13" s="142"/>
      <c r="CW13" s="142"/>
      <c r="CX13" s="142"/>
      <c r="CY13" s="142"/>
      <c r="CZ13" s="142"/>
      <c r="DA13" s="144"/>
    </row>
    <row r="14" spans="1:119" ht="20" customHeight="1">
      <c r="A14" s="18">
        <f>ROW()</f>
        <v>14</v>
      </c>
      <c r="B14" s="26" t="str">
        <f t="shared" si="0"/>
        <v/>
      </c>
      <c r="C14" s="140"/>
      <c r="D14" s="141"/>
      <c r="E14" s="141"/>
      <c r="F14" s="142"/>
      <c r="G14" s="142"/>
      <c r="H14" s="142"/>
      <c r="I14" s="142"/>
      <c r="J14" s="142"/>
      <c r="K14" s="143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5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142"/>
      <c r="CU14" s="142"/>
      <c r="CV14" s="142"/>
      <c r="CW14" s="142"/>
      <c r="CX14" s="142"/>
      <c r="CY14" s="142"/>
      <c r="CZ14" s="142"/>
      <c r="DA14" s="144"/>
    </row>
    <row r="15" spans="1:119" ht="20" customHeight="1">
      <c r="A15" s="18">
        <f>ROW()</f>
        <v>15</v>
      </c>
      <c r="B15" s="26" t="str">
        <f t="shared" si="0"/>
        <v/>
      </c>
      <c r="C15" s="140"/>
      <c r="D15" s="141"/>
      <c r="E15" s="141"/>
      <c r="F15" s="142"/>
      <c r="G15" s="142"/>
      <c r="H15" s="142"/>
      <c r="I15" s="142"/>
      <c r="J15" s="142"/>
      <c r="K15" s="143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2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142"/>
      <c r="CU15" s="142"/>
      <c r="CV15" s="142"/>
      <c r="CW15" s="142"/>
      <c r="CX15" s="142"/>
      <c r="CY15" s="142"/>
      <c r="CZ15" s="142"/>
      <c r="DA15" s="144"/>
    </row>
    <row r="16" spans="1:119" ht="20" customHeight="1">
      <c r="A16" s="18">
        <f>ROW()</f>
        <v>16</v>
      </c>
      <c r="B16" s="26" t="str">
        <f t="shared" si="0"/>
        <v/>
      </c>
      <c r="C16" s="140"/>
      <c r="D16" s="141"/>
      <c r="E16" s="141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  <c r="BS16" s="142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4"/>
    </row>
    <row r="17" spans="1:105" ht="20" customHeight="1">
      <c r="A17" s="18">
        <f>ROW()</f>
        <v>17</v>
      </c>
      <c r="B17" s="26" t="str">
        <f t="shared" si="0"/>
        <v/>
      </c>
      <c r="C17" s="140"/>
      <c r="D17" s="141"/>
      <c r="E17" s="141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142"/>
      <c r="DA17" s="144"/>
    </row>
    <row r="18" spans="1:105" ht="20" customHeight="1">
      <c r="A18" s="18">
        <f>ROW()</f>
        <v>18</v>
      </c>
      <c r="B18" s="26" t="str">
        <f t="shared" si="0"/>
        <v/>
      </c>
      <c r="C18" s="140"/>
      <c r="D18" s="141"/>
      <c r="E18" s="141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6"/>
      <c r="AA18" s="147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4"/>
    </row>
    <row r="19" spans="1:105" ht="20" customHeight="1">
      <c r="A19" s="18">
        <f>ROW()</f>
        <v>19</v>
      </c>
      <c r="B19" s="26" t="str">
        <f t="shared" si="0"/>
        <v/>
      </c>
      <c r="C19" s="140"/>
      <c r="D19" s="141"/>
      <c r="E19" s="141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8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4"/>
    </row>
    <row r="20" spans="1:105" ht="20" customHeight="1">
      <c r="A20" s="18">
        <f>ROW()</f>
        <v>20</v>
      </c>
      <c r="B20" s="26" t="str">
        <f t="shared" si="0"/>
        <v/>
      </c>
      <c r="C20" s="140"/>
      <c r="D20" s="141"/>
      <c r="E20" s="141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7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4"/>
    </row>
    <row r="21" spans="1:105" ht="20" customHeight="1">
      <c r="A21" s="18">
        <f>ROW()</f>
        <v>21</v>
      </c>
      <c r="B21" s="26" t="str">
        <f t="shared" si="0"/>
        <v/>
      </c>
      <c r="C21" s="140"/>
      <c r="D21" s="141"/>
      <c r="E21" s="141"/>
      <c r="F21" s="142"/>
      <c r="G21" s="142"/>
      <c r="H21" s="142"/>
      <c r="I21" s="142"/>
      <c r="J21" s="142"/>
      <c r="K21" s="142"/>
      <c r="L21" s="149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7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4"/>
    </row>
    <row r="22" spans="1:105" ht="20" customHeight="1">
      <c r="A22" s="18">
        <f>ROW()</f>
        <v>22</v>
      </c>
      <c r="B22" s="26" t="str">
        <f t="shared" si="0"/>
        <v/>
      </c>
      <c r="C22" s="140"/>
      <c r="D22" s="141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7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4"/>
    </row>
    <row r="23" spans="1:105" ht="20" customHeight="1">
      <c r="A23" s="18">
        <f>ROW()</f>
        <v>23</v>
      </c>
      <c r="B23" s="26" t="str">
        <f t="shared" si="0"/>
        <v/>
      </c>
      <c r="C23" s="140"/>
      <c r="D23" s="141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4"/>
    </row>
    <row r="24" spans="1:105" ht="20" customHeight="1">
      <c r="A24" s="18">
        <f>ROW()</f>
        <v>24</v>
      </c>
      <c r="B24" s="26" t="str">
        <f t="shared" si="0"/>
        <v/>
      </c>
      <c r="C24" s="140"/>
      <c r="D24" s="141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4"/>
    </row>
    <row r="25" spans="1:105" ht="20" customHeight="1">
      <c r="A25" s="18">
        <f>ROW()</f>
        <v>25</v>
      </c>
      <c r="B25" s="26" t="str">
        <f t="shared" si="0"/>
        <v/>
      </c>
      <c r="C25" s="140"/>
      <c r="D25" s="141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4"/>
    </row>
    <row r="26" spans="1:105" ht="20" customHeight="1">
      <c r="A26" s="18">
        <f>ROW()</f>
        <v>26</v>
      </c>
      <c r="B26" s="26" t="str">
        <f t="shared" si="0"/>
        <v/>
      </c>
      <c r="C26" s="140"/>
      <c r="D26" s="141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4"/>
    </row>
    <row r="27" spans="1:105" ht="20" customHeight="1">
      <c r="A27" s="18">
        <f>ROW()</f>
        <v>27</v>
      </c>
      <c r="B27" s="26" t="str">
        <f t="shared" si="0"/>
        <v/>
      </c>
      <c r="C27" s="140"/>
      <c r="D27" s="141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4"/>
    </row>
    <row r="28" spans="1:105" ht="20" customHeight="1">
      <c r="A28" s="18">
        <f>ROW()</f>
        <v>28</v>
      </c>
      <c r="B28" s="26" t="str">
        <f t="shared" si="0"/>
        <v/>
      </c>
      <c r="C28" s="140"/>
      <c r="D28" s="141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4"/>
    </row>
    <row r="29" spans="1:105" ht="20" customHeight="1">
      <c r="A29" s="18">
        <f>ROW()</f>
        <v>29</v>
      </c>
      <c r="B29" s="26" t="str">
        <f t="shared" si="0"/>
        <v/>
      </c>
      <c r="C29" s="140"/>
      <c r="D29" s="141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4"/>
    </row>
    <row r="30" spans="1:105" ht="20" customHeight="1">
      <c r="A30" s="18">
        <f>ROW()</f>
        <v>30</v>
      </c>
      <c r="B30" s="26" t="str">
        <f t="shared" si="0"/>
        <v/>
      </c>
      <c r="C30" s="140"/>
      <c r="D30" s="141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7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4"/>
    </row>
    <row r="31" spans="1:105" ht="20" customHeight="1">
      <c r="A31" s="18">
        <f>ROW()</f>
        <v>31</v>
      </c>
      <c r="B31" s="26" t="str">
        <f t="shared" si="0"/>
        <v/>
      </c>
      <c r="C31" s="140"/>
      <c r="D31" s="141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4"/>
    </row>
    <row r="32" spans="1:105" ht="20" customHeight="1">
      <c r="A32" s="18">
        <f>ROW()</f>
        <v>32</v>
      </c>
      <c r="B32" s="26" t="str">
        <f t="shared" si="0"/>
        <v/>
      </c>
      <c r="C32" s="140"/>
      <c r="D32" s="141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7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4"/>
    </row>
    <row r="33" spans="1:105" ht="20" customHeight="1">
      <c r="A33" s="18">
        <f>ROW()</f>
        <v>33</v>
      </c>
      <c r="B33" s="26" t="str">
        <f t="shared" si="0"/>
        <v/>
      </c>
      <c r="C33" s="140"/>
      <c r="D33" s="141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4"/>
    </row>
    <row r="34" spans="1:105" ht="20" customHeight="1">
      <c r="A34" s="18">
        <f>ROW()</f>
        <v>34</v>
      </c>
      <c r="B34" s="26" t="str">
        <f t="shared" si="0"/>
        <v/>
      </c>
      <c r="C34" s="140"/>
      <c r="D34" s="141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4"/>
    </row>
    <row r="35" spans="1:105" ht="20" customHeight="1">
      <c r="A35" s="18">
        <f>ROW()</f>
        <v>35</v>
      </c>
      <c r="B35" s="26" t="str">
        <f t="shared" si="0"/>
        <v/>
      </c>
      <c r="C35" s="140"/>
      <c r="D35" s="141"/>
      <c r="E35" s="141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7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4"/>
    </row>
    <row r="36" spans="1:105" ht="20" customHeight="1">
      <c r="A36" s="18">
        <f>ROW()</f>
        <v>36</v>
      </c>
      <c r="B36" s="26" t="str">
        <f t="shared" si="0"/>
        <v/>
      </c>
      <c r="C36" s="140"/>
      <c r="D36" s="141"/>
      <c r="E36" s="141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4"/>
    </row>
    <row r="37" spans="1:105" ht="20" customHeight="1">
      <c r="A37" s="18">
        <f>ROW()</f>
        <v>37</v>
      </c>
      <c r="B37" s="26" t="str">
        <f t="shared" si="0"/>
        <v/>
      </c>
      <c r="C37" s="140"/>
      <c r="D37" s="141"/>
      <c r="E37" s="141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4"/>
    </row>
    <row r="38" spans="1:105" ht="20" customHeight="1">
      <c r="A38" s="18">
        <f>ROW()</f>
        <v>38</v>
      </c>
      <c r="B38" s="26" t="str">
        <f t="shared" si="0"/>
        <v/>
      </c>
      <c r="C38" s="140"/>
      <c r="D38" s="141"/>
      <c r="E38" s="141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4"/>
    </row>
    <row r="39" spans="1:105" ht="20" customHeight="1">
      <c r="A39" s="18">
        <f>ROW()</f>
        <v>39</v>
      </c>
      <c r="B39" s="26" t="str">
        <f t="shared" si="0"/>
        <v/>
      </c>
      <c r="C39" s="140"/>
      <c r="D39" s="141"/>
      <c r="E39" s="141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4"/>
    </row>
    <row r="40" spans="1:105" ht="20" customHeight="1">
      <c r="A40" s="18">
        <f>ROW()</f>
        <v>40</v>
      </c>
      <c r="B40" s="26" t="str">
        <f t="shared" si="0"/>
        <v/>
      </c>
      <c r="C40" s="140"/>
      <c r="D40" s="141"/>
      <c r="E40" s="141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4"/>
    </row>
    <row r="41" spans="1:105" ht="20" customHeight="1">
      <c r="A41" s="18">
        <f>ROW()</f>
        <v>41</v>
      </c>
      <c r="B41" s="26" t="str">
        <f t="shared" si="0"/>
        <v/>
      </c>
      <c r="C41" s="140"/>
      <c r="D41" s="141"/>
      <c r="E41" s="141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4"/>
    </row>
    <row r="42" spans="1:105" ht="20" customHeight="1">
      <c r="A42" s="18">
        <f>ROW()</f>
        <v>42</v>
      </c>
      <c r="B42" s="26" t="str">
        <f t="shared" si="0"/>
        <v/>
      </c>
      <c r="C42" s="140"/>
      <c r="D42" s="141"/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4"/>
    </row>
    <row r="43" spans="1:105" ht="20" customHeight="1">
      <c r="A43" s="18">
        <f>ROW()</f>
        <v>43</v>
      </c>
      <c r="B43" s="26" t="str">
        <f t="shared" si="0"/>
        <v/>
      </c>
      <c r="C43" s="140"/>
      <c r="D43" s="141"/>
      <c r="E43" s="141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4"/>
    </row>
    <row r="44" spans="1:105" ht="20" customHeight="1">
      <c r="A44" s="18">
        <f>ROW()</f>
        <v>44</v>
      </c>
      <c r="B44" s="26" t="str">
        <f t="shared" si="0"/>
        <v/>
      </c>
      <c r="C44" s="140"/>
      <c r="D44" s="141"/>
      <c r="E44" s="141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4"/>
    </row>
    <row r="45" spans="1:105" ht="20" customHeight="1">
      <c r="A45" s="18">
        <f>ROW()</f>
        <v>45</v>
      </c>
      <c r="B45" s="26" t="str">
        <f t="shared" si="0"/>
        <v/>
      </c>
      <c r="C45" s="140"/>
      <c r="D45" s="141"/>
      <c r="E45" s="141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4"/>
    </row>
    <row r="46" spans="1:105" ht="20" customHeight="1">
      <c r="A46" s="18">
        <f>ROW()</f>
        <v>46</v>
      </c>
      <c r="B46" s="26" t="str">
        <f t="shared" si="0"/>
        <v/>
      </c>
      <c r="C46" s="140"/>
      <c r="D46" s="141"/>
      <c r="E46" s="141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4"/>
    </row>
    <row r="47" spans="1:105" ht="20" customHeight="1">
      <c r="A47" s="18">
        <f>ROW()</f>
        <v>47</v>
      </c>
      <c r="B47" s="26" t="str">
        <f t="shared" si="0"/>
        <v/>
      </c>
      <c r="C47" s="140"/>
      <c r="D47" s="141"/>
      <c r="E47" s="141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4"/>
    </row>
    <row r="48" spans="1:105" ht="20" customHeight="1">
      <c r="A48" s="18">
        <f>ROW()</f>
        <v>48</v>
      </c>
      <c r="B48" s="26" t="str">
        <f t="shared" si="0"/>
        <v/>
      </c>
      <c r="C48" s="140"/>
      <c r="D48" s="141"/>
      <c r="E48" s="141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4"/>
    </row>
    <row r="49" spans="1:105" ht="20" customHeight="1">
      <c r="A49" s="18">
        <f>ROW()</f>
        <v>49</v>
      </c>
      <c r="B49" s="26" t="str">
        <f t="shared" si="0"/>
        <v/>
      </c>
      <c r="C49" s="140"/>
      <c r="D49" s="141"/>
      <c r="E49" s="141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4"/>
    </row>
    <row r="50" spans="1:105" ht="20" customHeight="1">
      <c r="A50" s="18">
        <f>ROW()</f>
        <v>50</v>
      </c>
      <c r="B50" s="26" t="str">
        <f t="shared" si="0"/>
        <v/>
      </c>
      <c r="C50" s="140"/>
      <c r="D50" s="141"/>
      <c r="E50" s="141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4"/>
    </row>
    <row r="51" spans="1:105" ht="20" customHeight="1">
      <c r="A51" s="18">
        <f>ROW()</f>
        <v>51</v>
      </c>
      <c r="B51" s="26" t="str">
        <f t="shared" si="0"/>
        <v/>
      </c>
      <c r="C51" s="140"/>
      <c r="D51" s="141"/>
      <c r="E51" s="141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4"/>
    </row>
    <row r="52" spans="1:105" ht="20" customHeight="1">
      <c r="A52" s="18">
        <f>ROW()</f>
        <v>52</v>
      </c>
      <c r="B52" s="26" t="str">
        <f t="shared" si="0"/>
        <v/>
      </c>
      <c r="C52" s="140"/>
      <c r="D52" s="141"/>
      <c r="E52" s="141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4"/>
    </row>
    <row r="53" spans="1:105" ht="20" customHeight="1">
      <c r="A53" s="18">
        <f>ROW()</f>
        <v>53</v>
      </c>
      <c r="B53" s="26" t="str">
        <f t="shared" si="0"/>
        <v/>
      </c>
      <c r="C53" s="140"/>
      <c r="D53" s="141"/>
      <c r="E53" s="141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4"/>
    </row>
    <row r="54" spans="1:105" ht="20" customHeight="1">
      <c r="A54" s="18">
        <f>ROW()</f>
        <v>54</v>
      </c>
      <c r="B54" s="26" t="str">
        <f t="shared" si="0"/>
        <v/>
      </c>
      <c r="C54" s="140"/>
      <c r="D54" s="141"/>
      <c r="E54" s="141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4"/>
    </row>
    <row r="55" spans="1:105" ht="20" customHeight="1">
      <c r="A55" s="18">
        <f>ROW()</f>
        <v>55</v>
      </c>
      <c r="B55" s="26" t="str">
        <f t="shared" si="0"/>
        <v/>
      </c>
      <c r="C55" s="140"/>
      <c r="D55" s="141"/>
      <c r="E55" s="141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4"/>
    </row>
    <row r="56" spans="1:105" ht="20" customHeight="1">
      <c r="A56" s="18">
        <f>ROW()</f>
        <v>56</v>
      </c>
      <c r="B56" s="26" t="str">
        <f t="shared" si="0"/>
        <v/>
      </c>
      <c r="C56" s="140"/>
      <c r="D56" s="141"/>
      <c r="E56" s="141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4"/>
    </row>
    <row r="57" spans="1:105" ht="20" customHeight="1">
      <c r="A57" s="18">
        <f>ROW()</f>
        <v>57</v>
      </c>
      <c r="B57" s="26" t="str">
        <f t="shared" si="0"/>
        <v/>
      </c>
      <c r="C57" s="140"/>
      <c r="D57" s="141"/>
      <c r="E57" s="141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4"/>
    </row>
    <row r="58" spans="1:105" ht="20" customHeight="1">
      <c r="A58" s="18">
        <f>ROW()</f>
        <v>58</v>
      </c>
      <c r="B58" s="26" t="str">
        <f t="shared" si="0"/>
        <v/>
      </c>
      <c r="C58" s="140"/>
      <c r="D58" s="141"/>
      <c r="E58" s="141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4"/>
    </row>
    <row r="59" spans="1:105" ht="20" customHeight="1">
      <c r="A59" s="18">
        <f>ROW()</f>
        <v>59</v>
      </c>
      <c r="B59" s="26" t="str">
        <f t="shared" si="0"/>
        <v/>
      </c>
      <c r="C59" s="140"/>
      <c r="D59" s="141"/>
      <c r="E59" s="141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4"/>
    </row>
    <row r="60" spans="1:105" ht="20" customHeight="1">
      <c r="A60" s="18">
        <f>ROW()</f>
        <v>60</v>
      </c>
      <c r="B60" s="26" t="str">
        <f t="shared" si="0"/>
        <v/>
      </c>
      <c r="C60" s="140"/>
      <c r="D60" s="141"/>
      <c r="E60" s="141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4"/>
    </row>
    <row r="61" spans="1:105" ht="20" customHeight="1">
      <c r="A61" s="18">
        <f>ROW()</f>
        <v>61</v>
      </c>
      <c r="B61" s="26" t="str">
        <f t="shared" si="0"/>
        <v/>
      </c>
      <c r="C61" s="140"/>
      <c r="D61" s="141"/>
      <c r="E61" s="141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4"/>
    </row>
    <row r="62" spans="1:105" ht="20" customHeight="1">
      <c r="A62" s="18">
        <f>ROW()</f>
        <v>62</v>
      </c>
      <c r="B62" s="26" t="str">
        <f t="shared" si="0"/>
        <v/>
      </c>
      <c r="C62" s="140"/>
      <c r="D62" s="141"/>
      <c r="E62" s="141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4"/>
    </row>
    <row r="63" spans="1:105" ht="20" customHeight="1">
      <c r="A63" s="18">
        <f>ROW()</f>
        <v>63</v>
      </c>
      <c r="B63" s="26" t="str">
        <f t="shared" si="0"/>
        <v/>
      </c>
      <c r="C63" s="140"/>
      <c r="D63" s="141"/>
      <c r="E63" s="141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  <c r="BS63" s="142"/>
      <c r="BT63" s="142"/>
      <c r="BU63" s="142"/>
      <c r="BV63" s="142"/>
      <c r="BW63" s="142"/>
      <c r="BX63" s="142"/>
      <c r="BY63" s="142"/>
      <c r="BZ63" s="142"/>
      <c r="CA63" s="142"/>
      <c r="CB63" s="142"/>
      <c r="CC63" s="142"/>
      <c r="CD63" s="142"/>
      <c r="CE63" s="142"/>
      <c r="CF63" s="142"/>
      <c r="CG63" s="142"/>
      <c r="CH63" s="142"/>
      <c r="CI63" s="142"/>
      <c r="CJ63" s="142"/>
      <c r="CK63" s="142"/>
      <c r="CL63" s="142"/>
      <c r="CM63" s="142"/>
      <c r="CN63" s="142"/>
      <c r="CO63" s="142"/>
      <c r="CP63" s="142"/>
      <c r="CQ63" s="142"/>
      <c r="CR63" s="142"/>
      <c r="CS63" s="142"/>
      <c r="CT63" s="142"/>
      <c r="CU63" s="142"/>
      <c r="CV63" s="142"/>
      <c r="CW63" s="142"/>
      <c r="CX63" s="142"/>
      <c r="CY63" s="142"/>
      <c r="CZ63" s="142"/>
      <c r="DA63" s="144"/>
    </row>
    <row r="64" spans="1:105" ht="20" customHeight="1">
      <c r="A64" s="18">
        <f>ROW()</f>
        <v>64</v>
      </c>
      <c r="B64" s="26" t="str">
        <f t="shared" si="0"/>
        <v/>
      </c>
      <c r="C64" s="140"/>
      <c r="D64" s="141"/>
      <c r="E64" s="141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4"/>
    </row>
    <row r="65" spans="1:105" ht="20" customHeight="1">
      <c r="A65" s="18">
        <f>ROW()</f>
        <v>65</v>
      </c>
      <c r="B65" s="26" t="str">
        <f t="shared" si="0"/>
        <v/>
      </c>
      <c r="C65" s="140"/>
      <c r="D65" s="141"/>
      <c r="E65" s="141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  <c r="BS65" s="142"/>
      <c r="BT65" s="142"/>
      <c r="BU65" s="142"/>
      <c r="BV65" s="142"/>
      <c r="BW65" s="142"/>
      <c r="BX65" s="142"/>
      <c r="BY65" s="142"/>
      <c r="BZ65" s="142"/>
      <c r="CA65" s="142"/>
      <c r="CB65" s="142"/>
      <c r="CC65" s="142"/>
      <c r="CD65" s="142"/>
      <c r="CE65" s="142"/>
      <c r="CF65" s="142"/>
      <c r="CG65" s="142"/>
      <c r="CH65" s="142"/>
      <c r="CI65" s="142"/>
      <c r="CJ65" s="142"/>
      <c r="CK65" s="142"/>
      <c r="CL65" s="142"/>
      <c r="CM65" s="142"/>
      <c r="CN65" s="142"/>
      <c r="CO65" s="142"/>
      <c r="CP65" s="142"/>
      <c r="CQ65" s="142"/>
      <c r="CR65" s="142"/>
      <c r="CS65" s="142"/>
      <c r="CT65" s="142"/>
      <c r="CU65" s="142"/>
      <c r="CV65" s="142"/>
      <c r="CW65" s="142"/>
      <c r="CX65" s="142"/>
      <c r="CY65" s="142"/>
      <c r="CZ65" s="142"/>
      <c r="DA65" s="144"/>
    </row>
    <row r="66" spans="1:105" ht="20" customHeight="1">
      <c r="A66" s="18">
        <f>ROW()</f>
        <v>66</v>
      </c>
      <c r="B66" s="26" t="str">
        <f t="shared" si="0"/>
        <v/>
      </c>
      <c r="C66" s="140"/>
      <c r="D66" s="141"/>
      <c r="E66" s="141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  <c r="BS66" s="142"/>
      <c r="BT66" s="142"/>
      <c r="BU66" s="142"/>
      <c r="BV66" s="142"/>
      <c r="BW66" s="142"/>
      <c r="BX66" s="142"/>
      <c r="BY66" s="142"/>
      <c r="BZ66" s="142"/>
      <c r="CA66" s="142"/>
      <c r="CB66" s="142"/>
      <c r="CC66" s="142"/>
      <c r="CD66" s="142"/>
      <c r="CE66" s="142"/>
      <c r="CF66" s="142"/>
      <c r="CG66" s="142"/>
      <c r="CH66" s="142"/>
      <c r="CI66" s="142"/>
      <c r="CJ66" s="142"/>
      <c r="CK66" s="142"/>
      <c r="CL66" s="142"/>
      <c r="CM66" s="142"/>
      <c r="CN66" s="142"/>
      <c r="CO66" s="142"/>
      <c r="CP66" s="142"/>
      <c r="CQ66" s="142"/>
      <c r="CR66" s="142"/>
      <c r="CS66" s="142"/>
      <c r="CT66" s="142"/>
      <c r="CU66" s="142"/>
      <c r="CV66" s="142"/>
      <c r="CW66" s="142"/>
      <c r="CX66" s="142"/>
      <c r="CY66" s="142"/>
      <c r="CZ66" s="142"/>
      <c r="DA66" s="144"/>
    </row>
    <row r="67" spans="1:105" ht="20" customHeight="1">
      <c r="A67" s="18">
        <f>ROW()</f>
        <v>67</v>
      </c>
      <c r="B67" s="26" t="str">
        <f t="shared" si="0"/>
        <v/>
      </c>
      <c r="C67" s="140"/>
      <c r="D67" s="141"/>
      <c r="E67" s="141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  <c r="BS67" s="142"/>
      <c r="BT67" s="142"/>
      <c r="BU67" s="142"/>
      <c r="BV67" s="142"/>
      <c r="BW67" s="142"/>
      <c r="BX67" s="142"/>
      <c r="BY67" s="142"/>
      <c r="BZ67" s="142"/>
      <c r="CA67" s="142"/>
      <c r="CB67" s="142"/>
      <c r="CC67" s="142"/>
      <c r="CD67" s="142"/>
      <c r="CE67" s="142"/>
      <c r="CF67" s="142"/>
      <c r="CG67" s="142"/>
      <c r="CH67" s="142"/>
      <c r="CI67" s="142"/>
      <c r="CJ67" s="142"/>
      <c r="CK67" s="142"/>
      <c r="CL67" s="142"/>
      <c r="CM67" s="142"/>
      <c r="CN67" s="142"/>
      <c r="CO67" s="142"/>
      <c r="CP67" s="142"/>
      <c r="CQ67" s="142"/>
      <c r="CR67" s="142"/>
      <c r="CS67" s="142"/>
      <c r="CT67" s="142"/>
      <c r="CU67" s="142"/>
      <c r="CV67" s="142"/>
      <c r="CW67" s="142"/>
      <c r="CX67" s="142"/>
      <c r="CY67" s="142"/>
      <c r="CZ67" s="142"/>
      <c r="DA67" s="144"/>
    </row>
    <row r="68" spans="1:105" ht="20" customHeight="1">
      <c r="A68" s="18">
        <f>ROW()</f>
        <v>68</v>
      </c>
      <c r="B68" s="26" t="str">
        <f t="shared" si="0"/>
        <v/>
      </c>
      <c r="C68" s="140"/>
      <c r="D68" s="141"/>
      <c r="E68" s="141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  <c r="BS68" s="142"/>
      <c r="BT68" s="142"/>
      <c r="BU68" s="142"/>
      <c r="BV68" s="142"/>
      <c r="BW68" s="142"/>
      <c r="BX68" s="142"/>
      <c r="BY68" s="142"/>
      <c r="BZ68" s="142"/>
      <c r="CA68" s="142"/>
      <c r="CB68" s="142"/>
      <c r="CC68" s="142"/>
      <c r="CD68" s="142"/>
      <c r="CE68" s="142"/>
      <c r="CF68" s="142"/>
      <c r="CG68" s="142"/>
      <c r="CH68" s="142"/>
      <c r="CI68" s="142"/>
      <c r="CJ68" s="142"/>
      <c r="CK68" s="142"/>
      <c r="CL68" s="142"/>
      <c r="CM68" s="142"/>
      <c r="CN68" s="142"/>
      <c r="CO68" s="142"/>
      <c r="CP68" s="142"/>
      <c r="CQ68" s="142"/>
      <c r="CR68" s="142"/>
      <c r="CS68" s="142"/>
      <c r="CT68" s="142"/>
      <c r="CU68" s="142"/>
      <c r="CV68" s="142"/>
      <c r="CW68" s="142"/>
      <c r="CX68" s="142"/>
      <c r="CY68" s="142"/>
      <c r="CZ68" s="142"/>
      <c r="DA68" s="144"/>
    </row>
    <row r="69" spans="1:105" ht="20" customHeight="1">
      <c r="A69" s="18">
        <f>ROW()</f>
        <v>69</v>
      </c>
      <c r="B69" s="26" t="str">
        <f t="shared" si="0"/>
        <v/>
      </c>
      <c r="C69" s="140"/>
      <c r="D69" s="141"/>
      <c r="E69" s="141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  <c r="BS69" s="142"/>
      <c r="BT69" s="142"/>
      <c r="BU69" s="142"/>
      <c r="BV69" s="142"/>
      <c r="BW69" s="142"/>
      <c r="BX69" s="142"/>
      <c r="BY69" s="142"/>
      <c r="BZ69" s="142"/>
      <c r="CA69" s="142"/>
      <c r="CB69" s="142"/>
      <c r="CC69" s="142"/>
      <c r="CD69" s="142"/>
      <c r="CE69" s="142"/>
      <c r="CF69" s="142"/>
      <c r="CG69" s="142"/>
      <c r="CH69" s="142"/>
      <c r="CI69" s="142"/>
      <c r="CJ69" s="142"/>
      <c r="CK69" s="142"/>
      <c r="CL69" s="142"/>
      <c r="CM69" s="142"/>
      <c r="CN69" s="142"/>
      <c r="CO69" s="142"/>
      <c r="CP69" s="142"/>
      <c r="CQ69" s="142"/>
      <c r="CR69" s="142"/>
      <c r="CS69" s="142"/>
      <c r="CT69" s="142"/>
      <c r="CU69" s="142"/>
      <c r="CV69" s="142"/>
      <c r="CW69" s="142"/>
      <c r="CX69" s="142"/>
      <c r="CY69" s="142"/>
      <c r="CZ69" s="142"/>
      <c r="DA69" s="144"/>
    </row>
    <row r="70" spans="1:105" ht="20" customHeight="1">
      <c r="A70" s="18">
        <f>ROW()</f>
        <v>70</v>
      </c>
      <c r="B70" s="26" t="str">
        <f t="shared" si="0"/>
        <v/>
      </c>
      <c r="C70" s="140"/>
      <c r="D70" s="141"/>
      <c r="E70" s="141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2"/>
      <c r="BY70" s="142"/>
      <c r="BZ70" s="142"/>
      <c r="CA70" s="142"/>
      <c r="CB70" s="142"/>
      <c r="CC70" s="142"/>
      <c r="CD70" s="142"/>
      <c r="CE70" s="142"/>
      <c r="CF70" s="142"/>
      <c r="CG70" s="142"/>
      <c r="CH70" s="142"/>
      <c r="CI70" s="142"/>
      <c r="CJ70" s="142"/>
      <c r="CK70" s="142"/>
      <c r="CL70" s="142"/>
      <c r="CM70" s="142"/>
      <c r="CN70" s="142"/>
      <c r="CO70" s="142"/>
      <c r="CP70" s="142"/>
      <c r="CQ70" s="142"/>
      <c r="CR70" s="142"/>
      <c r="CS70" s="142"/>
      <c r="CT70" s="142"/>
      <c r="CU70" s="142"/>
      <c r="CV70" s="142"/>
      <c r="CW70" s="142"/>
      <c r="CX70" s="142"/>
      <c r="CY70" s="142"/>
      <c r="CZ70" s="142"/>
      <c r="DA70" s="144"/>
    </row>
    <row r="71" spans="1:105" ht="20" customHeight="1">
      <c r="A71" s="18">
        <f>ROW()</f>
        <v>71</v>
      </c>
      <c r="B71" s="26" t="str">
        <f t="shared" si="0"/>
        <v/>
      </c>
      <c r="C71" s="140"/>
      <c r="D71" s="141"/>
      <c r="E71" s="141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  <c r="BE71" s="142"/>
      <c r="BF71" s="142"/>
      <c r="BG71" s="142"/>
      <c r="BH71" s="142"/>
      <c r="BI71" s="142"/>
      <c r="BJ71" s="142"/>
      <c r="BK71" s="142"/>
      <c r="BL71" s="142"/>
      <c r="BM71" s="142"/>
      <c r="BN71" s="142"/>
      <c r="BO71" s="142"/>
      <c r="BP71" s="142"/>
      <c r="BQ71" s="142"/>
      <c r="BR71" s="142"/>
      <c r="BS71" s="142"/>
      <c r="BT71" s="142"/>
      <c r="BU71" s="142"/>
      <c r="BV71" s="142"/>
      <c r="BW71" s="142"/>
      <c r="BX71" s="142"/>
      <c r="BY71" s="142"/>
      <c r="BZ71" s="142"/>
      <c r="CA71" s="142"/>
      <c r="CB71" s="142"/>
      <c r="CC71" s="142"/>
      <c r="CD71" s="142"/>
      <c r="CE71" s="142"/>
      <c r="CF71" s="142"/>
      <c r="CG71" s="142"/>
      <c r="CH71" s="142"/>
      <c r="CI71" s="142"/>
      <c r="CJ71" s="142"/>
      <c r="CK71" s="142"/>
      <c r="CL71" s="142"/>
      <c r="CM71" s="142"/>
      <c r="CN71" s="142"/>
      <c r="CO71" s="142"/>
      <c r="CP71" s="142"/>
      <c r="CQ71" s="142"/>
      <c r="CR71" s="142"/>
      <c r="CS71" s="142"/>
      <c r="CT71" s="142"/>
      <c r="CU71" s="142"/>
      <c r="CV71" s="142"/>
      <c r="CW71" s="142"/>
      <c r="CX71" s="142"/>
      <c r="CY71" s="142"/>
      <c r="CZ71" s="142"/>
      <c r="DA71" s="144"/>
    </row>
    <row r="72" spans="1:105" ht="20" customHeight="1">
      <c r="A72" s="18">
        <f>ROW()</f>
        <v>72</v>
      </c>
      <c r="B72" s="26" t="str">
        <f t="shared" si="0"/>
        <v/>
      </c>
      <c r="C72" s="140"/>
      <c r="D72" s="141"/>
      <c r="E72" s="141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  <c r="BS72" s="142"/>
      <c r="BT72" s="142"/>
      <c r="BU72" s="142"/>
      <c r="BV72" s="142"/>
      <c r="BW72" s="142"/>
      <c r="BX72" s="142"/>
      <c r="BY72" s="142"/>
      <c r="BZ72" s="142"/>
      <c r="CA72" s="142"/>
      <c r="CB72" s="142"/>
      <c r="CC72" s="142"/>
      <c r="CD72" s="142"/>
      <c r="CE72" s="142"/>
      <c r="CF72" s="142"/>
      <c r="CG72" s="142"/>
      <c r="CH72" s="142"/>
      <c r="CI72" s="142"/>
      <c r="CJ72" s="142"/>
      <c r="CK72" s="142"/>
      <c r="CL72" s="142"/>
      <c r="CM72" s="142"/>
      <c r="CN72" s="142"/>
      <c r="CO72" s="142"/>
      <c r="CP72" s="142"/>
      <c r="CQ72" s="142"/>
      <c r="CR72" s="142"/>
      <c r="CS72" s="142"/>
      <c r="CT72" s="142"/>
      <c r="CU72" s="142"/>
      <c r="CV72" s="142"/>
      <c r="CW72" s="142"/>
      <c r="CX72" s="142"/>
      <c r="CY72" s="142"/>
      <c r="CZ72" s="142"/>
      <c r="DA72" s="144"/>
    </row>
    <row r="73" spans="1:105" ht="20" customHeight="1">
      <c r="A73" s="18">
        <f>ROW()</f>
        <v>73</v>
      </c>
      <c r="B73" s="26" t="str">
        <f t="shared" si="0"/>
        <v/>
      </c>
      <c r="C73" s="140"/>
      <c r="D73" s="141"/>
      <c r="E73" s="141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  <c r="BS73" s="142"/>
      <c r="BT73" s="142"/>
      <c r="BU73" s="142"/>
      <c r="BV73" s="142"/>
      <c r="BW73" s="142"/>
      <c r="BX73" s="142"/>
      <c r="BY73" s="142"/>
      <c r="BZ73" s="142"/>
      <c r="CA73" s="142"/>
      <c r="CB73" s="142"/>
      <c r="CC73" s="142"/>
      <c r="CD73" s="142"/>
      <c r="CE73" s="142"/>
      <c r="CF73" s="142"/>
      <c r="CG73" s="142"/>
      <c r="CH73" s="142"/>
      <c r="CI73" s="142"/>
      <c r="CJ73" s="142"/>
      <c r="CK73" s="142"/>
      <c r="CL73" s="142"/>
      <c r="CM73" s="142"/>
      <c r="CN73" s="142"/>
      <c r="CO73" s="142"/>
      <c r="CP73" s="142"/>
      <c r="CQ73" s="142"/>
      <c r="CR73" s="142"/>
      <c r="CS73" s="142"/>
      <c r="CT73" s="142"/>
      <c r="CU73" s="142"/>
      <c r="CV73" s="142"/>
      <c r="CW73" s="142"/>
      <c r="CX73" s="142"/>
      <c r="CY73" s="142"/>
      <c r="CZ73" s="142"/>
      <c r="DA73" s="144"/>
    </row>
    <row r="74" spans="1:105" ht="20" customHeight="1">
      <c r="A74" s="18">
        <f>ROW()</f>
        <v>74</v>
      </c>
      <c r="B74" s="26" t="str">
        <f t="shared" si="0"/>
        <v/>
      </c>
      <c r="C74" s="140"/>
      <c r="D74" s="141"/>
      <c r="E74" s="141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  <c r="BS74" s="142"/>
      <c r="BT74" s="142"/>
      <c r="BU74" s="142"/>
      <c r="BV74" s="142"/>
      <c r="BW74" s="142"/>
      <c r="BX74" s="142"/>
      <c r="BY74" s="142"/>
      <c r="BZ74" s="142"/>
      <c r="CA74" s="142"/>
      <c r="CB74" s="142"/>
      <c r="CC74" s="142"/>
      <c r="CD74" s="142"/>
      <c r="CE74" s="142"/>
      <c r="CF74" s="142"/>
      <c r="CG74" s="142"/>
      <c r="CH74" s="142"/>
      <c r="CI74" s="142"/>
      <c r="CJ74" s="142"/>
      <c r="CK74" s="142"/>
      <c r="CL74" s="142"/>
      <c r="CM74" s="142"/>
      <c r="CN74" s="142"/>
      <c r="CO74" s="142"/>
      <c r="CP74" s="142"/>
      <c r="CQ74" s="142"/>
      <c r="CR74" s="142"/>
      <c r="CS74" s="142"/>
      <c r="CT74" s="142"/>
      <c r="CU74" s="142"/>
      <c r="CV74" s="142"/>
      <c r="CW74" s="142"/>
      <c r="CX74" s="142"/>
      <c r="CY74" s="142"/>
      <c r="CZ74" s="142"/>
      <c r="DA74" s="144"/>
    </row>
    <row r="75" spans="1:105" ht="20" customHeight="1">
      <c r="A75" s="18">
        <f>ROW()</f>
        <v>75</v>
      </c>
      <c r="B75" s="26" t="str">
        <f t="shared" si="0"/>
        <v/>
      </c>
      <c r="C75" s="140"/>
      <c r="D75" s="141"/>
      <c r="E75" s="141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  <c r="BS75" s="142"/>
      <c r="BT75" s="142"/>
      <c r="BU75" s="142"/>
      <c r="BV75" s="142"/>
      <c r="BW75" s="142"/>
      <c r="BX75" s="142"/>
      <c r="BY75" s="142"/>
      <c r="BZ75" s="142"/>
      <c r="CA75" s="142"/>
      <c r="CB75" s="142"/>
      <c r="CC75" s="142"/>
      <c r="CD75" s="142"/>
      <c r="CE75" s="142"/>
      <c r="CF75" s="142"/>
      <c r="CG75" s="142"/>
      <c r="CH75" s="142"/>
      <c r="CI75" s="142"/>
      <c r="CJ75" s="142"/>
      <c r="CK75" s="142"/>
      <c r="CL75" s="142"/>
      <c r="CM75" s="142"/>
      <c r="CN75" s="142"/>
      <c r="CO75" s="142"/>
      <c r="CP75" s="142"/>
      <c r="CQ75" s="142"/>
      <c r="CR75" s="142"/>
      <c r="CS75" s="142"/>
      <c r="CT75" s="142"/>
      <c r="CU75" s="142"/>
      <c r="CV75" s="142"/>
      <c r="CW75" s="142"/>
      <c r="CX75" s="142"/>
      <c r="CY75" s="142"/>
      <c r="CZ75" s="142"/>
      <c r="DA75" s="144"/>
    </row>
    <row r="76" spans="1:105" ht="20" customHeight="1">
      <c r="A76" s="18">
        <f>ROW()</f>
        <v>76</v>
      </c>
      <c r="B76" s="26" t="str">
        <f t="shared" si="0"/>
        <v/>
      </c>
      <c r="C76" s="140"/>
      <c r="D76" s="141"/>
      <c r="E76" s="141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  <c r="BS76" s="142"/>
      <c r="BT76" s="142"/>
      <c r="BU76" s="142"/>
      <c r="BV76" s="142"/>
      <c r="BW76" s="142"/>
      <c r="BX76" s="142"/>
      <c r="BY76" s="142"/>
      <c r="BZ76" s="142"/>
      <c r="CA76" s="142"/>
      <c r="CB76" s="142"/>
      <c r="CC76" s="142"/>
      <c r="CD76" s="142"/>
      <c r="CE76" s="142"/>
      <c r="CF76" s="142"/>
      <c r="CG76" s="142"/>
      <c r="CH76" s="142"/>
      <c r="CI76" s="142"/>
      <c r="CJ76" s="142"/>
      <c r="CK76" s="142"/>
      <c r="CL76" s="142"/>
      <c r="CM76" s="142"/>
      <c r="CN76" s="142"/>
      <c r="CO76" s="142"/>
      <c r="CP76" s="142"/>
      <c r="CQ76" s="142"/>
      <c r="CR76" s="142"/>
      <c r="CS76" s="142"/>
      <c r="CT76" s="142"/>
      <c r="CU76" s="142"/>
      <c r="CV76" s="142"/>
      <c r="CW76" s="142"/>
      <c r="CX76" s="142"/>
      <c r="CY76" s="142"/>
      <c r="CZ76" s="142"/>
      <c r="DA76" s="14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0"/>
      <c r="D77" s="141"/>
      <c r="E77" s="141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2"/>
      <c r="BV77" s="142"/>
      <c r="BW77" s="142"/>
      <c r="BX77" s="142"/>
      <c r="BY77" s="142"/>
      <c r="BZ77" s="142"/>
      <c r="CA77" s="142"/>
      <c r="CB77" s="142"/>
      <c r="CC77" s="142"/>
      <c r="CD77" s="142"/>
      <c r="CE77" s="142"/>
      <c r="CF77" s="142"/>
      <c r="CG77" s="142"/>
      <c r="CH77" s="142"/>
      <c r="CI77" s="142"/>
      <c r="CJ77" s="142"/>
      <c r="CK77" s="142"/>
      <c r="CL77" s="142"/>
      <c r="CM77" s="142"/>
      <c r="CN77" s="142"/>
      <c r="CO77" s="142"/>
      <c r="CP77" s="142"/>
      <c r="CQ77" s="142"/>
      <c r="CR77" s="142"/>
      <c r="CS77" s="142"/>
      <c r="CT77" s="142"/>
      <c r="CU77" s="142"/>
      <c r="CV77" s="142"/>
      <c r="CW77" s="142"/>
      <c r="CX77" s="142"/>
      <c r="CY77" s="142"/>
      <c r="CZ77" s="142"/>
      <c r="DA77" s="144"/>
    </row>
    <row r="78" spans="1:105" ht="20" customHeight="1">
      <c r="A78" s="18">
        <f>ROW()</f>
        <v>78</v>
      </c>
      <c r="B78" s="26" t="str">
        <f t="shared" si="1"/>
        <v/>
      </c>
      <c r="C78" s="140"/>
      <c r="D78" s="141"/>
      <c r="E78" s="141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  <c r="BS78" s="142"/>
      <c r="BT78" s="142"/>
      <c r="BU78" s="142"/>
      <c r="BV78" s="142"/>
      <c r="BW78" s="142"/>
      <c r="BX78" s="142"/>
      <c r="BY78" s="142"/>
      <c r="BZ78" s="142"/>
      <c r="CA78" s="142"/>
      <c r="CB78" s="142"/>
      <c r="CC78" s="142"/>
      <c r="CD78" s="142"/>
      <c r="CE78" s="142"/>
      <c r="CF78" s="142"/>
      <c r="CG78" s="142"/>
      <c r="CH78" s="142"/>
      <c r="CI78" s="142"/>
      <c r="CJ78" s="142"/>
      <c r="CK78" s="142"/>
      <c r="CL78" s="142"/>
      <c r="CM78" s="142"/>
      <c r="CN78" s="142"/>
      <c r="CO78" s="142"/>
      <c r="CP78" s="142"/>
      <c r="CQ78" s="142"/>
      <c r="CR78" s="142"/>
      <c r="CS78" s="142"/>
      <c r="CT78" s="142"/>
      <c r="CU78" s="142"/>
      <c r="CV78" s="142"/>
      <c r="CW78" s="142"/>
      <c r="CX78" s="142"/>
      <c r="CY78" s="142"/>
      <c r="CZ78" s="142"/>
      <c r="DA78" s="144"/>
    </row>
    <row r="79" spans="1:105" ht="20" customHeight="1">
      <c r="A79" s="18">
        <f>ROW()</f>
        <v>79</v>
      </c>
      <c r="B79" s="26" t="str">
        <f t="shared" si="1"/>
        <v/>
      </c>
      <c r="C79" s="140"/>
      <c r="D79" s="141"/>
      <c r="E79" s="141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  <c r="BS79" s="142"/>
      <c r="BT79" s="142"/>
      <c r="BU79" s="142"/>
      <c r="BV79" s="142"/>
      <c r="BW79" s="142"/>
      <c r="BX79" s="142"/>
      <c r="BY79" s="142"/>
      <c r="BZ79" s="142"/>
      <c r="CA79" s="142"/>
      <c r="CB79" s="142"/>
      <c r="CC79" s="142"/>
      <c r="CD79" s="142"/>
      <c r="CE79" s="142"/>
      <c r="CF79" s="142"/>
      <c r="CG79" s="142"/>
      <c r="CH79" s="142"/>
      <c r="CI79" s="142"/>
      <c r="CJ79" s="142"/>
      <c r="CK79" s="142"/>
      <c r="CL79" s="142"/>
      <c r="CM79" s="142"/>
      <c r="CN79" s="142"/>
      <c r="CO79" s="142"/>
      <c r="CP79" s="142"/>
      <c r="CQ79" s="142"/>
      <c r="CR79" s="142"/>
      <c r="CS79" s="142"/>
      <c r="CT79" s="142"/>
      <c r="CU79" s="142"/>
      <c r="CV79" s="142"/>
      <c r="CW79" s="142"/>
      <c r="CX79" s="142"/>
      <c r="CY79" s="142"/>
      <c r="CZ79" s="142"/>
      <c r="DA79" s="144"/>
    </row>
    <row r="80" spans="1:105" ht="20" customHeight="1">
      <c r="A80" s="18">
        <f>ROW()</f>
        <v>80</v>
      </c>
      <c r="B80" s="26" t="str">
        <f t="shared" si="1"/>
        <v/>
      </c>
      <c r="C80" s="140"/>
      <c r="D80" s="141"/>
      <c r="E80" s="141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  <c r="BS80" s="142"/>
      <c r="BT80" s="142"/>
      <c r="BU80" s="142"/>
      <c r="BV80" s="142"/>
      <c r="BW80" s="142"/>
      <c r="BX80" s="142"/>
      <c r="BY80" s="142"/>
      <c r="BZ80" s="142"/>
      <c r="CA80" s="142"/>
      <c r="CB80" s="142"/>
      <c r="CC80" s="142"/>
      <c r="CD80" s="142"/>
      <c r="CE80" s="142"/>
      <c r="CF80" s="142"/>
      <c r="CG80" s="142"/>
      <c r="CH80" s="142"/>
      <c r="CI80" s="142"/>
      <c r="CJ80" s="142"/>
      <c r="CK80" s="142"/>
      <c r="CL80" s="142"/>
      <c r="CM80" s="142"/>
      <c r="CN80" s="142"/>
      <c r="CO80" s="142"/>
      <c r="CP80" s="142"/>
      <c r="CQ80" s="142"/>
      <c r="CR80" s="142"/>
      <c r="CS80" s="142"/>
      <c r="CT80" s="142"/>
      <c r="CU80" s="142"/>
      <c r="CV80" s="142"/>
      <c r="CW80" s="142"/>
      <c r="CX80" s="142"/>
      <c r="CY80" s="142"/>
      <c r="CZ80" s="142"/>
      <c r="DA80" s="144"/>
    </row>
    <row r="81" spans="1:105" ht="20" customHeight="1">
      <c r="A81" s="18">
        <f>ROW()</f>
        <v>81</v>
      </c>
      <c r="B81" s="26" t="str">
        <f t="shared" si="1"/>
        <v/>
      </c>
      <c r="C81" s="140"/>
      <c r="D81" s="141"/>
      <c r="E81" s="141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  <c r="BS81" s="142"/>
      <c r="BT81" s="142"/>
      <c r="BU81" s="142"/>
      <c r="BV81" s="142"/>
      <c r="BW81" s="142"/>
      <c r="BX81" s="142"/>
      <c r="BY81" s="142"/>
      <c r="BZ81" s="142"/>
      <c r="CA81" s="142"/>
      <c r="CB81" s="142"/>
      <c r="CC81" s="142"/>
      <c r="CD81" s="142"/>
      <c r="CE81" s="142"/>
      <c r="CF81" s="142"/>
      <c r="CG81" s="142"/>
      <c r="CH81" s="142"/>
      <c r="CI81" s="142"/>
      <c r="CJ81" s="142"/>
      <c r="CK81" s="142"/>
      <c r="CL81" s="142"/>
      <c r="CM81" s="142"/>
      <c r="CN81" s="142"/>
      <c r="CO81" s="142"/>
      <c r="CP81" s="142"/>
      <c r="CQ81" s="142"/>
      <c r="CR81" s="142"/>
      <c r="CS81" s="142"/>
      <c r="CT81" s="142"/>
      <c r="CU81" s="142"/>
      <c r="CV81" s="142"/>
      <c r="CW81" s="142"/>
      <c r="CX81" s="142"/>
      <c r="CY81" s="142"/>
      <c r="CZ81" s="142"/>
      <c r="DA81" s="144"/>
    </row>
    <row r="82" spans="1:105" ht="20" customHeight="1">
      <c r="A82" s="18">
        <f>ROW()</f>
        <v>82</v>
      </c>
      <c r="B82" s="26" t="str">
        <f t="shared" si="1"/>
        <v/>
      </c>
      <c r="C82" s="140"/>
      <c r="D82" s="141"/>
      <c r="E82" s="141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  <c r="BS82" s="142"/>
      <c r="BT82" s="142"/>
      <c r="BU82" s="142"/>
      <c r="BV82" s="142"/>
      <c r="BW82" s="142"/>
      <c r="BX82" s="142"/>
      <c r="BY82" s="142"/>
      <c r="BZ82" s="142"/>
      <c r="CA82" s="142"/>
      <c r="CB82" s="142"/>
      <c r="CC82" s="142"/>
      <c r="CD82" s="142"/>
      <c r="CE82" s="142"/>
      <c r="CF82" s="142"/>
      <c r="CG82" s="142"/>
      <c r="CH82" s="142"/>
      <c r="CI82" s="142"/>
      <c r="CJ82" s="142"/>
      <c r="CK82" s="142"/>
      <c r="CL82" s="142"/>
      <c r="CM82" s="142"/>
      <c r="CN82" s="142"/>
      <c r="CO82" s="142"/>
      <c r="CP82" s="142"/>
      <c r="CQ82" s="142"/>
      <c r="CR82" s="142"/>
      <c r="CS82" s="142"/>
      <c r="CT82" s="142"/>
      <c r="CU82" s="142"/>
      <c r="CV82" s="142"/>
      <c r="CW82" s="142"/>
      <c r="CX82" s="142"/>
      <c r="CY82" s="142"/>
      <c r="CZ82" s="142"/>
      <c r="DA82" s="144"/>
    </row>
    <row r="83" spans="1:105" ht="20" customHeight="1">
      <c r="A83" s="18">
        <f>ROW()</f>
        <v>83</v>
      </c>
      <c r="B83" s="26" t="str">
        <f t="shared" si="1"/>
        <v/>
      </c>
      <c r="C83" s="140"/>
      <c r="D83" s="141"/>
      <c r="E83" s="141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  <c r="BS83" s="142"/>
      <c r="BT83" s="142"/>
      <c r="BU83" s="142"/>
      <c r="BV83" s="142"/>
      <c r="BW83" s="142"/>
      <c r="BX83" s="142"/>
      <c r="BY83" s="142"/>
      <c r="BZ83" s="142"/>
      <c r="CA83" s="142"/>
      <c r="CB83" s="142"/>
      <c r="CC83" s="142"/>
      <c r="CD83" s="142"/>
      <c r="CE83" s="142"/>
      <c r="CF83" s="142"/>
      <c r="CG83" s="142"/>
      <c r="CH83" s="142"/>
      <c r="CI83" s="142"/>
      <c r="CJ83" s="142"/>
      <c r="CK83" s="142"/>
      <c r="CL83" s="142"/>
      <c r="CM83" s="142"/>
      <c r="CN83" s="142"/>
      <c r="CO83" s="142"/>
      <c r="CP83" s="142"/>
      <c r="CQ83" s="142"/>
      <c r="CR83" s="142"/>
      <c r="CS83" s="142"/>
      <c r="CT83" s="142"/>
      <c r="CU83" s="142"/>
      <c r="CV83" s="142"/>
      <c r="CW83" s="142"/>
      <c r="CX83" s="142"/>
      <c r="CY83" s="142"/>
      <c r="CZ83" s="142"/>
      <c r="DA83" s="144"/>
    </row>
    <row r="84" spans="1:105" ht="20" customHeight="1">
      <c r="A84" s="18">
        <f>ROW()</f>
        <v>84</v>
      </c>
      <c r="B84" s="26" t="str">
        <f t="shared" si="1"/>
        <v/>
      </c>
      <c r="C84" s="140"/>
      <c r="D84" s="141"/>
      <c r="E84" s="141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  <c r="BS84" s="142"/>
      <c r="BT84" s="142"/>
      <c r="BU84" s="142"/>
      <c r="BV84" s="142"/>
      <c r="BW84" s="142"/>
      <c r="BX84" s="142"/>
      <c r="BY84" s="142"/>
      <c r="BZ84" s="142"/>
      <c r="CA84" s="142"/>
      <c r="CB84" s="142"/>
      <c r="CC84" s="142"/>
      <c r="CD84" s="142"/>
      <c r="CE84" s="142"/>
      <c r="CF84" s="142"/>
      <c r="CG84" s="142"/>
      <c r="CH84" s="142"/>
      <c r="CI84" s="142"/>
      <c r="CJ84" s="142"/>
      <c r="CK84" s="142"/>
      <c r="CL84" s="142"/>
      <c r="CM84" s="142"/>
      <c r="CN84" s="142"/>
      <c r="CO84" s="142"/>
      <c r="CP84" s="142"/>
      <c r="CQ84" s="142"/>
      <c r="CR84" s="142"/>
      <c r="CS84" s="142"/>
      <c r="CT84" s="142"/>
      <c r="CU84" s="142"/>
      <c r="CV84" s="142"/>
      <c r="CW84" s="142"/>
      <c r="CX84" s="142"/>
      <c r="CY84" s="142"/>
      <c r="CZ84" s="142"/>
      <c r="DA84" s="144"/>
    </row>
    <row r="85" spans="1:105" ht="20" customHeight="1">
      <c r="A85" s="18">
        <f>ROW()</f>
        <v>85</v>
      </c>
      <c r="B85" s="26" t="str">
        <f t="shared" si="1"/>
        <v/>
      </c>
      <c r="C85" s="140"/>
      <c r="D85" s="141"/>
      <c r="E85" s="141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  <c r="BS85" s="142"/>
      <c r="BT85" s="142"/>
      <c r="BU85" s="142"/>
      <c r="BV85" s="142"/>
      <c r="BW85" s="142"/>
      <c r="BX85" s="142"/>
      <c r="BY85" s="142"/>
      <c r="BZ85" s="142"/>
      <c r="CA85" s="142"/>
      <c r="CB85" s="142"/>
      <c r="CC85" s="142"/>
      <c r="CD85" s="142"/>
      <c r="CE85" s="142"/>
      <c r="CF85" s="142"/>
      <c r="CG85" s="142"/>
      <c r="CH85" s="142"/>
      <c r="CI85" s="142"/>
      <c r="CJ85" s="142"/>
      <c r="CK85" s="142"/>
      <c r="CL85" s="142"/>
      <c r="CM85" s="142"/>
      <c r="CN85" s="142"/>
      <c r="CO85" s="142"/>
      <c r="CP85" s="142"/>
      <c r="CQ85" s="142"/>
      <c r="CR85" s="142"/>
      <c r="CS85" s="142"/>
      <c r="CT85" s="142"/>
      <c r="CU85" s="142"/>
      <c r="CV85" s="142"/>
      <c r="CW85" s="142"/>
      <c r="CX85" s="142"/>
      <c r="CY85" s="142"/>
      <c r="CZ85" s="142"/>
      <c r="DA85" s="144"/>
    </row>
    <row r="86" spans="1:105" ht="20" customHeight="1">
      <c r="A86" s="18">
        <f>ROW()</f>
        <v>86</v>
      </c>
      <c r="B86" s="26" t="str">
        <f t="shared" si="1"/>
        <v/>
      </c>
      <c r="C86" s="140"/>
      <c r="D86" s="141"/>
      <c r="E86" s="141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  <c r="BS86" s="142"/>
      <c r="BT86" s="142"/>
      <c r="BU86" s="142"/>
      <c r="BV86" s="142"/>
      <c r="BW86" s="142"/>
      <c r="BX86" s="142"/>
      <c r="BY86" s="142"/>
      <c r="BZ86" s="142"/>
      <c r="CA86" s="142"/>
      <c r="CB86" s="142"/>
      <c r="CC86" s="142"/>
      <c r="CD86" s="142"/>
      <c r="CE86" s="142"/>
      <c r="CF86" s="142"/>
      <c r="CG86" s="142"/>
      <c r="CH86" s="142"/>
      <c r="CI86" s="142"/>
      <c r="CJ86" s="142"/>
      <c r="CK86" s="142"/>
      <c r="CL86" s="142"/>
      <c r="CM86" s="142"/>
      <c r="CN86" s="142"/>
      <c r="CO86" s="142"/>
      <c r="CP86" s="142"/>
      <c r="CQ86" s="142"/>
      <c r="CR86" s="142"/>
      <c r="CS86" s="142"/>
      <c r="CT86" s="142"/>
      <c r="CU86" s="142"/>
      <c r="CV86" s="142"/>
      <c r="CW86" s="142"/>
      <c r="CX86" s="142"/>
      <c r="CY86" s="142"/>
      <c r="CZ86" s="142"/>
      <c r="DA86" s="144"/>
    </row>
    <row r="87" spans="1:105" ht="20" customHeight="1">
      <c r="A87" s="18">
        <f>ROW()</f>
        <v>87</v>
      </c>
      <c r="B87" s="26" t="str">
        <f t="shared" si="1"/>
        <v/>
      </c>
      <c r="C87" s="140"/>
      <c r="D87" s="141"/>
      <c r="E87" s="141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4"/>
    </row>
    <row r="88" spans="1:105" ht="20" customHeight="1">
      <c r="A88" s="18">
        <f>ROW()</f>
        <v>88</v>
      </c>
      <c r="B88" s="26" t="str">
        <f t="shared" si="1"/>
        <v/>
      </c>
      <c r="C88" s="140"/>
      <c r="D88" s="141"/>
      <c r="E88" s="141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4"/>
    </row>
    <row r="89" spans="1:105" ht="20" customHeight="1">
      <c r="A89" s="18">
        <f>ROW()</f>
        <v>89</v>
      </c>
      <c r="B89" s="26" t="str">
        <f t="shared" si="1"/>
        <v/>
      </c>
      <c r="C89" s="140"/>
      <c r="D89" s="141"/>
      <c r="E89" s="141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4"/>
    </row>
    <row r="90" spans="1:105" ht="20" customHeight="1">
      <c r="A90" s="18">
        <f>ROW()</f>
        <v>90</v>
      </c>
      <c r="B90" s="26" t="str">
        <f t="shared" si="1"/>
        <v/>
      </c>
      <c r="C90" s="140"/>
      <c r="D90" s="141"/>
      <c r="E90" s="141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4"/>
    </row>
    <row r="91" spans="1:105" ht="20" customHeight="1">
      <c r="A91" s="18">
        <f>ROW()</f>
        <v>91</v>
      </c>
      <c r="B91" s="26" t="str">
        <f t="shared" si="1"/>
        <v/>
      </c>
      <c r="C91" s="140"/>
      <c r="D91" s="141"/>
      <c r="E91" s="141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4"/>
    </row>
    <row r="92" spans="1:105" ht="20" customHeight="1">
      <c r="A92" s="18">
        <f>ROW()</f>
        <v>92</v>
      </c>
      <c r="B92" s="26" t="str">
        <f t="shared" si="1"/>
        <v/>
      </c>
      <c r="C92" s="140"/>
      <c r="D92" s="141"/>
      <c r="E92" s="141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4"/>
    </row>
    <row r="93" spans="1:105" ht="20" customHeight="1">
      <c r="A93" s="18">
        <f>ROW()</f>
        <v>93</v>
      </c>
      <c r="B93" s="26" t="str">
        <f t="shared" si="1"/>
        <v/>
      </c>
      <c r="C93" s="140"/>
      <c r="D93" s="141"/>
      <c r="E93" s="141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4"/>
    </row>
    <row r="94" spans="1:105" ht="20" customHeight="1">
      <c r="A94" s="18">
        <f>ROW()</f>
        <v>94</v>
      </c>
      <c r="B94" s="26" t="str">
        <f t="shared" si="1"/>
        <v/>
      </c>
      <c r="C94" s="140"/>
      <c r="D94" s="141"/>
      <c r="E94" s="141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4"/>
    </row>
    <row r="95" spans="1:105" ht="20" customHeight="1">
      <c r="A95" s="18">
        <f>ROW()</f>
        <v>95</v>
      </c>
      <c r="B95" s="26" t="str">
        <f t="shared" si="1"/>
        <v/>
      </c>
      <c r="C95" s="140"/>
      <c r="D95" s="141"/>
      <c r="E95" s="141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/>
      <c r="CS95" s="142"/>
      <c r="CT95" s="142"/>
      <c r="CU95" s="142"/>
      <c r="CV95" s="142"/>
      <c r="CW95" s="142"/>
      <c r="CX95" s="142"/>
      <c r="CY95" s="142"/>
      <c r="CZ95" s="142"/>
      <c r="DA95" s="144"/>
    </row>
    <row r="96" spans="1:105" ht="20" customHeight="1">
      <c r="A96" s="18">
        <f>ROW()</f>
        <v>96</v>
      </c>
      <c r="B96" s="26" t="str">
        <f t="shared" si="1"/>
        <v/>
      </c>
      <c r="C96" s="140"/>
      <c r="D96" s="141"/>
      <c r="E96" s="141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/>
      <c r="CG96" s="142"/>
      <c r="CH96" s="142"/>
      <c r="CI96" s="142"/>
      <c r="CJ96" s="142"/>
      <c r="CK96" s="142"/>
      <c r="CL96" s="142"/>
      <c r="CM96" s="142"/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4"/>
    </row>
    <row r="97" spans="1:105" ht="20" customHeight="1">
      <c r="A97" s="18">
        <f>ROW()</f>
        <v>97</v>
      </c>
      <c r="B97" s="26" t="str">
        <f t="shared" si="1"/>
        <v/>
      </c>
      <c r="C97" s="140"/>
      <c r="D97" s="141"/>
      <c r="E97" s="141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/>
      <c r="CS97" s="142"/>
      <c r="CT97" s="142"/>
      <c r="CU97" s="142"/>
      <c r="CV97" s="142"/>
      <c r="CW97" s="142"/>
      <c r="CX97" s="142"/>
      <c r="CY97" s="142"/>
      <c r="CZ97" s="142"/>
      <c r="DA97" s="144"/>
    </row>
    <row r="98" spans="1:105" ht="20" customHeight="1">
      <c r="A98" s="18">
        <f>ROW()</f>
        <v>98</v>
      </c>
      <c r="B98" s="26" t="str">
        <f t="shared" si="1"/>
        <v/>
      </c>
      <c r="C98" s="140"/>
      <c r="D98" s="141"/>
      <c r="E98" s="141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/>
      <c r="CG98" s="142"/>
      <c r="CH98" s="142"/>
      <c r="CI98" s="142"/>
      <c r="CJ98" s="142"/>
      <c r="CK98" s="142"/>
      <c r="CL98" s="142"/>
      <c r="CM98" s="142"/>
      <c r="CN98" s="142"/>
      <c r="CO98" s="142"/>
      <c r="CP98" s="142"/>
      <c r="CQ98" s="142"/>
      <c r="CR98" s="142"/>
      <c r="CS98" s="142"/>
      <c r="CT98" s="142"/>
      <c r="CU98" s="142"/>
      <c r="CV98" s="142"/>
      <c r="CW98" s="142"/>
      <c r="CX98" s="142"/>
      <c r="CY98" s="142"/>
      <c r="CZ98" s="142"/>
      <c r="DA98" s="144"/>
    </row>
    <row r="99" spans="1:105" ht="20" customHeight="1">
      <c r="A99" s="18">
        <f>ROW()</f>
        <v>99</v>
      </c>
      <c r="B99" s="26" t="str">
        <f t="shared" si="1"/>
        <v/>
      </c>
      <c r="C99" s="140"/>
      <c r="D99" s="141"/>
      <c r="E99" s="141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  <c r="BS99" s="142"/>
      <c r="BT99" s="142"/>
      <c r="BU99" s="142"/>
      <c r="BV99" s="142"/>
      <c r="BW99" s="142"/>
      <c r="BX99" s="142"/>
      <c r="BY99" s="142"/>
      <c r="BZ99" s="142"/>
      <c r="CA99" s="142"/>
      <c r="CB99" s="142"/>
      <c r="CC99" s="142"/>
      <c r="CD99" s="142"/>
      <c r="CE99" s="142"/>
      <c r="CF99" s="142"/>
      <c r="CG99" s="142"/>
      <c r="CH99" s="142"/>
      <c r="CI99" s="142"/>
      <c r="CJ99" s="142"/>
      <c r="CK99" s="142"/>
      <c r="CL99" s="142"/>
      <c r="CM99" s="142"/>
      <c r="CN99" s="142"/>
      <c r="CO99" s="142"/>
      <c r="CP99" s="142"/>
      <c r="CQ99" s="142"/>
      <c r="CR99" s="142"/>
      <c r="CS99" s="142"/>
      <c r="CT99" s="142"/>
      <c r="CU99" s="142"/>
      <c r="CV99" s="142"/>
      <c r="CW99" s="142"/>
      <c r="CX99" s="142"/>
      <c r="CY99" s="142"/>
      <c r="CZ99" s="142"/>
      <c r="DA99" s="144"/>
    </row>
    <row r="100" spans="1:105" ht="20" customHeight="1">
      <c r="A100" s="18">
        <f>ROW()</f>
        <v>100</v>
      </c>
      <c r="B100" s="26" t="str">
        <f t="shared" si="1"/>
        <v/>
      </c>
      <c r="C100" s="140"/>
      <c r="D100" s="141"/>
      <c r="E100" s="141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2"/>
      <c r="BY100" s="142"/>
      <c r="BZ100" s="142"/>
      <c r="CA100" s="142"/>
      <c r="CB100" s="142"/>
      <c r="CC100" s="142"/>
      <c r="CD100" s="142"/>
      <c r="CE100" s="142"/>
      <c r="CF100" s="142"/>
      <c r="CG100" s="142"/>
      <c r="CH100" s="142"/>
      <c r="CI100" s="142"/>
      <c r="CJ100" s="142"/>
      <c r="CK100" s="142"/>
      <c r="CL100" s="142"/>
      <c r="CM100" s="142"/>
      <c r="CN100" s="142"/>
      <c r="CO100" s="142"/>
      <c r="CP100" s="142"/>
      <c r="CQ100" s="142"/>
      <c r="CR100" s="142"/>
      <c r="CS100" s="142"/>
      <c r="CT100" s="142"/>
      <c r="CU100" s="142"/>
      <c r="CV100" s="142"/>
      <c r="CW100" s="142"/>
      <c r="CX100" s="142"/>
      <c r="CY100" s="142"/>
      <c r="CZ100" s="142"/>
      <c r="DA100" s="144"/>
    </row>
    <row r="101" spans="1:105" ht="20" customHeight="1">
      <c r="A101" s="18">
        <f>ROW()</f>
        <v>101</v>
      </c>
      <c r="B101" s="26" t="str">
        <f t="shared" si="1"/>
        <v/>
      </c>
      <c r="C101" s="140"/>
      <c r="D101" s="141"/>
      <c r="E101" s="141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  <c r="BS101" s="142"/>
      <c r="BT101" s="142"/>
      <c r="BU101" s="142"/>
      <c r="BV101" s="142"/>
      <c r="BW101" s="142"/>
      <c r="BX101" s="142"/>
      <c r="BY101" s="142"/>
      <c r="BZ101" s="142"/>
      <c r="CA101" s="142"/>
      <c r="CB101" s="142"/>
      <c r="CC101" s="142"/>
      <c r="CD101" s="142"/>
      <c r="CE101" s="142"/>
      <c r="CF101" s="142"/>
      <c r="CG101" s="142"/>
      <c r="CH101" s="142"/>
      <c r="CI101" s="142"/>
      <c r="CJ101" s="142"/>
      <c r="CK101" s="142"/>
      <c r="CL101" s="142"/>
      <c r="CM101" s="142"/>
      <c r="CN101" s="142"/>
      <c r="CO101" s="142"/>
      <c r="CP101" s="142"/>
      <c r="CQ101" s="142"/>
      <c r="CR101" s="142"/>
      <c r="CS101" s="142"/>
      <c r="CT101" s="142"/>
      <c r="CU101" s="142"/>
      <c r="CV101" s="142"/>
      <c r="CW101" s="142"/>
      <c r="CX101" s="142"/>
      <c r="CY101" s="142"/>
      <c r="CZ101" s="142"/>
      <c r="DA101" s="144"/>
    </row>
    <row r="102" spans="1:105" ht="20" customHeight="1">
      <c r="A102" s="18">
        <f>ROW()</f>
        <v>102</v>
      </c>
      <c r="B102" s="26" t="str">
        <f t="shared" si="1"/>
        <v/>
      </c>
      <c r="C102" s="140"/>
      <c r="D102" s="141"/>
      <c r="E102" s="141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2"/>
      <c r="CA102" s="142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2"/>
      <c r="CP102" s="142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4"/>
    </row>
    <row r="103" spans="1:105" ht="20" customHeight="1">
      <c r="A103" s="18">
        <f>ROW()</f>
        <v>103</v>
      </c>
      <c r="B103" s="26" t="str">
        <f t="shared" si="1"/>
        <v/>
      </c>
      <c r="C103" s="140"/>
      <c r="D103" s="141"/>
      <c r="E103" s="141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  <c r="BS103" s="142"/>
      <c r="BT103" s="142"/>
      <c r="BU103" s="142"/>
      <c r="BV103" s="142"/>
      <c r="BW103" s="142"/>
      <c r="BX103" s="142"/>
      <c r="BY103" s="142"/>
      <c r="BZ103" s="142"/>
      <c r="CA103" s="142"/>
      <c r="CB103" s="142"/>
      <c r="CC103" s="142"/>
      <c r="CD103" s="142"/>
      <c r="CE103" s="142"/>
      <c r="CF103" s="142"/>
      <c r="CG103" s="142"/>
      <c r="CH103" s="142"/>
      <c r="CI103" s="142"/>
      <c r="CJ103" s="142"/>
      <c r="CK103" s="142"/>
      <c r="CL103" s="142"/>
      <c r="CM103" s="142"/>
      <c r="CN103" s="142"/>
      <c r="CO103" s="142"/>
      <c r="CP103" s="142"/>
      <c r="CQ103" s="142"/>
      <c r="CR103" s="142"/>
      <c r="CS103" s="142"/>
      <c r="CT103" s="142"/>
      <c r="CU103" s="142"/>
      <c r="CV103" s="142"/>
      <c r="CW103" s="142"/>
      <c r="CX103" s="142"/>
      <c r="CY103" s="142"/>
      <c r="CZ103" s="142"/>
      <c r="DA103" s="144"/>
    </row>
    <row r="104" spans="1:105" ht="20" customHeight="1">
      <c r="A104" s="18">
        <f>ROW()</f>
        <v>104</v>
      </c>
      <c r="B104" s="26" t="str">
        <f t="shared" si="1"/>
        <v/>
      </c>
      <c r="C104" s="140"/>
      <c r="D104" s="141"/>
      <c r="E104" s="141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  <c r="BS104" s="142"/>
      <c r="BT104" s="142"/>
      <c r="BU104" s="142"/>
      <c r="BV104" s="142"/>
      <c r="BW104" s="142"/>
      <c r="BX104" s="142"/>
      <c r="BY104" s="142"/>
      <c r="BZ104" s="142"/>
      <c r="CA104" s="142"/>
      <c r="CB104" s="142"/>
      <c r="CC104" s="142"/>
      <c r="CD104" s="142"/>
      <c r="CE104" s="142"/>
      <c r="CF104" s="142"/>
      <c r="CG104" s="142"/>
      <c r="CH104" s="142"/>
      <c r="CI104" s="142"/>
      <c r="CJ104" s="142"/>
      <c r="CK104" s="142"/>
      <c r="CL104" s="142"/>
      <c r="CM104" s="142"/>
      <c r="CN104" s="142"/>
      <c r="CO104" s="142"/>
      <c r="CP104" s="142"/>
      <c r="CQ104" s="142"/>
      <c r="CR104" s="142"/>
      <c r="CS104" s="142"/>
      <c r="CT104" s="142"/>
      <c r="CU104" s="142"/>
      <c r="CV104" s="142"/>
      <c r="CW104" s="142"/>
      <c r="CX104" s="142"/>
      <c r="CY104" s="142"/>
      <c r="CZ104" s="142"/>
      <c r="DA104" s="144"/>
    </row>
    <row r="105" spans="1:105" ht="20" customHeight="1">
      <c r="A105" s="18">
        <f>ROW()</f>
        <v>105</v>
      </c>
      <c r="B105" s="26" t="str">
        <f t="shared" si="1"/>
        <v/>
      </c>
      <c r="C105" s="140"/>
      <c r="D105" s="141"/>
      <c r="E105" s="141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  <c r="BP105" s="142"/>
      <c r="BQ105" s="142"/>
      <c r="BR105" s="142"/>
      <c r="BS105" s="142"/>
      <c r="BT105" s="142"/>
      <c r="BU105" s="142"/>
      <c r="BV105" s="142"/>
      <c r="BW105" s="142"/>
      <c r="BX105" s="142"/>
      <c r="BY105" s="142"/>
      <c r="BZ105" s="142"/>
      <c r="CA105" s="142"/>
      <c r="CB105" s="142"/>
      <c r="CC105" s="142"/>
      <c r="CD105" s="142"/>
      <c r="CE105" s="142"/>
      <c r="CF105" s="142"/>
      <c r="CG105" s="142"/>
      <c r="CH105" s="142"/>
      <c r="CI105" s="142"/>
      <c r="CJ105" s="142"/>
      <c r="CK105" s="142"/>
      <c r="CL105" s="142"/>
      <c r="CM105" s="142"/>
      <c r="CN105" s="142"/>
      <c r="CO105" s="142"/>
      <c r="CP105" s="142"/>
      <c r="CQ105" s="142"/>
      <c r="CR105" s="142"/>
      <c r="CS105" s="142"/>
      <c r="CT105" s="142"/>
      <c r="CU105" s="142"/>
      <c r="CV105" s="142"/>
      <c r="CW105" s="142"/>
      <c r="CX105" s="142"/>
      <c r="CY105" s="142"/>
      <c r="CZ105" s="142"/>
      <c r="DA105" s="144"/>
    </row>
    <row r="106" spans="1:105" ht="20" customHeight="1">
      <c r="A106" s="18">
        <f>ROW()</f>
        <v>106</v>
      </c>
      <c r="B106" s="26" t="str">
        <f t="shared" si="1"/>
        <v/>
      </c>
      <c r="C106" s="140"/>
      <c r="D106" s="141"/>
      <c r="E106" s="141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  <c r="BS106" s="142"/>
      <c r="BT106" s="142"/>
      <c r="BU106" s="142"/>
      <c r="BV106" s="142"/>
      <c r="BW106" s="142"/>
      <c r="BX106" s="142"/>
      <c r="BY106" s="142"/>
      <c r="BZ106" s="142"/>
      <c r="CA106" s="142"/>
      <c r="CB106" s="142"/>
      <c r="CC106" s="142"/>
      <c r="CD106" s="142"/>
      <c r="CE106" s="142"/>
      <c r="CF106" s="142"/>
      <c r="CG106" s="142"/>
      <c r="CH106" s="142"/>
      <c r="CI106" s="142"/>
      <c r="CJ106" s="142"/>
      <c r="CK106" s="142"/>
      <c r="CL106" s="142"/>
      <c r="CM106" s="142"/>
      <c r="CN106" s="142"/>
      <c r="CO106" s="142"/>
      <c r="CP106" s="142"/>
      <c r="CQ106" s="142"/>
      <c r="CR106" s="142"/>
      <c r="CS106" s="142"/>
      <c r="CT106" s="142"/>
      <c r="CU106" s="142"/>
      <c r="CV106" s="142"/>
      <c r="CW106" s="142"/>
      <c r="CX106" s="142"/>
      <c r="CY106" s="142"/>
      <c r="CZ106" s="142"/>
      <c r="DA106" s="144"/>
    </row>
    <row r="107" spans="1:105" ht="20" customHeight="1">
      <c r="A107" s="18">
        <f>ROW()</f>
        <v>107</v>
      </c>
      <c r="B107" s="26" t="str">
        <f t="shared" si="1"/>
        <v/>
      </c>
      <c r="C107" s="140"/>
      <c r="D107" s="141"/>
      <c r="E107" s="141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  <c r="BS107" s="142"/>
      <c r="BT107" s="142"/>
      <c r="BU107" s="142"/>
      <c r="BV107" s="142"/>
      <c r="BW107" s="142"/>
      <c r="BX107" s="142"/>
      <c r="BY107" s="142"/>
      <c r="BZ107" s="142"/>
      <c r="CA107" s="142"/>
      <c r="CB107" s="142"/>
      <c r="CC107" s="142"/>
      <c r="CD107" s="142"/>
      <c r="CE107" s="142"/>
      <c r="CF107" s="142"/>
      <c r="CG107" s="142"/>
      <c r="CH107" s="142"/>
      <c r="CI107" s="142"/>
      <c r="CJ107" s="142"/>
      <c r="CK107" s="142"/>
      <c r="CL107" s="142"/>
      <c r="CM107" s="142"/>
      <c r="CN107" s="142"/>
      <c r="CO107" s="142"/>
      <c r="CP107" s="142"/>
      <c r="CQ107" s="142"/>
      <c r="CR107" s="142"/>
      <c r="CS107" s="142"/>
      <c r="CT107" s="142"/>
      <c r="CU107" s="142"/>
      <c r="CV107" s="142"/>
      <c r="CW107" s="142"/>
      <c r="CX107" s="142"/>
      <c r="CY107" s="142"/>
      <c r="CZ107" s="142"/>
      <c r="DA107" s="144"/>
    </row>
    <row r="108" spans="1:105" ht="20" customHeight="1">
      <c r="A108" s="18">
        <f>ROW()</f>
        <v>108</v>
      </c>
      <c r="B108" s="26" t="str">
        <f t="shared" si="1"/>
        <v/>
      </c>
      <c r="C108" s="140"/>
      <c r="D108" s="141"/>
      <c r="E108" s="141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  <c r="BS108" s="142"/>
      <c r="BT108" s="142"/>
      <c r="BU108" s="142"/>
      <c r="BV108" s="142"/>
      <c r="BW108" s="142"/>
      <c r="BX108" s="142"/>
      <c r="BY108" s="142"/>
      <c r="BZ108" s="142"/>
      <c r="CA108" s="142"/>
      <c r="CB108" s="142"/>
      <c r="CC108" s="142"/>
      <c r="CD108" s="142"/>
      <c r="CE108" s="142"/>
      <c r="CF108" s="142"/>
      <c r="CG108" s="142"/>
      <c r="CH108" s="142"/>
      <c r="CI108" s="142"/>
      <c r="CJ108" s="142"/>
      <c r="CK108" s="142"/>
      <c r="CL108" s="142"/>
      <c r="CM108" s="142"/>
      <c r="CN108" s="142"/>
      <c r="CO108" s="142"/>
      <c r="CP108" s="142"/>
      <c r="CQ108" s="142"/>
      <c r="CR108" s="142"/>
      <c r="CS108" s="142"/>
      <c r="CT108" s="142"/>
      <c r="CU108" s="142"/>
      <c r="CV108" s="142"/>
      <c r="CW108" s="142"/>
      <c r="CX108" s="142"/>
      <c r="CY108" s="142"/>
      <c r="CZ108" s="142"/>
      <c r="DA108" s="144"/>
    </row>
    <row r="109" spans="1:105" ht="20" customHeight="1">
      <c r="A109" s="18">
        <f>ROW()</f>
        <v>109</v>
      </c>
      <c r="B109" s="26" t="str">
        <f t="shared" si="1"/>
        <v/>
      </c>
      <c r="C109" s="140"/>
      <c r="D109" s="141"/>
      <c r="E109" s="141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  <c r="BS109" s="142"/>
      <c r="BT109" s="142"/>
      <c r="BU109" s="142"/>
      <c r="BV109" s="142"/>
      <c r="BW109" s="142"/>
      <c r="BX109" s="142"/>
      <c r="BY109" s="142"/>
      <c r="BZ109" s="142"/>
      <c r="CA109" s="142"/>
      <c r="CB109" s="142"/>
      <c r="CC109" s="142"/>
      <c r="CD109" s="142"/>
      <c r="CE109" s="142"/>
      <c r="CF109" s="142"/>
      <c r="CG109" s="142"/>
      <c r="CH109" s="142"/>
      <c r="CI109" s="142"/>
      <c r="CJ109" s="142"/>
      <c r="CK109" s="142"/>
      <c r="CL109" s="142"/>
      <c r="CM109" s="142"/>
      <c r="CN109" s="142"/>
      <c r="CO109" s="142"/>
      <c r="CP109" s="142"/>
      <c r="CQ109" s="142"/>
      <c r="CR109" s="142"/>
      <c r="CS109" s="142"/>
      <c r="CT109" s="142"/>
      <c r="CU109" s="142"/>
      <c r="CV109" s="142"/>
      <c r="CW109" s="142"/>
      <c r="CX109" s="142"/>
      <c r="CY109" s="142"/>
      <c r="CZ109" s="142"/>
      <c r="DA109" s="144"/>
    </row>
    <row r="110" spans="1:105" ht="20" customHeight="1">
      <c r="A110" s="18">
        <f>ROW()</f>
        <v>110</v>
      </c>
      <c r="B110" s="26" t="str">
        <f t="shared" si="1"/>
        <v/>
      </c>
      <c r="C110" s="140"/>
      <c r="D110" s="141"/>
      <c r="E110" s="141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  <c r="BS110" s="142"/>
      <c r="BT110" s="142"/>
      <c r="BU110" s="142"/>
      <c r="BV110" s="142"/>
      <c r="BW110" s="142"/>
      <c r="BX110" s="142"/>
      <c r="BY110" s="142"/>
      <c r="BZ110" s="142"/>
      <c r="CA110" s="142"/>
      <c r="CB110" s="142"/>
      <c r="CC110" s="142"/>
      <c r="CD110" s="142"/>
      <c r="CE110" s="142"/>
      <c r="CF110" s="142"/>
      <c r="CG110" s="142"/>
      <c r="CH110" s="142"/>
      <c r="CI110" s="142"/>
      <c r="CJ110" s="142"/>
      <c r="CK110" s="142"/>
      <c r="CL110" s="142"/>
      <c r="CM110" s="142"/>
      <c r="CN110" s="142"/>
      <c r="CO110" s="142"/>
      <c r="CP110" s="142"/>
      <c r="CQ110" s="142"/>
      <c r="CR110" s="142"/>
      <c r="CS110" s="142"/>
      <c r="CT110" s="142"/>
      <c r="CU110" s="142"/>
      <c r="CV110" s="142"/>
      <c r="CW110" s="142"/>
      <c r="CX110" s="142"/>
      <c r="CY110" s="142"/>
      <c r="CZ110" s="142"/>
      <c r="DA110" s="144"/>
    </row>
    <row r="111" spans="1:105" ht="20" customHeight="1">
      <c r="A111" s="18">
        <f>ROW()</f>
        <v>111</v>
      </c>
      <c r="B111" s="26" t="str">
        <f t="shared" si="1"/>
        <v/>
      </c>
      <c r="C111" s="140"/>
      <c r="D111" s="141"/>
      <c r="E111" s="141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  <c r="BS111" s="142"/>
      <c r="BT111" s="142"/>
      <c r="BU111" s="142"/>
      <c r="BV111" s="142"/>
      <c r="BW111" s="142"/>
      <c r="BX111" s="142"/>
      <c r="BY111" s="142"/>
      <c r="BZ111" s="142"/>
      <c r="CA111" s="142"/>
      <c r="CB111" s="142"/>
      <c r="CC111" s="142"/>
      <c r="CD111" s="142"/>
      <c r="CE111" s="142"/>
      <c r="CF111" s="142"/>
      <c r="CG111" s="142"/>
      <c r="CH111" s="142"/>
      <c r="CI111" s="142"/>
      <c r="CJ111" s="142"/>
      <c r="CK111" s="142"/>
      <c r="CL111" s="142"/>
      <c r="CM111" s="142"/>
      <c r="CN111" s="142"/>
      <c r="CO111" s="142"/>
      <c r="CP111" s="142"/>
      <c r="CQ111" s="142"/>
      <c r="CR111" s="142"/>
      <c r="CS111" s="142"/>
      <c r="CT111" s="142"/>
      <c r="CU111" s="142"/>
      <c r="CV111" s="142"/>
      <c r="CW111" s="142"/>
      <c r="CX111" s="142"/>
      <c r="CY111" s="142"/>
      <c r="CZ111" s="142"/>
      <c r="DA111" s="144"/>
    </row>
    <row r="112" spans="1:105" ht="20" customHeight="1">
      <c r="A112" s="18">
        <f>ROW()</f>
        <v>112</v>
      </c>
      <c r="B112" s="26" t="str">
        <f t="shared" si="1"/>
        <v/>
      </c>
      <c r="C112" s="140"/>
      <c r="D112" s="141"/>
      <c r="E112" s="141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  <c r="BS112" s="142"/>
      <c r="BT112" s="142"/>
      <c r="BU112" s="142"/>
      <c r="BV112" s="142"/>
      <c r="BW112" s="142"/>
      <c r="BX112" s="142"/>
      <c r="BY112" s="142"/>
      <c r="BZ112" s="142"/>
      <c r="CA112" s="142"/>
      <c r="CB112" s="142"/>
      <c r="CC112" s="142"/>
      <c r="CD112" s="142"/>
      <c r="CE112" s="142"/>
      <c r="CF112" s="142"/>
      <c r="CG112" s="142"/>
      <c r="CH112" s="142"/>
      <c r="CI112" s="142"/>
      <c r="CJ112" s="142"/>
      <c r="CK112" s="142"/>
      <c r="CL112" s="142"/>
      <c r="CM112" s="142"/>
      <c r="CN112" s="142"/>
      <c r="CO112" s="142"/>
      <c r="CP112" s="142"/>
      <c r="CQ112" s="142"/>
      <c r="CR112" s="142"/>
      <c r="CS112" s="142"/>
      <c r="CT112" s="142"/>
      <c r="CU112" s="142"/>
      <c r="CV112" s="142"/>
      <c r="CW112" s="142"/>
      <c r="CX112" s="142"/>
      <c r="CY112" s="142"/>
      <c r="CZ112" s="142"/>
      <c r="DA112" s="144"/>
    </row>
    <row r="113" spans="1:105" ht="20" customHeight="1">
      <c r="A113" s="18">
        <f>ROW()</f>
        <v>113</v>
      </c>
      <c r="B113" s="26" t="str">
        <f t="shared" si="1"/>
        <v/>
      </c>
      <c r="C113" s="140"/>
      <c r="D113" s="141"/>
      <c r="E113" s="141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  <c r="BS113" s="142"/>
      <c r="BT113" s="142"/>
      <c r="BU113" s="142"/>
      <c r="BV113" s="142"/>
      <c r="BW113" s="142"/>
      <c r="BX113" s="142"/>
      <c r="BY113" s="142"/>
      <c r="BZ113" s="142"/>
      <c r="CA113" s="142"/>
      <c r="CB113" s="142"/>
      <c r="CC113" s="142"/>
      <c r="CD113" s="142"/>
      <c r="CE113" s="142"/>
      <c r="CF113" s="142"/>
      <c r="CG113" s="142"/>
      <c r="CH113" s="142"/>
      <c r="CI113" s="142"/>
      <c r="CJ113" s="142"/>
      <c r="CK113" s="142"/>
      <c r="CL113" s="142"/>
      <c r="CM113" s="142"/>
      <c r="CN113" s="142"/>
      <c r="CO113" s="142"/>
      <c r="CP113" s="142"/>
      <c r="CQ113" s="142"/>
      <c r="CR113" s="142"/>
      <c r="CS113" s="142"/>
      <c r="CT113" s="142"/>
      <c r="CU113" s="142"/>
      <c r="CV113" s="142"/>
      <c r="CW113" s="142"/>
      <c r="CX113" s="142"/>
      <c r="CY113" s="142"/>
      <c r="CZ113" s="142"/>
      <c r="DA113" s="144"/>
    </row>
    <row r="114" spans="1:105" ht="20" customHeight="1">
      <c r="A114" s="18">
        <f>ROW()</f>
        <v>114</v>
      </c>
      <c r="B114" s="26" t="str">
        <f t="shared" si="1"/>
        <v/>
      </c>
      <c r="C114" s="140"/>
      <c r="D114" s="141"/>
      <c r="E114" s="141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  <c r="BS114" s="142"/>
      <c r="BT114" s="142"/>
      <c r="BU114" s="142"/>
      <c r="BV114" s="142"/>
      <c r="BW114" s="142"/>
      <c r="BX114" s="142"/>
      <c r="BY114" s="142"/>
      <c r="BZ114" s="142"/>
      <c r="CA114" s="142"/>
      <c r="CB114" s="142"/>
      <c r="CC114" s="142"/>
      <c r="CD114" s="142"/>
      <c r="CE114" s="142"/>
      <c r="CF114" s="142"/>
      <c r="CG114" s="142"/>
      <c r="CH114" s="142"/>
      <c r="CI114" s="142"/>
      <c r="CJ114" s="142"/>
      <c r="CK114" s="142"/>
      <c r="CL114" s="142"/>
      <c r="CM114" s="142"/>
      <c r="CN114" s="142"/>
      <c r="CO114" s="142"/>
      <c r="CP114" s="142"/>
      <c r="CQ114" s="142"/>
      <c r="CR114" s="142"/>
      <c r="CS114" s="142"/>
      <c r="CT114" s="142"/>
      <c r="CU114" s="142"/>
      <c r="CV114" s="142"/>
      <c r="CW114" s="142"/>
      <c r="CX114" s="142"/>
      <c r="CY114" s="142"/>
      <c r="CZ114" s="142"/>
      <c r="DA114" s="144"/>
    </row>
    <row r="115" spans="1:105" ht="20" customHeight="1">
      <c r="A115" s="18">
        <f>ROW()</f>
        <v>115</v>
      </c>
      <c r="B115" s="26" t="str">
        <f t="shared" si="1"/>
        <v/>
      </c>
      <c r="C115" s="140"/>
      <c r="D115" s="141"/>
      <c r="E115" s="141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  <c r="BS115" s="142"/>
      <c r="BT115" s="142"/>
      <c r="BU115" s="142"/>
      <c r="BV115" s="142"/>
      <c r="BW115" s="142"/>
      <c r="BX115" s="142"/>
      <c r="BY115" s="142"/>
      <c r="BZ115" s="142"/>
      <c r="CA115" s="142"/>
      <c r="CB115" s="142"/>
      <c r="CC115" s="142"/>
      <c r="CD115" s="142"/>
      <c r="CE115" s="142"/>
      <c r="CF115" s="142"/>
      <c r="CG115" s="142"/>
      <c r="CH115" s="142"/>
      <c r="CI115" s="142"/>
      <c r="CJ115" s="142"/>
      <c r="CK115" s="142"/>
      <c r="CL115" s="142"/>
      <c r="CM115" s="142"/>
      <c r="CN115" s="142"/>
      <c r="CO115" s="142"/>
      <c r="CP115" s="142"/>
      <c r="CQ115" s="142"/>
      <c r="CR115" s="142"/>
      <c r="CS115" s="142"/>
      <c r="CT115" s="142"/>
      <c r="CU115" s="142"/>
      <c r="CV115" s="142"/>
      <c r="CW115" s="142"/>
      <c r="CX115" s="142"/>
      <c r="CY115" s="142"/>
      <c r="CZ115" s="142"/>
      <c r="DA115" s="144"/>
    </row>
    <row r="116" spans="1:105" ht="20" customHeight="1">
      <c r="A116" s="18">
        <f>ROW()</f>
        <v>116</v>
      </c>
      <c r="B116" s="26" t="str">
        <f t="shared" si="1"/>
        <v/>
      </c>
      <c r="C116" s="140"/>
      <c r="D116" s="141"/>
      <c r="E116" s="141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4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4"/>
    </row>
    <row r="117" spans="1:105" ht="20" customHeight="1">
      <c r="A117" s="18">
        <f>ROW()</f>
        <v>117</v>
      </c>
      <c r="B117" s="26" t="str">
        <f t="shared" si="1"/>
        <v/>
      </c>
      <c r="C117" s="140"/>
      <c r="D117" s="141"/>
      <c r="E117" s="141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  <c r="BS117" s="142"/>
      <c r="BT117" s="142"/>
      <c r="BU117" s="142"/>
      <c r="BV117" s="142"/>
      <c r="BW117" s="142"/>
      <c r="BX117" s="142"/>
      <c r="BY117" s="142"/>
      <c r="BZ117" s="142"/>
      <c r="CA117" s="142"/>
      <c r="CB117" s="142"/>
      <c r="CC117" s="142"/>
      <c r="CD117" s="142"/>
      <c r="CE117" s="142"/>
      <c r="CF117" s="142"/>
      <c r="CG117" s="142"/>
      <c r="CH117" s="142"/>
      <c r="CI117" s="142"/>
      <c r="CJ117" s="142"/>
      <c r="CK117" s="142"/>
      <c r="CL117" s="142"/>
      <c r="CM117" s="142"/>
      <c r="CN117" s="142"/>
      <c r="CO117" s="142"/>
      <c r="CP117" s="142"/>
      <c r="CQ117" s="142"/>
      <c r="CR117" s="142"/>
      <c r="CS117" s="142"/>
      <c r="CT117" s="142"/>
      <c r="CU117" s="142"/>
      <c r="CV117" s="142"/>
      <c r="CW117" s="142"/>
      <c r="CX117" s="142"/>
      <c r="CY117" s="142"/>
      <c r="CZ117" s="142"/>
      <c r="DA117" s="144"/>
    </row>
    <row r="118" spans="1:105" ht="20" customHeight="1">
      <c r="A118" s="18">
        <f>ROW()</f>
        <v>118</v>
      </c>
      <c r="B118" s="26" t="str">
        <f t="shared" si="1"/>
        <v/>
      </c>
      <c r="C118" s="140"/>
      <c r="D118" s="141"/>
      <c r="E118" s="141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  <c r="BS118" s="142"/>
      <c r="BT118" s="142"/>
      <c r="BU118" s="142"/>
      <c r="BV118" s="142"/>
      <c r="BW118" s="142"/>
      <c r="BX118" s="142"/>
      <c r="BY118" s="142"/>
      <c r="BZ118" s="142"/>
      <c r="CA118" s="142"/>
      <c r="CB118" s="142"/>
      <c r="CC118" s="142"/>
      <c r="CD118" s="142"/>
      <c r="CE118" s="142"/>
      <c r="CF118" s="142"/>
      <c r="CG118" s="142"/>
      <c r="CH118" s="142"/>
      <c r="CI118" s="142"/>
      <c r="CJ118" s="142"/>
      <c r="CK118" s="142"/>
      <c r="CL118" s="142"/>
      <c r="CM118" s="142"/>
      <c r="CN118" s="142"/>
      <c r="CO118" s="142"/>
      <c r="CP118" s="142"/>
      <c r="CQ118" s="142"/>
      <c r="CR118" s="142"/>
      <c r="CS118" s="142"/>
      <c r="CT118" s="142"/>
      <c r="CU118" s="142"/>
      <c r="CV118" s="142"/>
      <c r="CW118" s="142"/>
      <c r="CX118" s="142"/>
      <c r="CY118" s="142"/>
      <c r="CZ118" s="142"/>
      <c r="DA118" s="144"/>
    </row>
    <row r="119" spans="1:105" ht="20" customHeight="1">
      <c r="A119" s="18">
        <f>ROW()</f>
        <v>119</v>
      </c>
      <c r="B119" s="26" t="str">
        <f t="shared" si="1"/>
        <v/>
      </c>
      <c r="C119" s="140"/>
      <c r="D119" s="141"/>
      <c r="E119" s="141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  <c r="BS119" s="142"/>
      <c r="BT119" s="142"/>
      <c r="BU119" s="142"/>
      <c r="BV119" s="142"/>
      <c r="BW119" s="142"/>
      <c r="BX119" s="142"/>
      <c r="BY119" s="142"/>
      <c r="BZ119" s="142"/>
      <c r="CA119" s="142"/>
      <c r="CB119" s="142"/>
      <c r="CC119" s="142"/>
      <c r="CD119" s="142"/>
      <c r="CE119" s="142"/>
      <c r="CF119" s="142"/>
      <c r="CG119" s="142"/>
      <c r="CH119" s="142"/>
      <c r="CI119" s="142"/>
      <c r="CJ119" s="142"/>
      <c r="CK119" s="142"/>
      <c r="CL119" s="142"/>
      <c r="CM119" s="142"/>
      <c r="CN119" s="142"/>
      <c r="CO119" s="142"/>
      <c r="CP119" s="142"/>
      <c r="CQ119" s="142"/>
      <c r="CR119" s="142"/>
      <c r="CS119" s="142"/>
      <c r="CT119" s="142"/>
      <c r="CU119" s="142"/>
      <c r="CV119" s="142"/>
      <c r="CW119" s="142"/>
      <c r="CX119" s="142"/>
      <c r="CY119" s="142"/>
      <c r="CZ119" s="142"/>
      <c r="DA119" s="144"/>
    </row>
    <row r="120" spans="1:105" ht="20" customHeight="1">
      <c r="A120" s="18">
        <f>ROW()</f>
        <v>120</v>
      </c>
      <c r="B120" s="26" t="str">
        <f t="shared" si="1"/>
        <v/>
      </c>
      <c r="C120" s="140"/>
      <c r="D120" s="141"/>
      <c r="E120" s="141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  <c r="BS120" s="142"/>
      <c r="BT120" s="142"/>
      <c r="BU120" s="142"/>
      <c r="BV120" s="142"/>
      <c r="BW120" s="142"/>
      <c r="BX120" s="142"/>
      <c r="BY120" s="142"/>
      <c r="BZ120" s="142"/>
      <c r="CA120" s="142"/>
      <c r="CB120" s="142"/>
      <c r="CC120" s="142"/>
      <c r="CD120" s="142"/>
      <c r="CE120" s="142"/>
      <c r="CF120" s="142"/>
      <c r="CG120" s="142"/>
      <c r="CH120" s="142"/>
      <c r="CI120" s="142"/>
      <c r="CJ120" s="142"/>
      <c r="CK120" s="142"/>
      <c r="CL120" s="142"/>
      <c r="CM120" s="142"/>
      <c r="CN120" s="142"/>
      <c r="CO120" s="142"/>
      <c r="CP120" s="142"/>
      <c r="CQ120" s="142"/>
      <c r="CR120" s="142"/>
      <c r="CS120" s="142"/>
      <c r="CT120" s="142"/>
      <c r="CU120" s="142"/>
      <c r="CV120" s="142"/>
      <c r="CW120" s="142"/>
      <c r="CX120" s="142"/>
      <c r="CY120" s="142"/>
      <c r="CZ120" s="142"/>
      <c r="DA120" s="144"/>
    </row>
    <row r="121" spans="1:105" ht="20" customHeight="1">
      <c r="A121" s="18">
        <f>ROW()</f>
        <v>121</v>
      </c>
      <c r="B121" s="26" t="str">
        <f t="shared" si="1"/>
        <v/>
      </c>
      <c r="C121" s="140"/>
      <c r="D121" s="141"/>
      <c r="E121" s="141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  <c r="BS121" s="142"/>
      <c r="BT121" s="142"/>
      <c r="BU121" s="142"/>
      <c r="BV121" s="142"/>
      <c r="BW121" s="142"/>
      <c r="BX121" s="142"/>
      <c r="BY121" s="142"/>
      <c r="BZ121" s="142"/>
      <c r="CA121" s="142"/>
      <c r="CB121" s="142"/>
      <c r="CC121" s="142"/>
      <c r="CD121" s="142"/>
      <c r="CE121" s="142"/>
      <c r="CF121" s="142"/>
      <c r="CG121" s="142"/>
      <c r="CH121" s="142"/>
      <c r="CI121" s="142"/>
      <c r="CJ121" s="142"/>
      <c r="CK121" s="142"/>
      <c r="CL121" s="142"/>
      <c r="CM121" s="142"/>
      <c r="CN121" s="142"/>
      <c r="CO121" s="142"/>
      <c r="CP121" s="142"/>
      <c r="CQ121" s="142"/>
      <c r="CR121" s="142"/>
      <c r="CS121" s="142"/>
      <c r="CT121" s="142"/>
      <c r="CU121" s="142"/>
      <c r="CV121" s="142"/>
      <c r="CW121" s="142"/>
      <c r="CX121" s="142"/>
      <c r="CY121" s="142"/>
      <c r="CZ121" s="142"/>
      <c r="DA121" s="144"/>
    </row>
    <row r="122" spans="1:105" ht="20" customHeight="1">
      <c r="A122" s="18">
        <f>ROW()</f>
        <v>122</v>
      </c>
      <c r="B122" s="26" t="str">
        <f t="shared" si="1"/>
        <v/>
      </c>
      <c r="C122" s="140"/>
      <c r="D122" s="141"/>
      <c r="E122" s="141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  <c r="AH122" s="142"/>
      <c r="AI122" s="142"/>
      <c r="AJ122" s="142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G122" s="142"/>
      <c r="BH122" s="142"/>
      <c r="BI122" s="142"/>
      <c r="BJ122" s="142"/>
      <c r="BK122" s="142"/>
      <c r="BL122" s="142"/>
      <c r="BM122" s="142"/>
      <c r="BN122" s="142"/>
      <c r="BO122" s="142"/>
      <c r="BP122" s="142"/>
      <c r="BQ122" s="142"/>
      <c r="BR122" s="142"/>
      <c r="BS122" s="142"/>
      <c r="BT122" s="142"/>
      <c r="BU122" s="142"/>
      <c r="BV122" s="142"/>
      <c r="BW122" s="142"/>
      <c r="BX122" s="142"/>
      <c r="BY122" s="142"/>
      <c r="BZ122" s="142"/>
      <c r="CA122" s="142"/>
      <c r="CB122" s="142"/>
      <c r="CC122" s="142"/>
      <c r="CD122" s="142"/>
      <c r="CE122" s="142"/>
      <c r="CF122" s="142"/>
      <c r="CG122" s="142"/>
      <c r="CH122" s="142"/>
      <c r="CI122" s="142"/>
      <c r="CJ122" s="142"/>
      <c r="CK122" s="142"/>
      <c r="CL122" s="142"/>
      <c r="CM122" s="142"/>
      <c r="CN122" s="142"/>
      <c r="CO122" s="142"/>
      <c r="CP122" s="142"/>
      <c r="CQ122" s="142"/>
      <c r="CR122" s="142"/>
      <c r="CS122" s="142"/>
      <c r="CT122" s="142"/>
      <c r="CU122" s="142"/>
      <c r="CV122" s="142"/>
      <c r="CW122" s="142"/>
      <c r="CX122" s="142"/>
      <c r="CY122" s="142"/>
      <c r="CZ122" s="142"/>
      <c r="DA122" s="144"/>
    </row>
    <row r="123" spans="1:105" ht="20" customHeight="1">
      <c r="A123" s="18">
        <f>ROW()</f>
        <v>123</v>
      </c>
      <c r="B123" s="26" t="str">
        <f t="shared" si="1"/>
        <v/>
      </c>
      <c r="C123" s="140"/>
      <c r="D123" s="141"/>
      <c r="E123" s="141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  <c r="BS123" s="142"/>
      <c r="BT123" s="142"/>
      <c r="BU123" s="142"/>
      <c r="BV123" s="142"/>
      <c r="BW123" s="142"/>
      <c r="BX123" s="142"/>
      <c r="BY123" s="142"/>
      <c r="BZ123" s="142"/>
      <c r="CA123" s="142"/>
      <c r="CB123" s="142"/>
      <c r="CC123" s="142"/>
      <c r="CD123" s="142"/>
      <c r="CE123" s="142"/>
      <c r="CF123" s="142"/>
      <c r="CG123" s="142"/>
      <c r="CH123" s="142"/>
      <c r="CI123" s="142"/>
      <c r="CJ123" s="142"/>
      <c r="CK123" s="142"/>
      <c r="CL123" s="142"/>
      <c r="CM123" s="142"/>
      <c r="CN123" s="142"/>
      <c r="CO123" s="142"/>
      <c r="CP123" s="142"/>
      <c r="CQ123" s="142"/>
      <c r="CR123" s="142"/>
      <c r="CS123" s="142"/>
      <c r="CT123" s="142"/>
      <c r="CU123" s="142"/>
      <c r="CV123" s="142"/>
      <c r="CW123" s="142"/>
      <c r="CX123" s="142"/>
      <c r="CY123" s="142"/>
      <c r="CZ123" s="142"/>
      <c r="DA123" s="144"/>
    </row>
    <row r="124" spans="1:105" ht="20" customHeight="1">
      <c r="A124" s="18">
        <f>ROW()</f>
        <v>124</v>
      </c>
      <c r="B124" s="26" t="str">
        <f t="shared" si="1"/>
        <v/>
      </c>
      <c r="C124" s="140"/>
      <c r="D124" s="141"/>
      <c r="E124" s="141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  <c r="BS124" s="142"/>
      <c r="BT124" s="142"/>
      <c r="BU124" s="142"/>
      <c r="BV124" s="142"/>
      <c r="BW124" s="142"/>
      <c r="BX124" s="142"/>
      <c r="BY124" s="142"/>
      <c r="BZ124" s="142"/>
      <c r="CA124" s="142"/>
      <c r="CB124" s="142"/>
      <c r="CC124" s="142"/>
      <c r="CD124" s="142"/>
      <c r="CE124" s="142"/>
      <c r="CF124" s="142"/>
      <c r="CG124" s="142"/>
      <c r="CH124" s="142"/>
      <c r="CI124" s="142"/>
      <c r="CJ124" s="142"/>
      <c r="CK124" s="142"/>
      <c r="CL124" s="142"/>
      <c r="CM124" s="142"/>
      <c r="CN124" s="142"/>
      <c r="CO124" s="142"/>
      <c r="CP124" s="142"/>
      <c r="CQ124" s="142"/>
      <c r="CR124" s="142"/>
      <c r="CS124" s="142"/>
      <c r="CT124" s="142"/>
      <c r="CU124" s="142"/>
      <c r="CV124" s="142"/>
      <c r="CW124" s="142"/>
      <c r="CX124" s="142"/>
      <c r="CY124" s="142"/>
      <c r="CZ124" s="142"/>
      <c r="DA124" s="144"/>
    </row>
    <row r="125" spans="1:105" ht="20" customHeight="1">
      <c r="A125" s="18">
        <f>ROW()</f>
        <v>125</v>
      </c>
      <c r="B125" s="26" t="str">
        <f t="shared" si="1"/>
        <v/>
      </c>
      <c r="C125" s="140"/>
      <c r="D125" s="141"/>
      <c r="E125" s="141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  <c r="BS125" s="142"/>
      <c r="BT125" s="142"/>
      <c r="BU125" s="142"/>
      <c r="BV125" s="142"/>
      <c r="BW125" s="142"/>
      <c r="BX125" s="142"/>
      <c r="BY125" s="142"/>
      <c r="BZ125" s="142"/>
      <c r="CA125" s="142"/>
      <c r="CB125" s="142"/>
      <c r="CC125" s="142"/>
      <c r="CD125" s="142"/>
      <c r="CE125" s="142"/>
      <c r="CF125" s="142"/>
      <c r="CG125" s="142"/>
      <c r="CH125" s="142"/>
      <c r="CI125" s="142"/>
      <c r="CJ125" s="142"/>
      <c r="CK125" s="142"/>
      <c r="CL125" s="142"/>
      <c r="CM125" s="142"/>
      <c r="CN125" s="142"/>
      <c r="CO125" s="142"/>
      <c r="CP125" s="142"/>
      <c r="CQ125" s="142"/>
      <c r="CR125" s="142"/>
      <c r="CS125" s="142"/>
      <c r="CT125" s="142"/>
      <c r="CU125" s="142"/>
      <c r="CV125" s="142"/>
      <c r="CW125" s="142"/>
      <c r="CX125" s="142"/>
      <c r="CY125" s="142"/>
      <c r="CZ125" s="142"/>
      <c r="DA125" s="144"/>
    </row>
    <row r="126" spans="1:105" ht="20" customHeight="1">
      <c r="A126" s="18">
        <f>ROW()</f>
        <v>126</v>
      </c>
      <c r="B126" s="26" t="str">
        <f t="shared" si="1"/>
        <v/>
      </c>
      <c r="C126" s="140"/>
      <c r="D126" s="141"/>
      <c r="E126" s="141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  <c r="BS126" s="142"/>
      <c r="BT126" s="142"/>
      <c r="BU126" s="142"/>
      <c r="BV126" s="142"/>
      <c r="BW126" s="142"/>
      <c r="BX126" s="142"/>
      <c r="BY126" s="142"/>
      <c r="BZ126" s="142"/>
      <c r="CA126" s="142"/>
      <c r="CB126" s="142"/>
      <c r="CC126" s="142"/>
      <c r="CD126" s="142"/>
      <c r="CE126" s="142"/>
      <c r="CF126" s="142"/>
      <c r="CG126" s="142"/>
      <c r="CH126" s="142"/>
      <c r="CI126" s="142"/>
      <c r="CJ126" s="142"/>
      <c r="CK126" s="142"/>
      <c r="CL126" s="142"/>
      <c r="CM126" s="142"/>
      <c r="CN126" s="142"/>
      <c r="CO126" s="142"/>
      <c r="CP126" s="142"/>
      <c r="CQ126" s="142"/>
      <c r="CR126" s="142"/>
      <c r="CS126" s="142"/>
      <c r="CT126" s="142"/>
      <c r="CU126" s="142"/>
      <c r="CV126" s="142"/>
      <c r="CW126" s="142"/>
      <c r="CX126" s="142"/>
      <c r="CY126" s="142"/>
      <c r="CZ126" s="142"/>
      <c r="DA126" s="144"/>
    </row>
    <row r="127" spans="1:105" ht="20" customHeight="1">
      <c r="A127" s="18">
        <f>ROW()</f>
        <v>127</v>
      </c>
      <c r="B127" s="26" t="str">
        <f t="shared" si="1"/>
        <v/>
      </c>
      <c r="C127" s="140"/>
      <c r="D127" s="141"/>
      <c r="E127" s="141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  <c r="BS127" s="142"/>
      <c r="BT127" s="142"/>
      <c r="BU127" s="142"/>
      <c r="BV127" s="142"/>
      <c r="BW127" s="142"/>
      <c r="BX127" s="142"/>
      <c r="BY127" s="142"/>
      <c r="BZ127" s="142"/>
      <c r="CA127" s="142"/>
      <c r="CB127" s="142"/>
      <c r="CC127" s="142"/>
      <c r="CD127" s="142"/>
      <c r="CE127" s="142"/>
      <c r="CF127" s="142"/>
      <c r="CG127" s="142"/>
      <c r="CH127" s="142"/>
      <c r="CI127" s="142"/>
      <c r="CJ127" s="142"/>
      <c r="CK127" s="142"/>
      <c r="CL127" s="142"/>
      <c r="CM127" s="142"/>
      <c r="CN127" s="142"/>
      <c r="CO127" s="142"/>
      <c r="CP127" s="142"/>
      <c r="CQ127" s="142"/>
      <c r="CR127" s="142"/>
      <c r="CS127" s="142"/>
      <c r="CT127" s="142"/>
      <c r="CU127" s="142"/>
      <c r="CV127" s="142"/>
      <c r="CW127" s="142"/>
      <c r="CX127" s="142"/>
      <c r="CY127" s="142"/>
      <c r="CZ127" s="142"/>
      <c r="DA127" s="144"/>
    </row>
    <row r="128" spans="1:105" ht="20" customHeight="1">
      <c r="A128" s="18">
        <f>ROW()</f>
        <v>128</v>
      </c>
      <c r="B128" s="26" t="str">
        <f t="shared" si="1"/>
        <v/>
      </c>
      <c r="C128" s="140"/>
      <c r="D128" s="141"/>
      <c r="E128" s="141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  <c r="BS128" s="142"/>
      <c r="BT128" s="142"/>
      <c r="BU128" s="142"/>
      <c r="BV128" s="142"/>
      <c r="BW128" s="142"/>
      <c r="BX128" s="142"/>
      <c r="BY128" s="142"/>
      <c r="BZ128" s="142"/>
      <c r="CA128" s="142"/>
      <c r="CB128" s="142"/>
      <c r="CC128" s="142"/>
      <c r="CD128" s="142"/>
      <c r="CE128" s="142"/>
      <c r="CF128" s="142"/>
      <c r="CG128" s="142"/>
      <c r="CH128" s="142"/>
      <c r="CI128" s="142"/>
      <c r="CJ128" s="142"/>
      <c r="CK128" s="142"/>
      <c r="CL128" s="142"/>
      <c r="CM128" s="142"/>
      <c r="CN128" s="142"/>
      <c r="CO128" s="142"/>
      <c r="CP128" s="142"/>
      <c r="CQ128" s="142"/>
      <c r="CR128" s="142"/>
      <c r="CS128" s="142"/>
      <c r="CT128" s="142"/>
      <c r="CU128" s="142"/>
      <c r="CV128" s="142"/>
      <c r="CW128" s="142"/>
      <c r="CX128" s="142"/>
      <c r="CY128" s="142"/>
      <c r="CZ128" s="142"/>
      <c r="DA128" s="144"/>
    </row>
    <row r="129" spans="1:105" ht="20" customHeight="1">
      <c r="A129" s="18">
        <f>ROW()</f>
        <v>129</v>
      </c>
      <c r="B129" s="26" t="str">
        <f t="shared" si="1"/>
        <v/>
      </c>
      <c r="C129" s="140"/>
      <c r="D129" s="141"/>
      <c r="E129" s="141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  <c r="BS129" s="142"/>
      <c r="BT129" s="142"/>
      <c r="BU129" s="142"/>
      <c r="BV129" s="142"/>
      <c r="BW129" s="142"/>
      <c r="BX129" s="142"/>
      <c r="BY129" s="142"/>
      <c r="BZ129" s="142"/>
      <c r="CA129" s="142"/>
      <c r="CB129" s="142"/>
      <c r="CC129" s="142"/>
      <c r="CD129" s="142"/>
      <c r="CE129" s="142"/>
      <c r="CF129" s="142"/>
      <c r="CG129" s="142"/>
      <c r="CH129" s="142"/>
      <c r="CI129" s="142"/>
      <c r="CJ129" s="142"/>
      <c r="CK129" s="142"/>
      <c r="CL129" s="142"/>
      <c r="CM129" s="142"/>
      <c r="CN129" s="142"/>
      <c r="CO129" s="142"/>
      <c r="CP129" s="142"/>
      <c r="CQ129" s="142"/>
      <c r="CR129" s="142"/>
      <c r="CS129" s="142"/>
      <c r="CT129" s="142"/>
      <c r="CU129" s="142"/>
      <c r="CV129" s="142"/>
      <c r="CW129" s="142"/>
      <c r="CX129" s="142"/>
      <c r="CY129" s="142"/>
      <c r="CZ129" s="142"/>
      <c r="DA129" s="144"/>
    </row>
    <row r="130" spans="1:105" ht="20" customHeight="1">
      <c r="A130" s="18">
        <f>ROW()</f>
        <v>130</v>
      </c>
      <c r="B130" s="26" t="str">
        <f t="shared" si="1"/>
        <v/>
      </c>
      <c r="C130" s="140"/>
      <c r="D130" s="141"/>
      <c r="E130" s="141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2"/>
      <c r="BY130" s="142"/>
      <c r="BZ130" s="142"/>
      <c r="CA130" s="142"/>
      <c r="CB130" s="142"/>
      <c r="CC130" s="142"/>
      <c r="CD130" s="142"/>
      <c r="CE130" s="142"/>
      <c r="CF130" s="142"/>
      <c r="CG130" s="142"/>
      <c r="CH130" s="142"/>
      <c r="CI130" s="142"/>
      <c r="CJ130" s="142"/>
      <c r="CK130" s="142"/>
      <c r="CL130" s="142"/>
      <c r="CM130" s="142"/>
      <c r="CN130" s="142"/>
      <c r="CO130" s="142"/>
      <c r="CP130" s="142"/>
      <c r="CQ130" s="142"/>
      <c r="CR130" s="142"/>
      <c r="CS130" s="142"/>
      <c r="CT130" s="142"/>
      <c r="CU130" s="142"/>
      <c r="CV130" s="142"/>
      <c r="CW130" s="142"/>
      <c r="CX130" s="142"/>
      <c r="CY130" s="142"/>
      <c r="CZ130" s="142"/>
      <c r="DA130" s="144"/>
    </row>
    <row r="131" spans="1:105" ht="20" customHeight="1">
      <c r="A131" s="18">
        <f>ROW()</f>
        <v>131</v>
      </c>
      <c r="B131" s="26" t="str">
        <f t="shared" si="1"/>
        <v/>
      </c>
      <c r="C131" s="140"/>
      <c r="D131" s="141"/>
      <c r="E131" s="141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  <c r="BS131" s="142"/>
      <c r="BT131" s="142"/>
      <c r="BU131" s="142"/>
      <c r="BV131" s="142"/>
      <c r="BW131" s="142"/>
      <c r="BX131" s="142"/>
      <c r="BY131" s="142"/>
      <c r="BZ131" s="142"/>
      <c r="CA131" s="142"/>
      <c r="CB131" s="142"/>
      <c r="CC131" s="142"/>
      <c r="CD131" s="142"/>
      <c r="CE131" s="142"/>
      <c r="CF131" s="142"/>
      <c r="CG131" s="142"/>
      <c r="CH131" s="142"/>
      <c r="CI131" s="142"/>
      <c r="CJ131" s="142"/>
      <c r="CK131" s="142"/>
      <c r="CL131" s="142"/>
      <c r="CM131" s="142"/>
      <c r="CN131" s="142"/>
      <c r="CO131" s="142"/>
      <c r="CP131" s="142"/>
      <c r="CQ131" s="142"/>
      <c r="CR131" s="142"/>
      <c r="CS131" s="142"/>
      <c r="CT131" s="142"/>
      <c r="CU131" s="142"/>
      <c r="CV131" s="142"/>
      <c r="CW131" s="142"/>
      <c r="CX131" s="142"/>
      <c r="CY131" s="142"/>
      <c r="CZ131" s="142"/>
      <c r="DA131" s="144"/>
    </row>
    <row r="132" spans="1:105" ht="20" customHeight="1">
      <c r="A132" s="18">
        <f>ROW()</f>
        <v>132</v>
      </c>
      <c r="B132" s="26" t="str">
        <f t="shared" si="1"/>
        <v/>
      </c>
      <c r="C132" s="140"/>
      <c r="D132" s="141"/>
      <c r="E132" s="141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  <c r="BS132" s="142"/>
      <c r="BT132" s="142"/>
      <c r="BU132" s="142"/>
      <c r="BV132" s="142"/>
      <c r="BW132" s="142"/>
      <c r="BX132" s="142"/>
      <c r="BY132" s="142"/>
      <c r="BZ132" s="142"/>
      <c r="CA132" s="142"/>
      <c r="CB132" s="142"/>
      <c r="CC132" s="142"/>
      <c r="CD132" s="142"/>
      <c r="CE132" s="142"/>
      <c r="CF132" s="142"/>
      <c r="CG132" s="142"/>
      <c r="CH132" s="142"/>
      <c r="CI132" s="142"/>
      <c r="CJ132" s="142"/>
      <c r="CK132" s="142"/>
      <c r="CL132" s="142"/>
      <c r="CM132" s="142"/>
      <c r="CN132" s="142"/>
      <c r="CO132" s="142"/>
      <c r="CP132" s="142"/>
      <c r="CQ132" s="142"/>
      <c r="CR132" s="142"/>
      <c r="CS132" s="142"/>
      <c r="CT132" s="142"/>
      <c r="CU132" s="142"/>
      <c r="CV132" s="142"/>
      <c r="CW132" s="142"/>
      <c r="CX132" s="142"/>
      <c r="CY132" s="142"/>
      <c r="CZ132" s="142"/>
      <c r="DA132" s="144"/>
    </row>
    <row r="133" spans="1:105" ht="20" customHeight="1">
      <c r="A133" s="18">
        <f>ROW()</f>
        <v>133</v>
      </c>
      <c r="B133" s="26" t="str">
        <f t="shared" si="1"/>
        <v/>
      </c>
      <c r="C133" s="140"/>
      <c r="D133" s="141"/>
      <c r="E133" s="141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  <c r="BS133" s="142"/>
      <c r="BT133" s="142"/>
      <c r="BU133" s="142"/>
      <c r="BV133" s="142"/>
      <c r="BW133" s="142"/>
      <c r="BX133" s="142"/>
      <c r="BY133" s="142"/>
      <c r="BZ133" s="142"/>
      <c r="CA133" s="142"/>
      <c r="CB133" s="142"/>
      <c r="CC133" s="142"/>
      <c r="CD133" s="142"/>
      <c r="CE133" s="142"/>
      <c r="CF133" s="142"/>
      <c r="CG133" s="142"/>
      <c r="CH133" s="142"/>
      <c r="CI133" s="142"/>
      <c r="CJ133" s="142"/>
      <c r="CK133" s="142"/>
      <c r="CL133" s="142"/>
      <c r="CM133" s="142"/>
      <c r="CN133" s="142"/>
      <c r="CO133" s="142"/>
      <c r="CP133" s="142"/>
      <c r="CQ133" s="142"/>
      <c r="CR133" s="142"/>
      <c r="CS133" s="142"/>
      <c r="CT133" s="142"/>
      <c r="CU133" s="142"/>
      <c r="CV133" s="142"/>
      <c r="CW133" s="142"/>
      <c r="CX133" s="142"/>
      <c r="CY133" s="142"/>
      <c r="CZ133" s="142"/>
      <c r="DA133" s="144"/>
    </row>
    <row r="134" spans="1:105" ht="20" customHeight="1">
      <c r="A134" s="18">
        <f>ROW()</f>
        <v>134</v>
      </c>
      <c r="B134" s="26" t="str">
        <f t="shared" si="1"/>
        <v/>
      </c>
      <c r="C134" s="140"/>
      <c r="D134" s="141"/>
      <c r="E134" s="141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  <c r="BS134" s="142"/>
      <c r="BT134" s="142"/>
      <c r="BU134" s="142"/>
      <c r="BV134" s="142"/>
      <c r="BW134" s="142"/>
      <c r="BX134" s="142"/>
      <c r="BY134" s="142"/>
      <c r="BZ134" s="142"/>
      <c r="CA134" s="142"/>
      <c r="CB134" s="142"/>
      <c r="CC134" s="142"/>
      <c r="CD134" s="142"/>
      <c r="CE134" s="142"/>
      <c r="CF134" s="142"/>
      <c r="CG134" s="142"/>
      <c r="CH134" s="142"/>
      <c r="CI134" s="142"/>
      <c r="CJ134" s="142"/>
      <c r="CK134" s="142"/>
      <c r="CL134" s="142"/>
      <c r="CM134" s="142"/>
      <c r="CN134" s="142"/>
      <c r="CO134" s="142"/>
      <c r="CP134" s="142"/>
      <c r="CQ134" s="142"/>
      <c r="CR134" s="142"/>
      <c r="CS134" s="142"/>
      <c r="CT134" s="142"/>
      <c r="CU134" s="142"/>
      <c r="CV134" s="142"/>
      <c r="CW134" s="142"/>
      <c r="CX134" s="142"/>
      <c r="CY134" s="142"/>
      <c r="CZ134" s="142"/>
      <c r="DA134" s="144"/>
    </row>
    <row r="135" spans="1:105" ht="20" customHeight="1">
      <c r="A135" s="18">
        <f>ROW()</f>
        <v>135</v>
      </c>
      <c r="B135" s="26" t="str">
        <f t="shared" si="1"/>
        <v/>
      </c>
      <c r="C135" s="140"/>
      <c r="D135" s="141"/>
      <c r="E135" s="141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  <c r="BS135" s="142"/>
      <c r="BT135" s="142"/>
      <c r="BU135" s="142"/>
      <c r="BV135" s="142"/>
      <c r="BW135" s="142"/>
      <c r="BX135" s="142"/>
      <c r="BY135" s="142"/>
      <c r="BZ135" s="142"/>
      <c r="CA135" s="142"/>
      <c r="CB135" s="142"/>
      <c r="CC135" s="142"/>
      <c r="CD135" s="142"/>
      <c r="CE135" s="142"/>
      <c r="CF135" s="142"/>
      <c r="CG135" s="142"/>
      <c r="CH135" s="142"/>
      <c r="CI135" s="142"/>
      <c r="CJ135" s="142"/>
      <c r="CK135" s="142"/>
      <c r="CL135" s="142"/>
      <c r="CM135" s="142"/>
      <c r="CN135" s="142"/>
      <c r="CO135" s="142"/>
      <c r="CP135" s="142"/>
      <c r="CQ135" s="142"/>
      <c r="CR135" s="142"/>
      <c r="CS135" s="142"/>
      <c r="CT135" s="142"/>
      <c r="CU135" s="142"/>
      <c r="CV135" s="142"/>
      <c r="CW135" s="142"/>
      <c r="CX135" s="142"/>
      <c r="CY135" s="142"/>
      <c r="CZ135" s="142"/>
      <c r="DA135" s="144"/>
    </row>
    <row r="136" spans="1:105" ht="20" customHeight="1">
      <c r="A136" s="18">
        <f>ROW()</f>
        <v>136</v>
      </c>
      <c r="B136" s="26" t="str">
        <f t="shared" si="1"/>
        <v/>
      </c>
      <c r="C136" s="140"/>
      <c r="D136" s="141"/>
      <c r="E136" s="141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  <c r="BS136" s="142"/>
      <c r="BT136" s="142"/>
      <c r="BU136" s="142"/>
      <c r="BV136" s="142"/>
      <c r="BW136" s="142"/>
      <c r="BX136" s="142"/>
      <c r="BY136" s="142"/>
      <c r="BZ136" s="142"/>
      <c r="CA136" s="142"/>
      <c r="CB136" s="142"/>
      <c r="CC136" s="142"/>
      <c r="CD136" s="142"/>
      <c r="CE136" s="142"/>
      <c r="CF136" s="142"/>
      <c r="CG136" s="142"/>
      <c r="CH136" s="142"/>
      <c r="CI136" s="142"/>
      <c r="CJ136" s="142"/>
      <c r="CK136" s="142"/>
      <c r="CL136" s="142"/>
      <c r="CM136" s="142"/>
      <c r="CN136" s="142"/>
      <c r="CO136" s="142"/>
      <c r="CP136" s="142"/>
      <c r="CQ136" s="142"/>
      <c r="CR136" s="142"/>
      <c r="CS136" s="142"/>
      <c r="CT136" s="142"/>
      <c r="CU136" s="142"/>
      <c r="CV136" s="142"/>
      <c r="CW136" s="142"/>
      <c r="CX136" s="142"/>
      <c r="CY136" s="142"/>
      <c r="CZ136" s="142"/>
      <c r="DA136" s="144"/>
    </row>
    <row r="137" spans="1:105" ht="20" customHeight="1">
      <c r="A137" s="18">
        <f>ROW()</f>
        <v>137</v>
      </c>
      <c r="B137" s="26" t="str">
        <f t="shared" si="1"/>
        <v/>
      </c>
      <c r="C137" s="140"/>
      <c r="D137" s="141"/>
      <c r="E137" s="141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  <c r="BS137" s="142"/>
      <c r="BT137" s="142"/>
      <c r="BU137" s="142"/>
      <c r="BV137" s="142"/>
      <c r="BW137" s="142"/>
      <c r="BX137" s="142"/>
      <c r="BY137" s="142"/>
      <c r="BZ137" s="142"/>
      <c r="CA137" s="142"/>
      <c r="CB137" s="142"/>
      <c r="CC137" s="142"/>
      <c r="CD137" s="142"/>
      <c r="CE137" s="142"/>
      <c r="CF137" s="142"/>
      <c r="CG137" s="142"/>
      <c r="CH137" s="142"/>
      <c r="CI137" s="142"/>
      <c r="CJ137" s="142"/>
      <c r="CK137" s="142"/>
      <c r="CL137" s="142"/>
      <c r="CM137" s="142"/>
      <c r="CN137" s="142"/>
      <c r="CO137" s="142"/>
      <c r="CP137" s="142"/>
      <c r="CQ137" s="142"/>
      <c r="CR137" s="142"/>
      <c r="CS137" s="142"/>
      <c r="CT137" s="142"/>
      <c r="CU137" s="142"/>
      <c r="CV137" s="142"/>
      <c r="CW137" s="142"/>
      <c r="CX137" s="142"/>
      <c r="CY137" s="142"/>
      <c r="CZ137" s="142"/>
      <c r="DA137" s="144"/>
    </row>
    <row r="138" spans="1:105" ht="20" customHeight="1">
      <c r="A138" s="18">
        <f>ROW()</f>
        <v>138</v>
      </c>
      <c r="B138" s="26" t="str">
        <f t="shared" si="1"/>
        <v/>
      </c>
      <c r="C138" s="140"/>
      <c r="D138" s="141"/>
      <c r="E138" s="141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  <c r="BS138" s="142"/>
      <c r="BT138" s="142"/>
      <c r="BU138" s="142"/>
      <c r="BV138" s="142"/>
      <c r="BW138" s="142"/>
      <c r="BX138" s="142"/>
      <c r="BY138" s="142"/>
      <c r="BZ138" s="142"/>
      <c r="CA138" s="142"/>
      <c r="CB138" s="142"/>
      <c r="CC138" s="142"/>
      <c r="CD138" s="142"/>
      <c r="CE138" s="142"/>
      <c r="CF138" s="142"/>
      <c r="CG138" s="142"/>
      <c r="CH138" s="142"/>
      <c r="CI138" s="142"/>
      <c r="CJ138" s="142"/>
      <c r="CK138" s="142"/>
      <c r="CL138" s="142"/>
      <c r="CM138" s="142"/>
      <c r="CN138" s="142"/>
      <c r="CO138" s="142"/>
      <c r="CP138" s="142"/>
      <c r="CQ138" s="142"/>
      <c r="CR138" s="142"/>
      <c r="CS138" s="142"/>
      <c r="CT138" s="142"/>
      <c r="CU138" s="142"/>
      <c r="CV138" s="142"/>
      <c r="CW138" s="142"/>
      <c r="CX138" s="142"/>
      <c r="CY138" s="142"/>
      <c r="CZ138" s="142"/>
      <c r="DA138" s="144"/>
    </row>
    <row r="139" spans="1:105" ht="20" customHeight="1">
      <c r="A139" s="18">
        <f>ROW()</f>
        <v>139</v>
      </c>
      <c r="B139" s="26" t="str">
        <f t="shared" si="1"/>
        <v/>
      </c>
      <c r="C139" s="140"/>
      <c r="D139" s="141"/>
      <c r="E139" s="141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  <c r="AH139" s="142"/>
      <c r="AI139" s="142"/>
      <c r="AJ139" s="142"/>
      <c r="AK139" s="142"/>
      <c r="AL139" s="142"/>
      <c r="AM139" s="142"/>
      <c r="AN139" s="142"/>
      <c r="AO139" s="142"/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  <c r="BE139" s="142"/>
      <c r="BF139" s="142"/>
      <c r="BG139" s="142"/>
      <c r="BH139" s="142"/>
      <c r="BI139" s="142"/>
      <c r="BJ139" s="142"/>
      <c r="BK139" s="142"/>
      <c r="BL139" s="142"/>
      <c r="BM139" s="142"/>
      <c r="BN139" s="142"/>
      <c r="BO139" s="142"/>
      <c r="BP139" s="142"/>
      <c r="BQ139" s="142"/>
      <c r="BR139" s="142"/>
      <c r="BS139" s="142"/>
      <c r="BT139" s="142"/>
      <c r="BU139" s="142"/>
      <c r="BV139" s="142"/>
      <c r="BW139" s="142"/>
      <c r="BX139" s="142"/>
      <c r="BY139" s="142"/>
      <c r="BZ139" s="142"/>
      <c r="CA139" s="142"/>
      <c r="CB139" s="142"/>
      <c r="CC139" s="142"/>
      <c r="CD139" s="142"/>
      <c r="CE139" s="142"/>
      <c r="CF139" s="142"/>
      <c r="CG139" s="142"/>
      <c r="CH139" s="142"/>
      <c r="CI139" s="142"/>
      <c r="CJ139" s="142"/>
      <c r="CK139" s="142"/>
      <c r="CL139" s="142"/>
      <c r="CM139" s="142"/>
      <c r="CN139" s="142"/>
      <c r="CO139" s="142"/>
      <c r="CP139" s="142"/>
      <c r="CQ139" s="142"/>
      <c r="CR139" s="142"/>
      <c r="CS139" s="142"/>
      <c r="CT139" s="142"/>
      <c r="CU139" s="142"/>
      <c r="CV139" s="142"/>
      <c r="CW139" s="142"/>
      <c r="CX139" s="142"/>
      <c r="CY139" s="142"/>
      <c r="CZ139" s="142"/>
      <c r="DA139" s="144"/>
    </row>
    <row r="140" spans="1:105" ht="20" customHeight="1">
      <c r="A140" s="18">
        <f>ROW()</f>
        <v>140</v>
      </c>
      <c r="B140" s="26" t="str">
        <f t="shared" si="1"/>
        <v/>
      </c>
      <c r="C140" s="140"/>
      <c r="D140" s="141"/>
      <c r="E140" s="141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  <c r="BS140" s="142"/>
      <c r="BT140" s="142"/>
      <c r="BU140" s="142"/>
      <c r="BV140" s="142"/>
      <c r="BW140" s="142"/>
      <c r="BX140" s="142"/>
      <c r="BY140" s="142"/>
      <c r="BZ140" s="142"/>
      <c r="CA140" s="142"/>
      <c r="CB140" s="142"/>
      <c r="CC140" s="142"/>
      <c r="CD140" s="142"/>
      <c r="CE140" s="142"/>
      <c r="CF140" s="142"/>
      <c r="CG140" s="142"/>
      <c r="CH140" s="142"/>
      <c r="CI140" s="142"/>
      <c r="CJ140" s="142"/>
      <c r="CK140" s="142"/>
      <c r="CL140" s="142"/>
      <c r="CM140" s="142"/>
      <c r="CN140" s="142"/>
      <c r="CO140" s="142"/>
      <c r="CP140" s="142"/>
      <c r="CQ140" s="142"/>
      <c r="CR140" s="142"/>
      <c r="CS140" s="142"/>
      <c r="CT140" s="142"/>
      <c r="CU140" s="142"/>
      <c r="CV140" s="142"/>
      <c r="CW140" s="142"/>
      <c r="CX140" s="142"/>
      <c r="CY140" s="142"/>
      <c r="CZ140" s="142"/>
      <c r="DA140" s="144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140"/>
      <c r="D141" s="141"/>
      <c r="E141" s="141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  <c r="BS141" s="142"/>
      <c r="BT141" s="142"/>
      <c r="BU141" s="142"/>
      <c r="BV141" s="142"/>
      <c r="BW141" s="142"/>
      <c r="BX141" s="142"/>
      <c r="BY141" s="142"/>
      <c r="BZ141" s="142"/>
      <c r="CA141" s="142"/>
      <c r="CB141" s="142"/>
      <c r="CC141" s="142"/>
      <c r="CD141" s="142"/>
      <c r="CE141" s="142"/>
      <c r="CF141" s="142"/>
      <c r="CG141" s="142"/>
      <c r="CH141" s="142"/>
      <c r="CI141" s="142"/>
      <c r="CJ141" s="142"/>
      <c r="CK141" s="142"/>
      <c r="CL141" s="142"/>
      <c r="CM141" s="142"/>
      <c r="CN141" s="142"/>
      <c r="CO141" s="142"/>
      <c r="CP141" s="142"/>
      <c r="CQ141" s="142"/>
      <c r="CR141" s="142"/>
      <c r="CS141" s="142"/>
      <c r="CT141" s="142"/>
      <c r="CU141" s="142"/>
      <c r="CV141" s="142"/>
      <c r="CW141" s="142"/>
      <c r="CX141" s="142"/>
      <c r="CY141" s="142"/>
      <c r="CZ141" s="142"/>
      <c r="DA141" s="144"/>
    </row>
    <row r="142" spans="1:105" ht="20" customHeight="1">
      <c r="A142" s="18">
        <f>ROW()</f>
        <v>142</v>
      </c>
      <c r="B142" s="26" t="str">
        <f t="shared" si="2"/>
        <v/>
      </c>
      <c r="C142" s="140"/>
      <c r="D142" s="141"/>
      <c r="E142" s="141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  <c r="BS142" s="142"/>
      <c r="BT142" s="142"/>
      <c r="BU142" s="142"/>
      <c r="BV142" s="142"/>
      <c r="BW142" s="142"/>
      <c r="BX142" s="142"/>
      <c r="BY142" s="142"/>
      <c r="BZ142" s="142"/>
      <c r="CA142" s="142"/>
      <c r="CB142" s="142"/>
      <c r="CC142" s="142"/>
      <c r="CD142" s="142"/>
      <c r="CE142" s="142"/>
      <c r="CF142" s="142"/>
      <c r="CG142" s="142"/>
      <c r="CH142" s="142"/>
      <c r="CI142" s="142"/>
      <c r="CJ142" s="142"/>
      <c r="CK142" s="142"/>
      <c r="CL142" s="142"/>
      <c r="CM142" s="142"/>
      <c r="CN142" s="142"/>
      <c r="CO142" s="142"/>
      <c r="CP142" s="142"/>
      <c r="CQ142" s="142"/>
      <c r="CR142" s="142"/>
      <c r="CS142" s="142"/>
      <c r="CT142" s="142"/>
      <c r="CU142" s="142"/>
      <c r="CV142" s="142"/>
      <c r="CW142" s="142"/>
      <c r="CX142" s="142"/>
      <c r="CY142" s="142"/>
      <c r="CZ142" s="142"/>
      <c r="DA142" s="144"/>
    </row>
    <row r="143" spans="1:105" ht="20" customHeight="1">
      <c r="A143" s="18">
        <f>ROW()</f>
        <v>143</v>
      </c>
      <c r="B143" s="26" t="str">
        <f t="shared" si="2"/>
        <v/>
      </c>
      <c r="C143" s="140"/>
      <c r="D143" s="141"/>
      <c r="E143" s="141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  <c r="BS143" s="142"/>
      <c r="BT143" s="142"/>
      <c r="BU143" s="142"/>
      <c r="BV143" s="142"/>
      <c r="BW143" s="142"/>
      <c r="BX143" s="142"/>
      <c r="BY143" s="142"/>
      <c r="BZ143" s="142"/>
      <c r="CA143" s="142"/>
      <c r="CB143" s="142"/>
      <c r="CC143" s="142"/>
      <c r="CD143" s="142"/>
      <c r="CE143" s="142"/>
      <c r="CF143" s="142"/>
      <c r="CG143" s="142"/>
      <c r="CH143" s="142"/>
      <c r="CI143" s="142"/>
      <c r="CJ143" s="142"/>
      <c r="CK143" s="142"/>
      <c r="CL143" s="142"/>
      <c r="CM143" s="142"/>
      <c r="CN143" s="142"/>
      <c r="CO143" s="142"/>
      <c r="CP143" s="142"/>
      <c r="CQ143" s="142"/>
      <c r="CR143" s="142"/>
      <c r="CS143" s="142"/>
      <c r="CT143" s="142"/>
      <c r="CU143" s="142"/>
      <c r="CV143" s="142"/>
      <c r="CW143" s="142"/>
      <c r="CX143" s="142"/>
      <c r="CY143" s="142"/>
      <c r="CZ143" s="142"/>
      <c r="DA143" s="144"/>
    </row>
    <row r="144" spans="1:105" ht="20" customHeight="1">
      <c r="A144" s="18">
        <f>ROW()</f>
        <v>144</v>
      </c>
      <c r="B144" s="26" t="str">
        <f t="shared" si="2"/>
        <v/>
      </c>
      <c r="C144" s="140"/>
      <c r="D144" s="141"/>
      <c r="E144" s="141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  <c r="BS144" s="142"/>
      <c r="BT144" s="142"/>
      <c r="BU144" s="142"/>
      <c r="BV144" s="142"/>
      <c r="BW144" s="142"/>
      <c r="BX144" s="142"/>
      <c r="BY144" s="142"/>
      <c r="BZ144" s="142"/>
      <c r="CA144" s="142"/>
      <c r="CB144" s="142"/>
      <c r="CC144" s="142"/>
      <c r="CD144" s="142"/>
      <c r="CE144" s="142"/>
      <c r="CF144" s="142"/>
      <c r="CG144" s="142"/>
      <c r="CH144" s="142"/>
      <c r="CI144" s="142"/>
      <c r="CJ144" s="142"/>
      <c r="CK144" s="142"/>
      <c r="CL144" s="142"/>
      <c r="CM144" s="142"/>
      <c r="CN144" s="142"/>
      <c r="CO144" s="142"/>
      <c r="CP144" s="142"/>
      <c r="CQ144" s="142"/>
      <c r="CR144" s="142"/>
      <c r="CS144" s="142"/>
      <c r="CT144" s="142"/>
      <c r="CU144" s="142"/>
      <c r="CV144" s="142"/>
      <c r="CW144" s="142"/>
      <c r="CX144" s="142"/>
      <c r="CY144" s="142"/>
      <c r="CZ144" s="142"/>
      <c r="DA144" s="144"/>
    </row>
    <row r="145" spans="1:105" ht="20" customHeight="1">
      <c r="A145" s="18">
        <f>ROW()</f>
        <v>145</v>
      </c>
      <c r="B145" s="26" t="str">
        <f t="shared" si="2"/>
        <v/>
      </c>
      <c r="C145" s="140"/>
      <c r="D145" s="141"/>
      <c r="E145" s="141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  <c r="BS145" s="142"/>
      <c r="BT145" s="142"/>
      <c r="BU145" s="142"/>
      <c r="BV145" s="142"/>
      <c r="BW145" s="142"/>
      <c r="BX145" s="142"/>
      <c r="BY145" s="142"/>
      <c r="BZ145" s="142"/>
      <c r="CA145" s="142"/>
      <c r="CB145" s="142"/>
      <c r="CC145" s="142"/>
      <c r="CD145" s="142"/>
      <c r="CE145" s="142"/>
      <c r="CF145" s="142"/>
      <c r="CG145" s="142"/>
      <c r="CH145" s="142"/>
      <c r="CI145" s="142"/>
      <c r="CJ145" s="142"/>
      <c r="CK145" s="142"/>
      <c r="CL145" s="142"/>
      <c r="CM145" s="142"/>
      <c r="CN145" s="142"/>
      <c r="CO145" s="142"/>
      <c r="CP145" s="142"/>
      <c r="CQ145" s="142"/>
      <c r="CR145" s="142"/>
      <c r="CS145" s="142"/>
      <c r="CT145" s="142"/>
      <c r="CU145" s="142"/>
      <c r="CV145" s="142"/>
      <c r="CW145" s="142"/>
      <c r="CX145" s="142"/>
      <c r="CY145" s="142"/>
      <c r="CZ145" s="142"/>
      <c r="DA145" s="144"/>
    </row>
    <row r="146" spans="1:105" ht="20" customHeight="1">
      <c r="A146" s="18">
        <f>ROW()</f>
        <v>146</v>
      </c>
      <c r="B146" s="26" t="str">
        <f t="shared" si="2"/>
        <v/>
      </c>
      <c r="C146" s="140"/>
      <c r="D146" s="141"/>
      <c r="E146" s="141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  <c r="BS146" s="142"/>
      <c r="BT146" s="142"/>
      <c r="BU146" s="142"/>
      <c r="BV146" s="142"/>
      <c r="BW146" s="142"/>
      <c r="BX146" s="142"/>
      <c r="BY146" s="142"/>
      <c r="BZ146" s="142"/>
      <c r="CA146" s="142"/>
      <c r="CB146" s="142"/>
      <c r="CC146" s="142"/>
      <c r="CD146" s="142"/>
      <c r="CE146" s="142"/>
      <c r="CF146" s="142"/>
      <c r="CG146" s="142"/>
      <c r="CH146" s="142"/>
      <c r="CI146" s="142"/>
      <c r="CJ146" s="142"/>
      <c r="CK146" s="142"/>
      <c r="CL146" s="142"/>
      <c r="CM146" s="142"/>
      <c r="CN146" s="142"/>
      <c r="CO146" s="142"/>
      <c r="CP146" s="142"/>
      <c r="CQ146" s="142"/>
      <c r="CR146" s="142"/>
      <c r="CS146" s="142"/>
      <c r="CT146" s="142"/>
      <c r="CU146" s="142"/>
      <c r="CV146" s="142"/>
      <c r="CW146" s="142"/>
      <c r="CX146" s="142"/>
      <c r="CY146" s="142"/>
      <c r="CZ146" s="142"/>
      <c r="DA146" s="144"/>
    </row>
    <row r="147" spans="1:105" ht="20" customHeight="1">
      <c r="A147" s="18">
        <f>ROW()</f>
        <v>147</v>
      </c>
      <c r="B147" s="26" t="str">
        <f t="shared" si="2"/>
        <v/>
      </c>
      <c r="C147" s="140"/>
      <c r="D147" s="141"/>
      <c r="E147" s="141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  <c r="BS147" s="142"/>
      <c r="BT147" s="142"/>
      <c r="BU147" s="142"/>
      <c r="BV147" s="142"/>
      <c r="BW147" s="142"/>
      <c r="BX147" s="142"/>
      <c r="BY147" s="142"/>
      <c r="BZ147" s="142"/>
      <c r="CA147" s="142"/>
      <c r="CB147" s="142"/>
      <c r="CC147" s="142"/>
      <c r="CD147" s="142"/>
      <c r="CE147" s="142"/>
      <c r="CF147" s="142"/>
      <c r="CG147" s="142"/>
      <c r="CH147" s="142"/>
      <c r="CI147" s="142"/>
      <c r="CJ147" s="142"/>
      <c r="CK147" s="142"/>
      <c r="CL147" s="142"/>
      <c r="CM147" s="142"/>
      <c r="CN147" s="142"/>
      <c r="CO147" s="142"/>
      <c r="CP147" s="142"/>
      <c r="CQ147" s="142"/>
      <c r="CR147" s="142"/>
      <c r="CS147" s="142"/>
      <c r="CT147" s="142"/>
      <c r="CU147" s="142"/>
      <c r="CV147" s="142"/>
      <c r="CW147" s="142"/>
      <c r="CX147" s="142"/>
      <c r="CY147" s="142"/>
      <c r="CZ147" s="142"/>
      <c r="DA147" s="144"/>
    </row>
    <row r="148" spans="1:105" ht="20" customHeight="1">
      <c r="A148" s="18">
        <f>ROW()</f>
        <v>148</v>
      </c>
      <c r="B148" s="26" t="str">
        <f t="shared" si="2"/>
        <v/>
      </c>
      <c r="C148" s="140"/>
      <c r="D148" s="141"/>
      <c r="E148" s="141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  <c r="BS148" s="142"/>
      <c r="BT148" s="142"/>
      <c r="BU148" s="142"/>
      <c r="BV148" s="142"/>
      <c r="BW148" s="142"/>
      <c r="BX148" s="142"/>
      <c r="BY148" s="142"/>
      <c r="BZ148" s="142"/>
      <c r="CA148" s="142"/>
      <c r="CB148" s="142"/>
      <c r="CC148" s="142"/>
      <c r="CD148" s="142"/>
      <c r="CE148" s="142"/>
      <c r="CF148" s="142"/>
      <c r="CG148" s="142"/>
      <c r="CH148" s="142"/>
      <c r="CI148" s="142"/>
      <c r="CJ148" s="142"/>
      <c r="CK148" s="142"/>
      <c r="CL148" s="142"/>
      <c r="CM148" s="142"/>
      <c r="CN148" s="142"/>
      <c r="CO148" s="142"/>
      <c r="CP148" s="142"/>
      <c r="CQ148" s="142"/>
      <c r="CR148" s="142"/>
      <c r="CS148" s="142"/>
      <c r="CT148" s="142"/>
      <c r="CU148" s="142"/>
      <c r="CV148" s="142"/>
      <c r="CW148" s="142"/>
      <c r="CX148" s="142"/>
      <c r="CY148" s="142"/>
      <c r="CZ148" s="142"/>
      <c r="DA148" s="144"/>
    </row>
    <row r="149" spans="1:105" ht="20" customHeight="1">
      <c r="A149" s="18">
        <f>ROW()</f>
        <v>149</v>
      </c>
      <c r="B149" s="26" t="str">
        <f t="shared" si="2"/>
        <v/>
      </c>
      <c r="C149" s="140"/>
      <c r="D149" s="141"/>
      <c r="E149" s="141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  <c r="BS149" s="142"/>
      <c r="BT149" s="142"/>
      <c r="BU149" s="142"/>
      <c r="BV149" s="142"/>
      <c r="BW149" s="142"/>
      <c r="BX149" s="142"/>
      <c r="BY149" s="142"/>
      <c r="BZ149" s="142"/>
      <c r="CA149" s="142"/>
      <c r="CB149" s="142"/>
      <c r="CC149" s="142"/>
      <c r="CD149" s="142"/>
      <c r="CE149" s="142"/>
      <c r="CF149" s="142"/>
      <c r="CG149" s="142"/>
      <c r="CH149" s="142"/>
      <c r="CI149" s="142"/>
      <c r="CJ149" s="142"/>
      <c r="CK149" s="142"/>
      <c r="CL149" s="142"/>
      <c r="CM149" s="142"/>
      <c r="CN149" s="142"/>
      <c r="CO149" s="142"/>
      <c r="CP149" s="142"/>
      <c r="CQ149" s="142"/>
      <c r="CR149" s="142"/>
      <c r="CS149" s="142"/>
      <c r="CT149" s="142"/>
      <c r="CU149" s="142"/>
      <c r="CV149" s="142"/>
      <c r="CW149" s="142"/>
      <c r="CX149" s="142"/>
      <c r="CY149" s="142"/>
      <c r="CZ149" s="142"/>
      <c r="DA149" s="144"/>
    </row>
    <row r="150" spans="1:105" ht="20" customHeight="1">
      <c r="A150" s="18">
        <f>ROW()</f>
        <v>150</v>
      </c>
      <c r="B150" s="26" t="str">
        <f t="shared" si="2"/>
        <v/>
      </c>
      <c r="C150" s="140"/>
      <c r="D150" s="141"/>
      <c r="E150" s="141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  <c r="BS150" s="142"/>
      <c r="BT150" s="142"/>
      <c r="BU150" s="142"/>
      <c r="BV150" s="142"/>
      <c r="BW150" s="142"/>
      <c r="BX150" s="142"/>
      <c r="BY150" s="142"/>
      <c r="BZ150" s="142"/>
      <c r="CA150" s="142"/>
      <c r="CB150" s="142"/>
      <c r="CC150" s="142"/>
      <c r="CD150" s="142"/>
      <c r="CE150" s="142"/>
      <c r="CF150" s="142"/>
      <c r="CG150" s="142"/>
      <c r="CH150" s="142"/>
      <c r="CI150" s="142"/>
      <c r="CJ150" s="142"/>
      <c r="CK150" s="142"/>
      <c r="CL150" s="142"/>
      <c r="CM150" s="142"/>
      <c r="CN150" s="142"/>
      <c r="CO150" s="142"/>
      <c r="CP150" s="142"/>
      <c r="CQ150" s="142"/>
      <c r="CR150" s="142"/>
      <c r="CS150" s="142"/>
      <c r="CT150" s="142"/>
      <c r="CU150" s="142"/>
      <c r="CV150" s="142"/>
      <c r="CW150" s="142"/>
      <c r="CX150" s="142"/>
      <c r="CY150" s="142"/>
      <c r="CZ150" s="142"/>
      <c r="DA150" s="144"/>
    </row>
    <row r="151" spans="1:105" ht="20" customHeight="1">
      <c r="A151" s="18">
        <f>ROW()</f>
        <v>151</v>
      </c>
      <c r="B151" s="26" t="str">
        <f t="shared" si="2"/>
        <v/>
      </c>
      <c r="C151" s="140"/>
      <c r="D151" s="141"/>
      <c r="E151" s="141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  <c r="BS151" s="142"/>
      <c r="BT151" s="142"/>
      <c r="BU151" s="142"/>
      <c r="BV151" s="142"/>
      <c r="BW151" s="142"/>
      <c r="BX151" s="142"/>
      <c r="BY151" s="142"/>
      <c r="BZ151" s="142"/>
      <c r="CA151" s="142"/>
      <c r="CB151" s="142"/>
      <c r="CC151" s="142"/>
      <c r="CD151" s="142"/>
      <c r="CE151" s="142"/>
      <c r="CF151" s="142"/>
      <c r="CG151" s="142"/>
      <c r="CH151" s="142"/>
      <c r="CI151" s="142"/>
      <c r="CJ151" s="142"/>
      <c r="CK151" s="142"/>
      <c r="CL151" s="142"/>
      <c r="CM151" s="142"/>
      <c r="CN151" s="142"/>
      <c r="CO151" s="142"/>
      <c r="CP151" s="142"/>
      <c r="CQ151" s="142"/>
      <c r="CR151" s="142"/>
      <c r="CS151" s="142"/>
      <c r="CT151" s="142"/>
      <c r="CU151" s="142"/>
      <c r="CV151" s="142"/>
      <c r="CW151" s="142"/>
      <c r="CX151" s="142"/>
      <c r="CY151" s="142"/>
      <c r="CZ151" s="142"/>
      <c r="DA151" s="144"/>
    </row>
    <row r="152" spans="1:105" ht="20" customHeight="1">
      <c r="A152" s="18">
        <f>ROW()</f>
        <v>152</v>
      </c>
      <c r="B152" s="26" t="str">
        <f t="shared" si="2"/>
        <v/>
      </c>
      <c r="C152" s="140"/>
      <c r="D152" s="141"/>
      <c r="E152" s="141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  <c r="BS152" s="142"/>
      <c r="BT152" s="142"/>
      <c r="BU152" s="142"/>
      <c r="BV152" s="142"/>
      <c r="BW152" s="142"/>
      <c r="BX152" s="142"/>
      <c r="BY152" s="142"/>
      <c r="BZ152" s="142"/>
      <c r="CA152" s="142"/>
      <c r="CB152" s="142"/>
      <c r="CC152" s="142"/>
      <c r="CD152" s="142"/>
      <c r="CE152" s="142"/>
      <c r="CF152" s="142"/>
      <c r="CG152" s="142"/>
      <c r="CH152" s="142"/>
      <c r="CI152" s="142"/>
      <c r="CJ152" s="142"/>
      <c r="CK152" s="142"/>
      <c r="CL152" s="142"/>
      <c r="CM152" s="142"/>
      <c r="CN152" s="142"/>
      <c r="CO152" s="142"/>
      <c r="CP152" s="142"/>
      <c r="CQ152" s="142"/>
      <c r="CR152" s="142"/>
      <c r="CS152" s="142"/>
      <c r="CT152" s="142"/>
      <c r="CU152" s="142"/>
      <c r="CV152" s="142"/>
      <c r="CW152" s="142"/>
      <c r="CX152" s="142"/>
      <c r="CY152" s="142"/>
      <c r="CZ152" s="142"/>
      <c r="DA152" s="144"/>
    </row>
    <row r="153" spans="1:105" ht="20" customHeight="1">
      <c r="A153" s="18">
        <f>ROW()</f>
        <v>153</v>
      </c>
      <c r="B153" s="26" t="str">
        <f t="shared" si="2"/>
        <v/>
      </c>
      <c r="C153" s="140"/>
      <c r="D153" s="141"/>
      <c r="E153" s="141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  <c r="BS153" s="142"/>
      <c r="BT153" s="142"/>
      <c r="BU153" s="142"/>
      <c r="BV153" s="142"/>
      <c r="BW153" s="142"/>
      <c r="BX153" s="142"/>
      <c r="BY153" s="142"/>
      <c r="BZ153" s="142"/>
      <c r="CA153" s="142"/>
      <c r="CB153" s="142"/>
      <c r="CC153" s="142"/>
      <c r="CD153" s="142"/>
      <c r="CE153" s="142"/>
      <c r="CF153" s="142"/>
      <c r="CG153" s="142"/>
      <c r="CH153" s="142"/>
      <c r="CI153" s="142"/>
      <c r="CJ153" s="142"/>
      <c r="CK153" s="142"/>
      <c r="CL153" s="142"/>
      <c r="CM153" s="142"/>
      <c r="CN153" s="142"/>
      <c r="CO153" s="142"/>
      <c r="CP153" s="142"/>
      <c r="CQ153" s="142"/>
      <c r="CR153" s="142"/>
      <c r="CS153" s="142"/>
      <c r="CT153" s="142"/>
      <c r="CU153" s="142"/>
      <c r="CV153" s="142"/>
      <c r="CW153" s="142"/>
      <c r="CX153" s="142"/>
      <c r="CY153" s="142"/>
      <c r="CZ153" s="142"/>
      <c r="DA153" s="144"/>
    </row>
    <row r="154" spans="1:105" ht="20" customHeight="1">
      <c r="A154" s="18">
        <f>ROW()</f>
        <v>154</v>
      </c>
      <c r="B154" s="26" t="str">
        <f t="shared" si="2"/>
        <v/>
      </c>
      <c r="C154" s="140"/>
      <c r="D154" s="141"/>
      <c r="E154" s="141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  <c r="BS154" s="142"/>
      <c r="BT154" s="142"/>
      <c r="BU154" s="142"/>
      <c r="BV154" s="142"/>
      <c r="BW154" s="142"/>
      <c r="BX154" s="142"/>
      <c r="BY154" s="142"/>
      <c r="BZ154" s="142"/>
      <c r="CA154" s="142"/>
      <c r="CB154" s="142"/>
      <c r="CC154" s="142"/>
      <c r="CD154" s="142"/>
      <c r="CE154" s="142"/>
      <c r="CF154" s="142"/>
      <c r="CG154" s="142"/>
      <c r="CH154" s="142"/>
      <c r="CI154" s="142"/>
      <c r="CJ154" s="142"/>
      <c r="CK154" s="142"/>
      <c r="CL154" s="142"/>
      <c r="CM154" s="142"/>
      <c r="CN154" s="142"/>
      <c r="CO154" s="142"/>
      <c r="CP154" s="142"/>
      <c r="CQ154" s="142"/>
      <c r="CR154" s="142"/>
      <c r="CS154" s="142"/>
      <c r="CT154" s="142"/>
      <c r="CU154" s="142"/>
      <c r="CV154" s="142"/>
      <c r="CW154" s="142"/>
      <c r="CX154" s="142"/>
      <c r="CY154" s="142"/>
      <c r="CZ154" s="142"/>
      <c r="DA154" s="144"/>
    </row>
    <row r="155" spans="1:105" ht="20" customHeight="1">
      <c r="A155" s="18">
        <f>ROW()</f>
        <v>155</v>
      </c>
      <c r="B155" s="26" t="str">
        <f t="shared" si="2"/>
        <v/>
      </c>
      <c r="C155" s="140"/>
      <c r="D155" s="141"/>
      <c r="E155" s="141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  <c r="BS155" s="142"/>
      <c r="BT155" s="142"/>
      <c r="BU155" s="142"/>
      <c r="BV155" s="142"/>
      <c r="BW155" s="142"/>
      <c r="BX155" s="142"/>
      <c r="BY155" s="142"/>
      <c r="BZ155" s="142"/>
      <c r="CA155" s="142"/>
      <c r="CB155" s="142"/>
      <c r="CC155" s="142"/>
      <c r="CD155" s="142"/>
      <c r="CE155" s="142"/>
      <c r="CF155" s="142"/>
      <c r="CG155" s="142"/>
      <c r="CH155" s="142"/>
      <c r="CI155" s="142"/>
      <c r="CJ155" s="142"/>
      <c r="CK155" s="142"/>
      <c r="CL155" s="142"/>
      <c r="CM155" s="142"/>
      <c r="CN155" s="142"/>
      <c r="CO155" s="142"/>
      <c r="CP155" s="142"/>
      <c r="CQ155" s="142"/>
      <c r="CR155" s="142"/>
      <c r="CS155" s="142"/>
      <c r="CT155" s="142"/>
      <c r="CU155" s="142"/>
      <c r="CV155" s="142"/>
      <c r="CW155" s="142"/>
      <c r="CX155" s="142"/>
      <c r="CY155" s="142"/>
      <c r="CZ155" s="142"/>
      <c r="DA155" s="144"/>
    </row>
    <row r="156" spans="1:105" ht="20" customHeight="1">
      <c r="A156" s="18">
        <f>ROW()</f>
        <v>156</v>
      </c>
      <c r="B156" s="26" t="str">
        <f t="shared" si="2"/>
        <v/>
      </c>
      <c r="C156" s="140"/>
      <c r="D156" s="141"/>
      <c r="E156" s="141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  <c r="AH156" s="142"/>
      <c r="AI156" s="142"/>
      <c r="AJ156" s="142"/>
      <c r="AK156" s="142"/>
      <c r="AL156" s="142"/>
      <c r="AM156" s="142"/>
      <c r="AN156" s="142"/>
      <c r="AO156" s="142"/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  <c r="BE156" s="142"/>
      <c r="BF156" s="142"/>
      <c r="BG156" s="142"/>
      <c r="BH156" s="142"/>
      <c r="BI156" s="142"/>
      <c r="BJ156" s="142"/>
      <c r="BK156" s="142"/>
      <c r="BL156" s="142"/>
      <c r="BM156" s="142"/>
      <c r="BN156" s="142"/>
      <c r="BO156" s="142"/>
      <c r="BP156" s="142"/>
      <c r="BQ156" s="142"/>
      <c r="BR156" s="142"/>
      <c r="BS156" s="142"/>
      <c r="BT156" s="142"/>
      <c r="BU156" s="142"/>
      <c r="BV156" s="142"/>
      <c r="BW156" s="142"/>
      <c r="BX156" s="142"/>
      <c r="BY156" s="142"/>
      <c r="BZ156" s="142"/>
      <c r="CA156" s="142"/>
      <c r="CB156" s="142"/>
      <c r="CC156" s="142"/>
      <c r="CD156" s="142"/>
      <c r="CE156" s="142"/>
      <c r="CF156" s="142"/>
      <c r="CG156" s="142"/>
      <c r="CH156" s="142"/>
      <c r="CI156" s="142"/>
      <c r="CJ156" s="142"/>
      <c r="CK156" s="142"/>
      <c r="CL156" s="142"/>
      <c r="CM156" s="142"/>
      <c r="CN156" s="142"/>
      <c r="CO156" s="142"/>
      <c r="CP156" s="142"/>
      <c r="CQ156" s="142"/>
      <c r="CR156" s="142"/>
      <c r="CS156" s="142"/>
      <c r="CT156" s="142"/>
      <c r="CU156" s="142"/>
      <c r="CV156" s="142"/>
      <c r="CW156" s="142"/>
      <c r="CX156" s="142"/>
      <c r="CY156" s="142"/>
      <c r="CZ156" s="142"/>
      <c r="DA156" s="144"/>
    </row>
    <row r="157" spans="1:105" ht="20" customHeight="1">
      <c r="A157" s="18">
        <f>ROW()</f>
        <v>157</v>
      </c>
      <c r="B157" s="26" t="str">
        <f t="shared" si="2"/>
        <v/>
      </c>
      <c r="C157" s="140"/>
      <c r="D157" s="141"/>
      <c r="E157" s="141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  <c r="BS157" s="142"/>
      <c r="BT157" s="142"/>
      <c r="BU157" s="142"/>
      <c r="BV157" s="142"/>
      <c r="BW157" s="142"/>
      <c r="BX157" s="142"/>
      <c r="BY157" s="142"/>
      <c r="BZ157" s="142"/>
      <c r="CA157" s="142"/>
      <c r="CB157" s="142"/>
      <c r="CC157" s="142"/>
      <c r="CD157" s="142"/>
      <c r="CE157" s="142"/>
      <c r="CF157" s="142"/>
      <c r="CG157" s="142"/>
      <c r="CH157" s="142"/>
      <c r="CI157" s="142"/>
      <c r="CJ157" s="142"/>
      <c r="CK157" s="142"/>
      <c r="CL157" s="142"/>
      <c r="CM157" s="142"/>
      <c r="CN157" s="142"/>
      <c r="CO157" s="142"/>
      <c r="CP157" s="142"/>
      <c r="CQ157" s="142"/>
      <c r="CR157" s="142"/>
      <c r="CS157" s="142"/>
      <c r="CT157" s="142"/>
      <c r="CU157" s="142"/>
      <c r="CV157" s="142"/>
      <c r="CW157" s="142"/>
      <c r="CX157" s="142"/>
      <c r="CY157" s="142"/>
      <c r="CZ157" s="142"/>
      <c r="DA157" s="144"/>
    </row>
    <row r="158" spans="1:105" ht="20" customHeight="1">
      <c r="A158" s="18">
        <f>ROW()</f>
        <v>158</v>
      </c>
      <c r="B158" s="26" t="str">
        <f t="shared" si="2"/>
        <v/>
      </c>
      <c r="C158" s="140"/>
      <c r="D158" s="141"/>
      <c r="E158" s="141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  <c r="BS158" s="142"/>
      <c r="BT158" s="142"/>
      <c r="BU158" s="142"/>
      <c r="BV158" s="142"/>
      <c r="BW158" s="142"/>
      <c r="BX158" s="142"/>
      <c r="BY158" s="142"/>
      <c r="BZ158" s="142"/>
      <c r="CA158" s="142"/>
      <c r="CB158" s="142"/>
      <c r="CC158" s="142"/>
      <c r="CD158" s="142"/>
      <c r="CE158" s="142"/>
      <c r="CF158" s="142"/>
      <c r="CG158" s="142"/>
      <c r="CH158" s="142"/>
      <c r="CI158" s="142"/>
      <c r="CJ158" s="142"/>
      <c r="CK158" s="142"/>
      <c r="CL158" s="142"/>
      <c r="CM158" s="142"/>
      <c r="CN158" s="142"/>
      <c r="CO158" s="142"/>
      <c r="CP158" s="142"/>
      <c r="CQ158" s="142"/>
      <c r="CR158" s="142"/>
      <c r="CS158" s="142"/>
      <c r="CT158" s="142"/>
      <c r="CU158" s="142"/>
      <c r="CV158" s="142"/>
      <c r="CW158" s="142"/>
      <c r="CX158" s="142"/>
      <c r="CY158" s="142"/>
      <c r="CZ158" s="142"/>
      <c r="DA158" s="144"/>
    </row>
    <row r="159" spans="1:105" ht="20" customHeight="1">
      <c r="A159" s="18">
        <f>ROW()</f>
        <v>159</v>
      </c>
      <c r="B159" s="26" t="str">
        <f t="shared" si="2"/>
        <v/>
      </c>
      <c r="C159" s="140"/>
      <c r="D159" s="141"/>
      <c r="E159" s="141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  <c r="BS159" s="142"/>
      <c r="BT159" s="142"/>
      <c r="BU159" s="142"/>
      <c r="BV159" s="142"/>
      <c r="BW159" s="142"/>
      <c r="BX159" s="142"/>
      <c r="BY159" s="142"/>
      <c r="BZ159" s="142"/>
      <c r="CA159" s="142"/>
      <c r="CB159" s="142"/>
      <c r="CC159" s="142"/>
      <c r="CD159" s="142"/>
      <c r="CE159" s="142"/>
      <c r="CF159" s="142"/>
      <c r="CG159" s="142"/>
      <c r="CH159" s="142"/>
      <c r="CI159" s="142"/>
      <c r="CJ159" s="142"/>
      <c r="CK159" s="142"/>
      <c r="CL159" s="142"/>
      <c r="CM159" s="142"/>
      <c r="CN159" s="142"/>
      <c r="CO159" s="142"/>
      <c r="CP159" s="142"/>
      <c r="CQ159" s="142"/>
      <c r="CR159" s="142"/>
      <c r="CS159" s="142"/>
      <c r="CT159" s="142"/>
      <c r="CU159" s="142"/>
      <c r="CV159" s="142"/>
      <c r="CW159" s="142"/>
      <c r="CX159" s="142"/>
      <c r="CY159" s="142"/>
      <c r="CZ159" s="142"/>
      <c r="DA159" s="144"/>
    </row>
    <row r="160" spans="1:105" ht="20" customHeight="1">
      <c r="A160" s="18">
        <f>ROW()</f>
        <v>160</v>
      </c>
      <c r="B160" s="26" t="str">
        <f t="shared" si="2"/>
        <v/>
      </c>
      <c r="C160" s="140"/>
      <c r="D160" s="141"/>
      <c r="E160" s="141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  <c r="BS160" s="142"/>
      <c r="BT160" s="142"/>
      <c r="BU160" s="142"/>
      <c r="BV160" s="142"/>
      <c r="BW160" s="142"/>
      <c r="BX160" s="142"/>
      <c r="BY160" s="142"/>
      <c r="BZ160" s="142"/>
      <c r="CA160" s="142"/>
      <c r="CB160" s="142"/>
      <c r="CC160" s="142"/>
      <c r="CD160" s="142"/>
      <c r="CE160" s="142"/>
      <c r="CF160" s="142"/>
      <c r="CG160" s="142"/>
      <c r="CH160" s="142"/>
      <c r="CI160" s="142"/>
      <c r="CJ160" s="142"/>
      <c r="CK160" s="142"/>
      <c r="CL160" s="142"/>
      <c r="CM160" s="142"/>
      <c r="CN160" s="142"/>
      <c r="CO160" s="142"/>
      <c r="CP160" s="142"/>
      <c r="CQ160" s="142"/>
      <c r="CR160" s="142"/>
      <c r="CS160" s="142"/>
      <c r="CT160" s="142"/>
      <c r="CU160" s="142"/>
      <c r="CV160" s="142"/>
      <c r="CW160" s="142"/>
      <c r="CX160" s="142"/>
      <c r="CY160" s="142"/>
      <c r="CZ160" s="142"/>
      <c r="DA160" s="144"/>
    </row>
    <row r="161" spans="1:105" ht="20" customHeight="1">
      <c r="A161" s="18">
        <f>ROW()</f>
        <v>161</v>
      </c>
      <c r="B161" s="26" t="str">
        <f t="shared" si="2"/>
        <v/>
      </c>
      <c r="C161" s="140"/>
      <c r="D161" s="141"/>
      <c r="E161" s="141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  <c r="BS161" s="142"/>
      <c r="BT161" s="142"/>
      <c r="BU161" s="142"/>
      <c r="BV161" s="142"/>
      <c r="BW161" s="142"/>
      <c r="BX161" s="142"/>
      <c r="BY161" s="142"/>
      <c r="BZ161" s="142"/>
      <c r="CA161" s="142"/>
      <c r="CB161" s="142"/>
      <c r="CC161" s="142"/>
      <c r="CD161" s="142"/>
      <c r="CE161" s="142"/>
      <c r="CF161" s="142"/>
      <c r="CG161" s="142"/>
      <c r="CH161" s="142"/>
      <c r="CI161" s="142"/>
      <c r="CJ161" s="142"/>
      <c r="CK161" s="142"/>
      <c r="CL161" s="142"/>
      <c r="CM161" s="142"/>
      <c r="CN161" s="142"/>
      <c r="CO161" s="142"/>
      <c r="CP161" s="142"/>
      <c r="CQ161" s="142"/>
      <c r="CR161" s="142"/>
      <c r="CS161" s="142"/>
      <c r="CT161" s="142"/>
      <c r="CU161" s="142"/>
      <c r="CV161" s="142"/>
      <c r="CW161" s="142"/>
      <c r="CX161" s="142"/>
      <c r="CY161" s="142"/>
      <c r="CZ161" s="142"/>
      <c r="DA161" s="144"/>
    </row>
    <row r="162" spans="1:105" ht="20" customHeight="1">
      <c r="A162" s="18">
        <f>ROW()</f>
        <v>162</v>
      </c>
      <c r="B162" s="26" t="str">
        <f t="shared" si="2"/>
        <v/>
      </c>
      <c r="C162" s="140"/>
      <c r="D162" s="141"/>
      <c r="E162" s="141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  <c r="BS162" s="142"/>
      <c r="BT162" s="142"/>
      <c r="BU162" s="142"/>
      <c r="BV162" s="142"/>
      <c r="BW162" s="142"/>
      <c r="BX162" s="142"/>
      <c r="BY162" s="142"/>
      <c r="BZ162" s="142"/>
      <c r="CA162" s="142"/>
      <c r="CB162" s="142"/>
      <c r="CC162" s="142"/>
      <c r="CD162" s="142"/>
      <c r="CE162" s="142"/>
      <c r="CF162" s="142"/>
      <c r="CG162" s="142"/>
      <c r="CH162" s="142"/>
      <c r="CI162" s="142"/>
      <c r="CJ162" s="142"/>
      <c r="CK162" s="142"/>
      <c r="CL162" s="142"/>
      <c r="CM162" s="142"/>
      <c r="CN162" s="142"/>
      <c r="CO162" s="142"/>
      <c r="CP162" s="142"/>
      <c r="CQ162" s="142"/>
      <c r="CR162" s="142"/>
      <c r="CS162" s="142"/>
      <c r="CT162" s="142"/>
      <c r="CU162" s="142"/>
      <c r="CV162" s="142"/>
      <c r="CW162" s="142"/>
      <c r="CX162" s="142"/>
      <c r="CY162" s="142"/>
      <c r="CZ162" s="142"/>
      <c r="DA162" s="144"/>
    </row>
    <row r="163" spans="1:105" ht="20" customHeight="1">
      <c r="A163" s="18">
        <f>ROW()</f>
        <v>163</v>
      </c>
      <c r="B163" s="26" t="str">
        <f t="shared" si="2"/>
        <v/>
      </c>
      <c r="C163" s="140"/>
      <c r="D163" s="141"/>
      <c r="E163" s="141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  <c r="BS163" s="142"/>
      <c r="BT163" s="142"/>
      <c r="BU163" s="142"/>
      <c r="BV163" s="142"/>
      <c r="BW163" s="142"/>
      <c r="BX163" s="142"/>
      <c r="BY163" s="142"/>
      <c r="BZ163" s="142"/>
      <c r="CA163" s="142"/>
      <c r="CB163" s="142"/>
      <c r="CC163" s="142"/>
      <c r="CD163" s="142"/>
      <c r="CE163" s="142"/>
      <c r="CF163" s="142"/>
      <c r="CG163" s="142"/>
      <c r="CH163" s="142"/>
      <c r="CI163" s="142"/>
      <c r="CJ163" s="142"/>
      <c r="CK163" s="142"/>
      <c r="CL163" s="142"/>
      <c r="CM163" s="142"/>
      <c r="CN163" s="142"/>
      <c r="CO163" s="142"/>
      <c r="CP163" s="142"/>
      <c r="CQ163" s="142"/>
      <c r="CR163" s="142"/>
      <c r="CS163" s="142"/>
      <c r="CT163" s="142"/>
      <c r="CU163" s="142"/>
      <c r="CV163" s="142"/>
      <c r="CW163" s="142"/>
      <c r="CX163" s="142"/>
      <c r="CY163" s="142"/>
      <c r="CZ163" s="142"/>
      <c r="DA163" s="144"/>
    </row>
    <row r="164" spans="1:105" ht="20" customHeight="1">
      <c r="A164" s="18">
        <f>ROW()</f>
        <v>164</v>
      </c>
      <c r="B164" s="26" t="str">
        <f t="shared" si="2"/>
        <v/>
      </c>
      <c r="C164" s="140"/>
      <c r="D164" s="141"/>
      <c r="E164" s="141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  <c r="BS164" s="142"/>
      <c r="BT164" s="142"/>
      <c r="BU164" s="142"/>
      <c r="BV164" s="142"/>
      <c r="BW164" s="142"/>
      <c r="BX164" s="142"/>
      <c r="BY164" s="142"/>
      <c r="BZ164" s="142"/>
      <c r="CA164" s="142"/>
      <c r="CB164" s="142"/>
      <c r="CC164" s="142"/>
      <c r="CD164" s="142"/>
      <c r="CE164" s="142"/>
      <c r="CF164" s="142"/>
      <c r="CG164" s="142"/>
      <c r="CH164" s="142"/>
      <c r="CI164" s="142"/>
      <c r="CJ164" s="142"/>
      <c r="CK164" s="142"/>
      <c r="CL164" s="142"/>
      <c r="CM164" s="142"/>
      <c r="CN164" s="142"/>
      <c r="CO164" s="142"/>
      <c r="CP164" s="142"/>
      <c r="CQ164" s="142"/>
      <c r="CR164" s="142"/>
      <c r="CS164" s="142"/>
      <c r="CT164" s="142"/>
      <c r="CU164" s="142"/>
      <c r="CV164" s="142"/>
      <c r="CW164" s="142"/>
      <c r="CX164" s="142"/>
      <c r="CY164" s="142"/>
      <c r="CZ164" s="142"/>
      <c r="DA164" s="144"/>
    </row>
    <row r="165" spans="1:105" ht="20" customHeight="1">
      <c r="A165" s="18">
        <f>ROW()</f>
        <v>165</v>
      </c>
      <c r="B165" s="26" t="str">
        <f t="shared" si="2"/>
        <v/>
      </c>
      <c r="C165" s="140"/>
      <c r="D165" s="141"/>
      <c r="E165" s="141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  <c r="BS165" s="142"/>
      <c r="BT165" s="142"/>
      <c r="BU165" s="142"/>
      <c r="BV165" s="142"/>
      <c r="BW165" s="142"/>
      <c r="BX165" s="142"/>
      <c r="BY165" s="142"/>
      <c r="BZ165" s="142"/>
      <c r="CA165" s="142"/>
      <c r="CB165" s="142"/>
      <c r="CC165" s="142"/>
      <c r="CD165" s="142"/>
      <c r="CE165" s="142"/>
      <c r="CF165" s="142"/>
      <c r="CG165" s="142"/>
      <c r="CH165" s="142"/>
      <c r="CI165" s="142"/>
      <c r="CJ165" s="142"/>
      <c r="CK165" s="142"/>
      <c r="CL165" s="142"/>
      <c r="CM165" s="142"/>
      <c r="CN165" s="142"/>
      <c r="CO165" s="142"/>
      <c r="CP165" s="142"/>
      <c r="CQ165" s="142"/>
      <c r="CR165" s="142"/>
      <c r="CS165" s="142"/>
      <c r="CT165" s="142"/>
      <c r="CU165" s="142"/>
      <c r="CV165" s="142"/>
      <c r="CW165" s="142"/>
      <c r="CX165" s="142"/>
      <c r="CY165" s="142"/>
      <c r="CZ165" s="142"/>
      <c r="DA165" s="144"/>
    </row>
    <row r="166" spans="1:105" ht="20" customHeight="1">
      <c r="A166" s="18">
        <f>ROW()</f>
        <v>166</v>
      </c>
      <c r="B166" s="26" t="str">
        <f t="shared" si="2"/>
        <v/>
      </c>
      <c r="C166" s="140"/>
      <c r="D166" s="141"/>
      <c r="E166" s="141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  <c r="BS166" s="142"/>
      <c r="BT166" s="142"/>
      <c r="BU166" s="142"/>
      <c r="BV166" s="142"/>
      <c r="BW166" s="142"/>
      <c r="BX166" s="142"/>
      <c r="BY166" s="142"/>
      <c r="BZ166" s="142"/>
      <c r="CA166" s="142"/>
      <c r="CB166" s="142"/>
      <c r="CC166" s="142"/>
      <c r="CD166" s="142"/>
      <c r="CE166" s="142"/>
      <c r="CF166" s="142"/>
      <c r="CG166" s="142"/>
      <c r="CH166" s="142"/>
      <c r="CI166" s="142"/>
      <c r="CJ166" s="142"/>
      <c r="CK166" s="142"/>
      <c r="CL166" s="142"/>
      <c r="CM166" s="142"/>
      <c r="CN166" s="142"/>
      <c r="CO166" s="142"/>
      <c r="CP166" s="142"/>
      <c r="CQ166" s="142"/>
      <c r="CR166" s="142"/>
      <c r="CS166" s="142"/>
      <c r="CT166" s="142"/>
      <c r="CU166" s="142"/>
      <c r="CV166" s="142"/>
      <c r="CW166" s="142"/>
      <c r="CX166" s="142"/>
      <c r="CY166" s="142"/>
      <c r="CZ166" s="142"/>
      <c r="DA166" s="144"/>
    </row>
    <row r="167" spans="1:105" ht="20" customHeight="1">
      <c r="A167" s="18">
        <f>ROW()</f>
        <v>167</v>
      </c>
      <c r="B167" s="26" t="str">
        <f t="shared" si="2"/>
        <v/>
      </c>
      <c r="C167" s="140"/>
      <c r="D167" s="141"/>
      <c r="E167" s="141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  <c r="BS167" s="142"/>
      <c r="BT167" s="142"/>
      <c r="BU167" s="142"/>
      <c r="BV167" s="142"/>
      <c r="BW167" s="142"/>
      <c r="BX167" s="142"/>
      <c r="BY167" s="142"/>
      <c r="BZ167" s="142"/>
      <c r="CA167" s="142"/>
      <c r="CB167" s="142"/>
      <c r="CC167" s="142"/>
      <c r="CD167" s="142"/>
      <c r="CE167" s="142"/>
      <c r="CF167" s="142"/>
      <c r="CG167" s="142"/>
      <c r="CH167" s="142"/>
      <c r="CI167" s="142"/>
      <c r="CJ167" s="142"/>
      <c r="CK167" s="142"/>
      <c r="CL167" s="142"/>
      <c r="CM167" s="142"/>
      <c r="CN167" s="142"/>
      <c r="CO167" s="142"/>
      <c r="CP167" s="142"/>
      <c r="CQ167" s="142"/>
      <c r="CR167" s="142"/>
      <c r="CS167" s="142"/>
      <c r="CT167" s="142"/>
      <c r="CU167" s="142"/>
      <c r="CV167" s="142"/>
      <c r="CW167" s="142"/>
      <c r="CX167" s="142"/>
      <c r="CY167" s="142"/>
      <c r="CZ167" s="142"/>
      <c r="DA167" s="144"/>
    </row>
    <row r="168" spans="1:105" ht="20" customHeight="1">
      <c r="A168" s="18">
        <f>ROW()</f>
        <v>168</v>
      </c>
      <c r="B168" s="26" t="str">
        <f t="shared" si="2"/>
        <v/>
      </c>
      <c r="C168" s="140"/>
      <c r="D168" s="141"/>
      <c r="E168" s="141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  <c r="BS168" s="142"/>
      <c r="BT168" s="142"/>
      <c r="BU168" s="142"/>
      <c r="BV168" s="142"/>
      <c r="BW168" s="142"/>
      <c r="BX168" s="142"/>
      <c r="BY168" s="142"/>
      <c r="BZ168" s="142"/>
      <c r="CA168" s="142"/>
      <c r="CB168" s="142"/>
      <c r="CC168" s="142"/>
      <c r="CD168" s="142"/>
      <c r="CE168" s="142"/>
      <c r="CF168" s="142"/>
      <c r="CG168" s="142"/>
      <c r="CH168" s="142"/>
      <c r="CI168" s="142"/>
      <c r="CJ168" s="142"/>
      <c r="CK168" s="142"/>
      <c r="CL168" s="142"/>
      <c r="CM168" s="142"/>
      <c r="CN168" s="142"/>
      <c r="CO168" s="142"/>
      <c r="CP168" s="142"/>
      <c r="CQ168" s="142"/>
      <c r="CR168" s="142"/>
      <c r="CS168" s="142"/>
      <c r="CT168" s="142"/>
      <c r="CU168" s="142"/>
      <c r="CV168" s="142"/>
      <c r="CW168" s="142"/>
      <c r="CX168" s="142"/>
      <c r="CY168" s="142"/>
      <c r="CZ168" s="142"/>
      <c r="DA168" s="144"/>
    </row>
    <row r="169" spans="1:105" ht="20" customHeight="1">
      <c r="A169" s="18">
        <f>ROW()</f>
        <v>169</v>
      </c>
      <c r="B169" s="26" t="str">
        <f t="shared" si="2"/>
        <v/>
      </c>
      <c r="C169" s="140"/>
      <c r="D169" s="141"/>
      <c r="E169" s="141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  <c r="BS169" s="142"/>
      <c r="BT169" s="142"/>
      <c r="BU169" s="142"/>
      <c r="BV169" s="142"/>
      <c r="BW169" s="142"/>
      <c r="BX169" s="142"/>
      <c r="BY169" s="142"/>
      <c r="BZ169" s="142"/>
      <c r="CA169" s="142"/>
      <c r="CB169" s="142"/>
      <c r="CC169" s="142"/>
      <c r="CD169" s="142"/>
      <c r="CE169" s="142"/>
      <c r="CF169" s="142"/>
      <c r="CG169" s="142"/>
      <c r="CH169" s="142"/>
      <c r="CI169" s="142"/>
      <c r="CJ169" s="142"/>
      <c r="CK169" s="142"/>
      <c r="CL169" s="142"/>
      <c r="CM169" s="142"/>
      <c r="CN169" s="142"/>
      <c r="CO169" s="142"/>
      <c r="CP169" s="142"/>
      <c r="CQ169" s="142"/>
      <c r="CR169" s="142"/>
      <c r="CS169" s="142"/>
      <c r="CT169" s="142"/>
      <c r="CU169" s="142"/>
      <c r="CV169" s="142"/>
      <c r="CW169" s="142"/>
      <c r="CX169" s="142"/>
      <c r="CY169" s="142"/>
      <c r="CZ169" s="142"/>
      <c r="DA169" s="144"/>
    </row>
    <row r="170" spans="1:105" ht="20" customHeight="1">
      <c r="A170" s="18">
        <f>ROW()</f>
        <v>170</v>
      </c>
      <c r="B170" s="26" t="str">
        <f t="shared" si="2"/>
        <v/>
      </c>
      <c r="C170" s="140"/>
      <c r="D170" s="141"/>
      <c r="E170" s="141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  <c r="BS170" s="142"/>
      <c r="BT170" s="142"/>
      <c r="BU170" s="142"/>
      <c r="BV170" s="142"/>
      <c r="BW170" s="142"/>
      <c r="BX170" s="142"/>
      <c r="BY170" s="142"/>
      <c r="BZ170" s="142"/>
      <c r="CA170" s="142"/>
      <c r="CB170" s="142"/>
      <c r="CC170" s="142"/>
      <c r="CD170" s="142"/>
      <c r="CE170" s="142"/>
      <c r="CF170" s="142"/>
      <c r="CG170" s="142"/>
      <c r="CH170" s="142"/>
      <c r="CI170" s="142"/>
      <c r="CJ170" s="142"/>
      <c r="CK170" s="142"/>
      <c r="CL170" s="142"/>
      <c r="CM170" s="142"/>
      <c r="CN170" s="142"/>
      <c r="CO170" s="142"/>
      <c r="CP170" s="142"/>
      <c r="CQ170" s="142"/>
      <c r="CR170" s="142"/>
      <c r="CS170" s="142"/>
      <c r="CT170" s="142"/>
      <c r="CU170" s="142"/>
      <c r="CV170" s="142"/>
      <c r="CW170" s="142"/>
      <c r="CX170" s="142"/>
      <c r="CY170" s="142"/>
      <c r="CZ170" s="142"/>
      <c r="DA170" s="144"/>
    </row>
    <row r="171" spans="1:105" ht="20" customHeight="1">
      <c r="A171" s="18">
        <f>ROW()</f>
        <v>171</v>
      </c>
      <c r="B171" s="26" t="str">
        <f t="shared" si="2"/>
        <v/>
      </c>
      <c r="C171" s="140"/>
      <c r="D171" s="141"/>
      <c r="E171" s="141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  <c r="BS171" s="142"/>
      <c r="BT171" s="142"/>
      <c r="BU171" s="142"/>
      <c r="BV171" s="142"/>
      <c r="BW171" s="142"/>
      <c r="BX171" s="142"/>
      <c r="BY171" s="142"/>
      <c r="BZ171" s="142"/>
      <c r="CA171" s="142"/>
      <c r="CB171" s="142"/>
      <c r="CC171" s="142"/>
      <c r="CD171" s="142"/>
      <c r="CE171" s="142"/>
      <c r="CF171" s="142"/>
      <c r="CG171" s="142"/>
      <c r="CH171" s="142"/>
      <c r="CI171" s="142"/>
      <c r="CJ171" s="142"/>
      <c r="CK171" s="142"/>
      <c r="CL171" s="142"/>
      <c r="CM171" s="142"/>
      <c r="CN171" s="142"/>
      <c r="CO171" s="142"/>
      <c r="CP171" s="142"/>
      <c r="CQ171" s="142"/>
      <c r="CR171" s="142"/>
      <c r="CS171" s="142"/>
      <c r="CT171" s="142"/>
      <c r="CU171" s="142"/>
      <c r="CV171" s="142"/>
      <c r="CW171" s="142"/>
      <c r="CX171" s="142"/>
      <c r="CY171" s="142"/>
      <c r="CZ171" s="142"/>
      <c r="DA171" s="144"/>
    </row>
    <row r="172" spans="1:105" ht="20" customHeight="1">
      <c r="A172" s="18">
        <f>ROW()</f>
        <v>172</v>
      </c>
      <c r="B172" s="26" t="str">
        <f t="shared" si="2"/>
        <v/>
      </c>
      <c r="C172" s="140"/>
      <c r="D172" s="141"/>
      <c r="E172" s="141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  <c r="BS172" s="142"/>
      <c r="BT172" s="142"/>
      <c r="BU172" s="142"/>
      <c r="BV172" s="142"/>
      <c r="BW172" s="142"/>
      <c r="BX172" s="142"/>
      <c r="BY172" s="142"/>
      <c r="BZ172" s="142"/>
      <c r="CA172" s="142"/>
      <c r="CB172" s="142"/>
      <c r="CC172" s="142"/>
      <c r="CD172" s="142"/>
      <c r="CE172" s="142"/>
      <c r="CF172" s="142"/>
      <c r="CG172" s="142"/>
      <c r="CH172" s="142"/>
      <c r="CI172" s="142"/>
      <c r="CJ172" s="142"/>
      <c r="CK172" s="142"/>
      <c r="CL172" s="142"/>
      <c r="CM172" s="142"/>
      <c r="CN172" s="142"/>
      <c r="CO172" s="142"/>
      <c r="CP172" s="142"/>
      <c r="CQ172" s="142"/>
      <c r="CR172" s="142"/>
      <c r="CS172" s="142"/>
      <c r="CT172" s="142"/>
      <c r="CU172" s="142"/>
      <c r="CV172" s="142"/>
      <c r="CW172" s="142"/>
      <c r="CX172" s="142"/>
      <c r="CY172" s="142"/>
      <c r="CZ172" s="142"/>
      <c r="DA172" s="144"/>
    </row>
    <row r="173" spans="1:105" ht="20" customHeight="1">
      <c r="A173" s="18">
        <f>ROW()</f>
        <v>173</v>
      </c>
      <c r="B173" s="26" t="str">
        <f t="shared" si="2"/>
        <v/>
      </c>
      <c r="C173" s="140"/>
      <c r="D173" s="141"/>
      <c r="E173" s="141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  <c r="AH173" s="142"/>
      <c r="AI173" s="142"/>
      <c r="AJ173" s="142"/>
      <c r="AK173" s="142"/>
      <c r="AL173" s="142"/>
      <c r="AM173" s="142"/>
      <c r="AN173" s="142"/>
      <c r="AO173" s="142"/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  <c r="BE173" s="142"/>
      <c r="BF173" s="142"/>
      <c r="BG173" s="142"/>
      <c r="BH173" s="142"/>
      <c r="BI173" s="142"/>
      <c r="BJ173" s="142"/>
      <c r="BK173" s="142"/>
      <c r="BL173" s="142"/>
      <c r="BM173" s="142"/>
      <c r="BN173" s="142"/>
      <c r="BO173" s="142"/>
      <c r="BP173" s="142"/>
      <c r="BQ173" s="142"/>
      <c r="BR173" s="142"/>
      <c r="BS173" s="142"/>
      <c r="BT173" s="142"/>
      <c r="BU173" s="142"/>
      <c r="BV173" s="142"/>
      <c r="BW173" s="142"/>
      <c r="BX173" s="142"/>
      <c r="BY173" s="142"/>
      <c r="BZ173" s="142"/>
      <c r="CA173" s="142"/>
      <c r="CB173" s="142"/>
      <c r="CC173" s="142"/>
      <c r="CD173" s="142"/>
      <c r="CE173" s="142"/>
      <c r="CF173" s="142"/>
      <c r="CG173" s="142"/>
      <c r="CH173" s="142"/>
      <c r="CI173" s="142"/>
      <c r="CJ173" s="142"/>
      <c r="CK173" s="142"/>
      <c r="CL173" s="142"/>
      <c r="CM173" s="142"/>
      <c r="CN173" s="142"/>
      <c r="CO173" s="142"/>
      <c r="CP173" s="142"/>
      <c r="CQ173" s="142"/>
      <c r="CR173" s="142"/>
      <c r="CS173" s="142"/>
      <c r="CT173" s="142"/>
      <c r="CU173" s="142"/>
      <c r="CV173" s="142"/>
      <c r="CW173" s="142"/>
      <c r="CX173" s="142"/>
      <c r="CY173" s="142"/>
      <c r="CZ173" s="142"/>
      <c r="DA173" s="144"/>
    </row>
    <row r="174" spans="1:105" ht="20" customHeight="1">
      <c r="A174" s="18">
        <f>ROW()</f>
        <v>174</v>
      </c>
      <c r="B174" s="26" t="str">
        <f t="shared" si="2"/>
        <v/>
      </c>
      <c r="C174" s="140"/>
      <c r="D174" s="141"/>
      <c r="E174" s="141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  <c r="BS174" s="142"/>
      <c r="BT174" s="142"/>
      <c r="BU174" s="142"/>
      <c r="BV174" s="142"/>
      <c r="BW174" s="142"/>
      <c r="BX174" s="142"/>
      <c r="BY174" s="142"/>
      <c r="BZ174" s="142"/>
      <c r="CA174" s="142"/>
      <c r="CB174" s="142"/>
      <c r="CC174" s="142"/>
      <c r="CD174" s="142"/>
      <c r="CE174" s="142"/>
      <c r="CF174" s="142"/>
      <c r="CG174" s="142"/>
      <c r="CH174" s="142"/>
      <c r="CI174" s="142"/>
      <c r="CJ174" s="142"/>
      <c r="CK174" s="142"/>
      <c r="CL174" s="142"/>
      <c r="CM174" s="142"/>
      <c r="CN174" s="142"/>
      <c r="CO174" s="142"/>
      <c r="CP174" s="142"/>
      <c r="CQ174" s="142"/>
      <c r="CR174" s="142"/>
      <c r="CS174" s="142"/>
      <c r="CT174" s="142"/>
      <c r="CU174" s="142"/>
      <c r="CV174" s="142"/>
      <c r="CW174" s="142"/>
      <c r="CX174" s="142"/>
      <c r="CY174" s="142"/>
      <c r="CZ174" s="142"/>
      <c r="DA174" s="144"/>
    </row>
    <row r="175" spans="1:105" ht="20" customHeight="1">
      <c r="A175" s="18">
        <f>ROW()</f>
        <v>175</v>
      </c>
      <c r="B175" s="26" t="str">
        <f t="shared" si="2"/>
        <v/>
      </c>
      <c r="C175" s="140"/>
      <c r="D175" s="141"/>
      <c r="E175" s="141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  <c r="BS175" s="142"/>
      <c r="BT175" s="142"/>
      <c r="BU175" s="142"/>
      <c r="BV175" s="142"/>
      <c r="BW175" s="142"/>
      <c r="BX175" s="142"/>
      <c r="BY175" s="142"/>
      <c r="BZ175" s="142"/>
      <c r="CA175" s="142"/>
      <c r="CB175" s="142"/>
      <c r="CC175" s="142"/>
      <c r="CD175" s="142"/>
      <c r="CE175" s="142"/>
      <c r="CF175" s="142"/>
      <c r="CG175" s="142"/>
      <c r="CH175" s="142"/>
      <c r="CI175" s="142"/>
      <c r="CJ175" s="142"/>
      <c r="CK175" s="142"/>
      <c r="CL175" s="142"/>
      <c r="CM175" s="142"/>
      <c r="CN175" s="142"/>
      <c r="CO175" s="142"/>
      <c r="CP175" s="142"/>
      <c r="CQ175" s="142"/>
      <c r="CR175" s="142"/>
      <c r="CS175" s="142"/>
      <c r="CT175" s="142"/>
      <c r="CU175" s="142"/>
      <c r="CV175" s="142"/>
      <c r="CW175" s="142"/>
      <c r="CX175" s="142"/>
      <c r="CY175" s="142"/>
      <c r="CZ175" s="142"/>
      <c r="DA175" s="144"/>
    </row>
    <row r="176" spans="1:105" ht="20" customHeight="1">
      <c r="A176" s="18">
        <f>ROW()</f>
        <v>176</v>
      </c>
      <c r="B176" s="26" t="str">
        <f t="shared" si="2"/>
        <v/>
      </c>
      <c r="C176" s="140"/>
      <c r="D176" s="141"/>
      <c r="E176" s="141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  <c r="BS176" s="142"/>
      <c r="BT176" s="142"/>
      <c r="BU176" s="142"/>
      <c r="BV176" s="142"/>
      <c r="BW176" s="142"/>
      <c r="BX176" s="142"/>
      <c r="BY176" s="142"/>
      <c r="BZ176" s="142"/>
      <c r="CA176" s="142"/>
      <c r="CB176" s="142"/>
      <c r="CC176" s="142"/>
      <c r="CD176" s="142"/>
      <c r="CE176" s="142"/>
      <c r="CF176" s="142"/>
      <c r="CG176" s="142"/>
      <c r="CH176" s="142"/>
      <c r="CI176" s="142"/>
      <c r="CJ176" s="142"/>
      <c r="CK176" s="142"/>
      <c r="CL176" s="142"/>
      <c r="CM176" s="142"/>
      <c r="CN176" s="142"/>
      <c r="CO176" s="142"/>
      <c r="CP176" s="142"/>
      <c r="CQ176" s="142"/>
      <c r="CR176" s="142"/>
      <c r="CS176" s="142"/>
      <c r="CT176" s="142"/>
      <c r="CU176" s="142"/>
      <c r="CV176" s="142"/>
      <c r="CW176" s="142"/>
      <c r="CX176" s="142"/>
      <c r="CY176" s="142"/>
      <c r="CZ176" s="142"/>
      <c r="DA176" s="144"/>
    </row>
    <row r="177" spans="1:105" ht="20" customHeight="1">
      <c r="A177" s="18">
        <f>ROW()</f>
        <v>177</v>
      </c>
      <c r="B177" s="26" t="str">
        <f t="shared" si="2"/>
        <v/>
      </c>
      <c r="C177" s="140"/>
      <c r="D177" s="141"/>
      <c r="E177" s="141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  <c r="BS177" s="142"/>
      <c r="BT177" s="142"/>
      <c r="BU177" s="142"/>
      <c r="BV177" s="142"/>
      <c r="BW177" s="142"/>
      <c r="BX177" s="142"/>
      <c r="BY177" s="142"/>
      <c r="BZ177" s="142"/>
      <c r="CA177" s="142"/>
      <c r="CB177" s="142"/>
      <c r="CC177" s="142"/>
      <c r="CD177" s="142"/>
      <c r="CE177" s="142"/>
      <c r="CF177" s="142"/>
      <c r="CG177" s="142"/>
      <c r="CH177" s="142"/>
      <c r="CI177" s="142"/>
      <c r="CJ177" s="142"/>
      <c r="CK177" s="142"/>
      <c r="CL177" s="142"/>
      <c r="CM177" s="142"/>
      <c r="CN177" s="142"/>
      <c r="CO177" s="142"/>
      <c r="CP177" s="142"/>
      <c r="CQ177" s="142"/>
      <c r="CR177" s="142"/>
      <c r="CS177" s="142"/>
      <c r="CT177" s="142"/>
      <c r="CU177" s="142"/>
      <c r="CV177" s="142"/>
      <c r="CW177" s="142"/>
      <c r="CX177" s="142"/>
      <c r="CY177" s="142"/>
      <c r="CZ177" s="142"/>
      <c r="DA177" s="144"/>
    </row>
    <row r="178" spans="1:105" ht="20" customHeight="1">
      <c r="A178" s="18">
        <f>ROW()</f>
        <v>178</v>
      </c>
      <c r="B178" s="26" t="str">
        <f t="shared" si="2"/>
        <v/>
      </c>
      <c r="C178" s="140"/>
      <c r="D178" s="141"/>
      <c r="E178" s="141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  <c r="BS178" s="142"/>
      <c r="BT178" s="142"/>
      <c r="BU178" s="142"/>
      <c r="BV178" s="142"/>
      <c r="BW178" s="142"/>
      <c r="BX178" s="142"/>
      <c r="BY178" s="142"/>
      <c r="BZ178" s="142"/>
      <c r="CA178" s="142"/>
      <c r="CB178" s="142"/>
      <c r="CC178" s="142"/>
      <c r="CD178" s="142"/>
      <c r="CE178" s="142"/>
      <c r="CF178" s="142"/>
      <c r="CG178" s="142"/>
      <c r="CH178" s="142"/>
      <c r="CI178" s="142"/>
      <c r="CJ178" s="142"/>
      <c r="CK178" s="142"/>
      <c r="CL178" s="142"/>
      <c r="CM178" s="142"/>
      <c r="CN178" s="142"/>
      <c r="CO178" s="142"/>
      <c r="CP178" s="142"/>
      <c r="CQ178" s="142"/>
      <c r="CR178" s="142"/>
      <c r="CS178" s="142"/>
      <c r="CT178" s="142"/>
      <c r="CU178" s="142"/>
      <c r="CV178" s="142"/>
      <c r="CW178" s="142"/>
      <c r="CX178" s="142"/>
      <c r="CY178" s="142"/>
      <c r="CZ178" s="142"/>
      <c r="DA178" s="144"/>
    </row>
    <row r="179" spans="1:105" ht="20" customHeight="1">
      <c r="A179" s="18">
        <f>ROW()</f>
        <v>179</v>
      </c>
      <c r="B179" s="26" t="str">
        <f t="shared" si="2"/>
        <v/>
      </c>
      <c r="C179" s="140"/>
      <c r="D179" s="141"/>
      <c r="E179" s="141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2"/>
      <c r="CU179" s="142"/>
      <c r="CV179" s="142"/>
      <c r="CW179" s="142"/>
      <c r="CX179" s="142"/>
      <c r="CY179" s="142"/>
      <c r="CZ179" s="142"/>
      <c r="DA179" s="144"/>
    </row>
    <row r="180" spans="1:105" ht="20" customHeight="1">
      <c r="A180" s="18">
        <f>ROW()</f>
        <v>180</v>
      </c>
      <c r="B180" s="26" t="str">
        <f t="shared" si="2"/>
        <v/>
      </c>
      <c r="C180" s="140"/>
      <c r="D180" s="141"/>
      <c r="E180" s="141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2"/>
      <c r="CU180" s="142"/>
      <c r="CV180" s="142"/>
      <c r="CW180" s="142"/>
      <c r="CX180" s="142"/>
      <c r="CY180" s="142"/>
      <c r="CZ180" s="142"/>
      <c r="DA180" s="144"/>
    </row>
    <row r="181" spans="1:105" ht="20" customHeight="1">
      <c r="A181" s="18">
        <f>ROW()</f>
        <v>181</v>
      </c>
      <c r="B181" s="26" t="str">
        <f t="shared" si="2"/>
        <v/>
      </c>
      <c r="C181" s="140"/>
      <c r="D181" s="141"/>
      <c r="E181" s="141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2"/>
      <c r="CU181" s="142"/>
      <c r="CV181" s="142"/>
      <c r="CW181" s="142"/>
      <c r="CX181" s="142"/>
      <c r="CY181" s="142"/>
      <c r="CZ181" s="142"/>
      <c r="DA181" s="144"/>
    </row>
    <row r="182" spans="1:105" ht="20" customHeight="1">
      <c r="A182" s="18">
        <f>ROW()</f>
        <v>182</v>
      </c>
      <c r="B182" s="26" t="str">
        <f t="shared" si="2"/>
        <v/>
      </c>
      <c r="C182" s="140"/>
      <c r="D182" s="141"/>
      <c r="E182" s="141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2"/>
      <c r="CU182" s="142"/>
      <c r="CV182" s="142"/>
      <c r="CW182" s="142"/>
      <c r="CX182" s="142"/>
      <c r="CY182" s="142"/>
      <c r="CZ182" s="142"/>
      <c r="DA182" s="144"/>
    </row>
    <row r="183" spans="1:105" ht="20" customHeight="1">
      <c r="A183" s="18">
        <f>ROW()</f>
        <v>183</v>
      </c>
      <c r="B183" s="26" t="str">
        <f t="shared" si="2"/>
        <v/>
      </c>
      <c r="C183" s="140"/>
      <c r="D183" s="141"/>
      <c r="E183" s="141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  <c r="BS183" s="142"/>
      <c r="BT183" s="142"/>
      <c r="BU183" s="142"/>
      <c r="BV183" s="142"/>
      <c r="BW183" s="142"/>
      <c r="BX183" s="142"/>
      <c r="BY183" s="142"/>
      <c r="BZ183" s="142"/>
      <c r="CA183" s="142"/>
      <c r="CB183" s="142"/>
      <c r="CC183" s="142"/>
      <c r="CD183" s="142"/>
      <c r="CE183" s="142"/>
      <c r="CF183" s="142"/>
      <c r="CG183" s="142"/>
      <c r="CH183" s="142"/>
      <c r="CI183" s="142"/>
      <c r="CJ183" s="142"/>
      <c r="CK183" s="142"/>
      <c r="CL183" s="142"/>
      <c r="CM183" s="142"/>
      <c r="CN183" s="142"/>
      <c r="CO183" s="142"/>
      <c r="CP183" s="142"/>
      <c r="CQ183" s="142"/>
      <c r="CR183" s="142"/>
      <c r="CS183" s="142"/>
      <c r="CT183" s="142"/>
      <c r="CU183" s="142"/>
      <c r="CV183" s="142"/>
      <c r="CW183" s="142"/>
      <c r="CX183" s="142"/>
      <c r="CY183" s="142"/>
      <c r="CZ183" s="142"/>
      <c r="DA183" s="144"/>
    </row>
    <row r="184" spans="1:105" ht="20" customHeight="1">
      <c r="A184" s="18">
        <f>ROW()</f>
        <v>184</v>
      </c>
      <c r="B184" s="26" t="str">
        <f t="shared" si="2"/>
        <v/>
      </c>
      <c r="C184" s="140"/>
      <c r="D184" s="141"/>
      <c r="E184" s="141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  <c r="BS184" s="142"/>
      <c r="BT184" s="142"/>
      <c r="BU184" s="142"/>
      <c r="BV184" s="142"/>
      <c r="BW184" s="142"/>
      <c r="BX184" s="142"/>
      <c r="BY184" s="142"/>
      <c r="BZ184" s="142"/>
      <c r="CA184" s="142"/>
      <c r="CB184" s="142"/>
      <c r="CC184" s="142"/>
      <c r="CD184" s="142"/>
      <c r="CE184" s="142"/>
      <c r="CF184" s="142"/>
      <c r="CG184" s="142"/>
      <c r="CH184" s="142"/>
      <c r="CI184" s="142"/>
      <c r="CJ184" s="142"/>
      <c r="CK184" s="142"/>
      <c r="CL184" s="142"/>
      <c r="CM184" s="142"/>
      <c r="CN184" s="142"/>
      <c r="CO184" s="142"/>
      <c r="CP184" s="142"/>
      <c r="CQ184" s="142"/>
      <c r="CR184" s="142"/>
      <c r="CS184" s="142"/>
      <c r="CT184" s="142"/>
      <c r="CU184" s="142"/>
      <c r="CV184" s="142"/>
      <c r="CW184" s="142"/>
      <c r="CX184" s="142"/>
      <c r="CY184" s="142"/>
      <c r="CZ184" s="142"/>
      <c r="DA184" s="144"/>
    </row>
    <row r="185" spans="1:105" ht="20" customHeight="1">
      <c r="A185" s="18">
        <f>ROW()</f>
        <v>185</v>
      </c>
      <c r="B185" s="26" t="str">
        <f t="shared" si="2"/>
        <v/>
      </c>
      <c r="C185" s="140"/>
      <c r="D185" s="141"/>
      <c r="E185" s="141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  <c r="BS185" s="142"/>
      <c r="BT185" s="142"/>
      <c r="BU185" s="142"/>
      <c r="BV185" s="142"/>
      <c r="BW185" s="142"/>
      <c r="BX185" s="142"/>
      <c r="BY185" s="142"/>
      <c r="BZ185" s="142"/>
      <c r="CA185" s="142"/>
      <c r="CB185" s="142"/>
      <c r="CC185" s="142"/>
      <c r="CD185" s="142"/>
      <c r="CE185" s="142"/>
      <c r="CF185" s="142"/>
      <c r="CG185" s="142"/>
      <c r="CH185" s="142"/>
      <c r="CI185" s="142"/>
      <c r="CJ185" s="142"/>
      <c r="CK185" s="142"/>
      <c r="CL185" s="142"/>
      <c r="CM185" s="142"/>
      <c r="CN185" s="142"/>
      <c r="CO185" s="142"/>
      <c r="CP185" s="142"/>
      <c r="CQ185" s="142"/>
      <c r="CR185" s="142"/>
      <c r="CS185" s="142"/>
      <c r="CT185" s="142"/>
      <c r="CU185" s="142"/>
      <c r="CV185" s="142"/>
      <c r="CW185" s="142"/>
      <c r="CX185" s="142"/>
      <c r="CY185" s="142"/>
      <c r="CZ185" s="142"/>
      <c r="DA185" s="144"/>
    </row>
    <row r="186" spans="1:105" ht="20" customHeight="1">
      <c r="A186" s="18">
        <f>ROW()</f>
        <v>186</v>
      </c>
      <c r="B186" s="26" t="str">
        <f t="shared" si="2"/>
        <v/>
      </c>
      <c r="C186" s="140"/>
      <c r="D186" s="141"/>
      <c r="E186" s="141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  <c r="BS186" s="142"/>
      <c r="BT186" s="142"/>
      <c r="BU186" s="142"/>
      <c r="BV186" s="142"/>
      <c r="BW186" s="142"/>
      <c r="BX186" s="142"/>
      <c r="BY186" s="142"/>
      <c r="BZ186" s="142"/>
      <c r="CA186" s="142"/>
      <c r="CB186" s="142"/>
      <c r="CC186" s="142"/>
      <c r="CD186" s="142"/>
      <c r="CE186" s="142"/>
      <c r="CF186" s="142"/>
      <c r="CG186" s="142"/>
      <c r="CH186" s="142"/>
      <c r="CI186" s="142"/>
      <c r="CJ186" s="142"/>
      <c r="CK186" s="142"/>
      <c r="CL186" s="142"/>
      <c r="CM186" s="142"/>
      <c r="CN186" s="142"/>
      <c r="CO186" s="142"/>
      <c r="CP186" s="142"/>
      <c r="CQ186" s="142"/>
      <c r="CR186" s="142"/>
      <c r="CS186" s="142"/>
      <c r="CT186" s="142"/>
      <c r="CU186" s="142"/>
      <c r="CV186" s="142"/>
      <c r="CW186" s="142"/>
      <c r="CX186" s="142"/>
      <c r="CY186" s="142"/>
      <c r="CZ186" s="142"/>
      <c r="DA186" s="144"/>
    </row>
    <row r="187" spans="1:105" ht="20" customHeight="1">
      <c r="A187" s="18">
        <f>ROW()</f>
        <v>187</v>
      </c>
      <c r="B187" s="26" t="str">
        <f t="shared" si="2"/>
        <v/>
      </c>
      <c r="C187" s="140"/>
      <c r="D187" s="141"/>
      <c r="E187" s="141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  <c r="BS187" s="142"/>
      <c r="BT187" s="142"/>
      <c r="BU187" s="142"/>
      <c r="BV187" s="142"/>
      <c r="BW187" s="142"/>
      <c r="BX187" s="142"/>
      <c r="BY187" s="142"/>
      <c r="BZ187" s="142"/>
      <c r="CA187" s="142"/>
      <c r="CB187" s="142"/>
      <c r="CC187" s="142"/>
      <c r="CD187" s="142"/>
      <c r="CE187" s="142"/>
      <c r="CF187" s="142"/>
      <c r="CG187" s="142"/>
      <c r="CH187" s="142"/>
      <c r="CI187" s="142"/>
      <c r="CJ187" s="142"/>
      <c r="CK187" s="142"/>
      <c r="CL187" s="142"/>
      <c r="CM187" s="142"/>
      <c r="CN187" s="142"/>
      <c r="CO187" s="142"/>
      <c r="CP187" s="142"/>
      <c r="CQ187" s="142"/>
      <c r="CR187" s="142"/>
      <c r="CS187" s="142"/>
      <c r="CT187" s="142"/>
      <c r="CU187" s="142"/>
      <c r="CV187" s="142"/>
      <c r="CW187" s="142"/>
      <c r="CX187" s="142"/>
      <c r="CY187" s="142"/>
      <c r="CZ187" s="142"/>
      <c r="DA187" s="144"/>
    </row>
    <row r="188" spans="1:105" ht="20" customHeight="1">
      <c r="A188" s="18">
        <f>ROW()</f>
        <v>188</v>
      </c>
      <c r="B188" s="26" t="str">
        <f t="shared" si="2"/>
        <v/>
      </c>
      <c r="C188" s="140"/>
      <c r="D188" s="141"/>
      <c r="E188" s="141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4"/>
    </row>
    <row r="189" spans="1:105" ht="20" customHeight="1">
      <c r="A189" s="18">
        <f>ROW()</f>
        <v>189</v>
      </c>
      <c r="B189" s="26" t="str">
        <f t="shared" si="2"/>
        <v/>
      </c>
      <c r="C189" s="140"/>
      <c r="D189" s="141"/>
      <c r="E189" s="141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4"/>
    </row>
    <row r="190" spans="1:105" ht="20" customHeight="1">
      <c r="A190" s="18">
        <f>ROW()</f>
        <v>190</v>
      </c>
      <c r="B190" s="26" t="str">
        <f t="shared" si="2"/>
        <v/>
      </c>
      <c r="C190" s="140"/>
      <c r="D190" s="141"/>
      <c r="E190" s="141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  <c r="BK190" s="142"/>
      <c r="BL190" s="142"/>
      <c r="BM190" s="142"/>
      <c r="BN190" s="142"/>
      <c r="BO190" s="142"/>
      <c r="BP190" s="142"/>
      <c r="BQ190" s="142"/>
      <c r="BR190" s="142"/>
      <c r="BS190" s="142"/>
      <c r="BT190" s="142"/>
      <c r="BU190" s="142"/>
      <c r="BV190" s="142"/>
      <c r="BW190" s="142"/>
      <c r="BX190" s="142"/>
      <c r="BY190" s="142"/>
      <c r="BZ190" s="142"/>
      <c r="CA190" s="142"/>
      <c r="CB190" s="142"/>
      <c r="CC190" s="142"/>
      <c r="CD190" s="142"/>
      <c r="CE190" s="142"/>
      <c r="CF190" s="142"/>
      <c r="CG190" s="142"/>
      <c r="CH190" s="142"/>
      <c r="CI190" s="142"/>
      <c r="CJ190" s="142"/>
      <c r="CK190" s="142"/>
      <c r="CL190" s="142"/>
      <c r="CM190" s="142"/>
      <c r="CN190" s="142"/>
      <c r="CO190" s="142"/>
      <c r="CP190" s="142"/>
      <c r="CQ190" s="142"/>
      <c r="CR190" s="142"/>
      <c r="CS190" s="142"/>
      <c r="CT190" s="142"/>
      <c r="CU190" s="142"/>
      <c r="CV190" s="142"/>
      <c r="CW190" s="142"/>
      <c r="CX190" s="142"/>
      <c r="CY190" s="142"/>
      <c r="CZ190" s="142"/>
      <c r="DA190" s="144"/>
    </row>
    <row r="191" spans="1:105" ht="20" customHeight="1">
      <c r="A191" s="18">
        <f>ROW()</f>
        <v>191</v>
      </c>
      <c r="B191" s="26" t="str">
        <f t="shared" si="2"/>
        <v/>
      </c>
      <c r="C191" s="140"/>
      <c r="D191" s="141"/>
      <c r="E191" s="141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  <c r="BS191" s="142"/>
      <c r="BT191" s="142"/>
      <c r="BU191" s="142"/>
      <c r="BV191" s="142"/>
      <c r="BW191" s="142"/>
      <c r="BX191" s="142"/>
      <c r="BY191" s="142"/>
      <c r="BZ191" s="142"/>
      <c r="CA191" s="142"/>
      <c r="CB191" s="142"/>
      <c r="CC191" s="142"/>
      <c r="CD191" s="142"/>
      <c r="CE191" s="142"/>
      <c r="CF191" s="142"/>
      <c r="CG191" s="142"/>
      <c r="CH191" s="142"/>
      <c r="CI191" s="142"/>
      <c r="CJ191" s="142"/>
      <c r="CK191" s="142"/>
      <c r="CL191" s="142"/>
      <c r="CM191" s="142"/>
      <c r="CN191" s="142"/>
      <c r="CO191" s="142"/>
      <c r="CP191" s="142"/>
      <c r="CQ191" s="142"/>
      <c r="CR191" s="142"/>
      <c r="CS191" s="142"/>
      <c r="CT191" s="142"/>
      <c r="CU191" s="142"/>
      <c r="CV191" s="142"/>
      <c r="CW191" s="142"/>
      <c r="CX191" s="142"/>
      <c r="CY191" s="142"/>
      <c r="CZ191" s="142"/>
      <c r="DA191" s="144"/>
    </row>
    <row r="192" spans="1:105" ht="20" customHeight="1">
      <c r="A192" s="18">
        <f>ROW()</f>
        <v>192</v>
      </c>
      <c r="B192" s="26" t="str">
        <f t="shared" si="2"/>
        <v/>
      </c>
      <c r="C192" s="140"/>
      <c r="D192" s="141"/>
      <c r="E192" s="141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4"/>
    </row>
    <row r="193" spans="1:105" ht="20" customHeight="1">
      <c r="A193" s="18">
        <f>ROW()</f>
        <v>193</v>
      </c>
      <c r="B193" s="26" t="str">
        <f t="shared" si="2"/>
        <v/>
      </c>
      <c r="C193" s="140"/>
      <c r="D193" s="141"/>
      <c r="E193" s="141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  <c r="BS193" s="142"/>
      <c r="BT193" s="142"/>
      <c r="BU193" s="142"/>
      <c r="BV193" s="142"/>
      <c r="BW193" s="142"/>
      <c r="BX193" s="142"/>
      <c r="BY193" s="142"/>
      <c r="BZ193" s="142"/>
      <c r="CA193" s="142"/>
      <c r="CB193" s="142"/>
      <c r="CC193" s="142"/>
      <c r="CD193" s="142"/>
      <c r="CE193" s="142"/>
      <c r="CF193" s="142"/>
      <c r="CG193" s="142"/>
      <c r="CH193" s="142"/>
      <c r="CI193" s="142"/>
      <c r="CJ193" s="142"/>
      <c r="CK193" s="142"/>
      <c r="CL193" s="142"/>
      <c r="CM193" s="142"/>
      <c r="CN193" s="142"/>
      <c r="CO193" s="142"/>
      <c r="CP193" s="142"/>
      <c r="CQ193" s="142"/>
      <c r="CR193" s="142"/>
      <c r="CS193" s="142"/>
      <c r="CT193" s="142"/>
      <c r="CU193" s="142"/>
      <c r="CV193" s="142"/>
      <c r="CW193" s="142"/>
      <c r="CX193" s="142"/>
      <c r="CY193" s="142"/>
      <c r="CZ193" s="142"/>
      <c r="DA193" s="144"/>
    </row>
    <row r="194" spans="1:105" ht="20" customHeight="1">
      <c r="A194" s="18">
        <f>ROW()</f>
        <v>194</v>
      </c>
      <c r="B194" s="26" t="str">
        <f t="shared" si="2"/>
        <v/>
      </c>
      <c r="C194" s="140"/>
      <c r="D194" s="141"/>
      <c r="E194" s="141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  <c r="BS194" s="142"/>
      <c r="BT194" s="142"/>
      <c r="BU194" s="142"/>
      <c r="BV194" s="142"/>
      <c r="BW194" s="142"/>
      <c r="BX194" s="142"/>
      <c r="BY194" s="142"/>
      <c r="BZ194" s="142"/>
      <c r="CA194" s="142"/>
      <c r="CB194" s="142"/>
      <c r="CC194" s="142"/>
      <c r="CD194" s="142"/>
      <c r="CE194" s="142"/>
      <c r="CF194" s="142"/>
      <c r="CG194" s="142"/>
      <c r="CH194" s="142"/>
      <c r="CI194" s="142"/>
      <c r="CJ194" s="142"/>
      <c r="CK194" s="142"/>
      <c r="CL194" s="142"/>
      <c r="CM194" s="142"/>
      <c r="CN194" s="142"/>
      <c r="CO194" s="142"/>
      <c r="CP194" s="142"/>
      <c r="CQ194" s="142"/>
      <c r="CR194" s="142"/>
      <c r="CS194" s="142"/>
      <c r="CT194" s="142"/>
      <c r="CU194" s="142"/>
      <c r="CV194" s="142"/>
      <c r="CW194" s="142"/>
      <c r="CX194" s="142"/>
      <c r="CY194" s="142"/>
      <c r="CZ194" s="142"/>
      <c r="DA194" s="144"/>
    </row>
    <row r="195" spans="1:105" ht="20" customHeight="1">
      <c r="A195" s="18">
        <f>ROW()</f>
        <v>195</v>
      </c>
      <c r="B195" s="26" t="str">
        <f t="shared" si="2"/>
        <v/>
      </c>
      <c r="C195" s="140"/>
      <c r="D195" s="141"/>
      <c r="E195" s="141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  <c r="BS195" s="142"/>
      <c r="BT195" s="142"/>
      <c r="BU195" s="142"/>
      <c r="BV195" s="142"/>
      <c r="BW195" s="142"/>
      <c r="BX195" s="142"/>
      <c r="BY195" s="142"/>
      <c r="BZ195" s="142"/>
      <c r="CA195" s="142"/>
      <c r="CB195" s="142"/>
      <c r="CC195" s="142"/>
      <c r="CD195" s="142"/>
      <c r="CE195" s="142"/>
      <c r="CF195" s="142"/>
      <c r="CG195" s="142"/>
      <c r="CH195" s="142"/>
      <c r="CI195" s="142"/>
      <c r="CJ195" s="142"/>
      <c r="CK195" s="142"/>
      <c r="CL195" s="142"/>
      <c r="CM195" s="142"/>
      <c r="CN195" s="142"/>
      <c r="CO195" s="142"/>
      <c r="CP195" s="142"/>
      <c r="CQ195" s="142"/>
      <c r="CR195" s="142"/>
      <c r="CS195" s="142"/>
      <c r="CT195" s="142"/>
      <c r="CU195" s="142"/>
      <c r="CV195" s="142"/>
      <c r="CW195" s="142"/>
      <c r="CX195" s="142"/>
      <c r="CY195" s="142"/>
      <c r="CZ195" s="142"/>
      <c r="DA195" s="144"/>
    </row>
    <row r="196" spans="1:105" ht="20" customHeight="1">
      <c r="A196" s="18">
        <f>ROW()</f>
        <v>196</v>
      </c>
      <c r="B196" s="26" t="str">
        <f t="shared" si="2"/>
        <v/>
      </c>
      <c r="C196" s="140"/>
      <c r="D196" s="141"/>
      <c r="E196" s="141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  <c r="BS196" s="142"/>
      <c r="BT196" s="142"/>
      <c r="BU196" s="142"/>
      <c r="BV196" s="142"/>
      <c r="BW196" s="142"/>
      <c r="BX196" s="142"/>
      <c r="BY196" s="142"/>
      <c r="BZ196" s="142"/>
      <c r="CA196" s="142"/>
      <c r="CB196" s="142"/>
      <c r="CC196" s="142"/>
      <c r="CD196" s="142"/>
      <c r="CE196" s="142"/>
      <c r="CF196" s="142"/>
      <c r="CG196" s="142"/>
      <c r="CH196" s="142"/>
      <c r="CI196" s="142"/>
      <c r="CJ196" s="142"/>
      <c r="CK196" s="142"/>
      <c r="CL196" s="142"/>
      <c r="CM196" s="142"/>
      <c r="CN196" s="142"/>
      <c r="CO196" s="142"/>
      <c r="CP196" s="142"/>
      <c r="CQ196" s="142"/>
      <c r="CR196" s="142"/>
      <c r="CS196" s="142"/>
      <c r="CT196" s="142"/>
      <c r="CU196" s="142"/>
      <c r="CV196" s="142"/>
      <c r="CW196" s="142"/>
      <c r="CX196" s="142"/>
      <c r="CY196" s="142"/>
      <c r="CZ196" s="142"/>
      <c r="DA196" s="144"/>
    </row>
    <row r="197" spans="1:105" ht="20" customHeight="1">
      <c r="A197" s="18">
        <f>ROW()</f>
        <v>197</v>
      </c>
      <c r="B197" s="26" t="str">
        <f t="shared" si="2"/>
        <v/>
      </c>
      <c r="C197" s="140"/>
      <c r="D197" s="141"/>
      <c r="E197" s="141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  <c r="BS197" s="142"/>
      <c r="BT197" s="142"/>
      <c r="BU197" s="142"/>
      <c r="BV197" s="142"/>
      <c r="BW197" s="142"/>
      <c r="BX197" s="142"/>
      <c r="BY197" s="142"/>
      <c r="BZ197" s="142"/>
      <c r="CA197" s="142"/>
      <c r="CB197" s="142"/>
      <c r="CC197" s="142"/>
      <c r="CD197" s="142"/>
      <c r="CE197" s="142"/>
      <c r="CF197" s="142"/>
      <c r="CG197" s="142"/>
      <c r="CH197" s="142"/>
      <c r="CI197" s="142"/>
      <c r="CJ197" s="142"/>
      <c r="CK197" s="142"/>
      <c r="CL197" s="142"/>
      <c r="CM197" s="142"/>
      <c r="CN197" s="142"/>
      <c r="CO197" s="142"/>
      <c r="CP197" s="142"/>
      <c r="CQ197" s="142"/>
      <c r="CR197" s="142"/>
      <c r="CS197" s="142"/>
      <c r="CT197" s="142"/>
      <c r="CU197" s="142"/>
      <c r="CV197" s="142"/>
      <c r="CW197" s="142"/>
      <c r="CX197" s="142"/>
      <c r="CY197" s="142"/>
      <c r="CZ197" s="142"/>
      <c r="DA197" s="144"/>
    </row>
    <row r="198" spans="1:105" ht="20" customHeight="1">
      <c r="A198" s="18">
        <f>ROW()</f>
        <v>198</v>
      </c>
      <c r="B198" s="26" t="str">
        <f t="shared" si="2"/>
        <v/>
      </c>
      <c r="C198" s="140"/>
      <c r="D198" s="141"/>
      <c r="E198" s="141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  <c r="BS198" s="142"/>
      <c r="BT198" s="142"/>
      <c r="BU198" s="142"/>
      <c r="BV198" s="142"/>
      <c r="BW198" s="142"/>
      <c r="BX198" s="142"/>
      <c r="BY198" s="142"/>
      <c r="BZ198" s="142"/>
      <c r="CA198" s="142"/>
      <c r="CB198" s="142"/>
      <c r="CC198" s="142"/>
      <c r="CD198" s="142"/>
      <c r="CE198" s="142"/>
      <c r="CF198" s="142"/>
      <c r="CG198" s="142"/>
      <c r="CH198" s="142"/>
      <c r="CI198" s="142"/>
      <c r="CJ198" s="142"/>
      <c r="CK198" s="142"/>
      <c r="CL198" s="142"/>
      <c r="CM198" s="142"/>
      <c r="CN198" s="142"/>
      <c r="CO198" s="142"/>
      <c r="CP198" s="142"/>
      <c r="CQ198" s="142"/>
      <c r="CR198" s="142"/>
      <c r="CS198" s="142"/>
      <c r="CT198" s="142"/>
      <c r="CU198" s="142"/>
      <c r="CV198" s="142"/>
      <c r="CW198" s="142"/>
      <c r="CX198" s="142"/>
      <c r="CY198" s="142"/>
      <c r="CZ198" s="142"/>
      <c r="DA198" s="144"/>
    </row>
    <row r="199" spans="1:105" ht="20" customHeight="1">
      <c r="A199" s="18">
        <f>ROW()</f>
        <v>199</v>
      </c>
      <c r="B199" s="26" t="str">
        <f t="shared" si="2"/>
        <v/>
      </c>
      <c r="C199" s="140"/>
      <c r="D199" s="141"/>
      <c r="E199" s="141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  <c r="BS199" s="142"/>
      <c r="BT199" s="142"/>
      <c r="BU199" s="142"/>
      <c r="BV199" s="142"/>
      <c r="BW199" s="142"/>
      <c r="BX199" s="142"/>
      <c r="BY199" s="142"/>
      <c r="BZ199" s="142"/>
      <c r="CA199" s="142"/>
      <c r="CB199" s="142"/>
      <c r="CC199" s="142"/>
      <c r="CD199" s="142"/>
      <c r="CE199" s="142"/>
      <c r="CF199" s="142"/>
      <c r="CG199" s="142"/>
      <c r="CH199" s="142"/>
      <c r="CI199" s="142"/>
      <c r="CJ199" s="142"/>
      <c r="CK199" s="142"/>
      <c r="CL199" s="142"/>
      <c r="CM199" s="142"/>
      <c r="CN199" s="142"/>
      <c r="CO199" s="142"/>
      <c r="CP199" s="142"/>
      <c r="CQ199" s="142"/>
      <c r="CR199" s="142"/>
      <c r="CS199" s="142"/>
      <c r="CT199" s="142"/>
      <c r="CU199" s="142"/>
      <c r="CV199" s="142"/>
      <c r="CW199" s="142"/>
      <c r="CX199" s="142"/>
      <c r="CY199" s="142"/>
      <c r="CZ199" s="142"/>
      <c r="DA199" s="144"/>
    </row>
    <row r="200" spans="1:105" ht="20" customHeight="1">
      <c r="A200" s="18">
        <f>ROW()</f>
        <v>200</v>
      </c>
      <c r="B200" s="26" t="str">
        <f t="shared" si="2"/>
        <v/>
      </c>
      <c r="C200" s="140"/>
      <c r="D200" s="141"/>
      <c r="E200" s="141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  <c r="BS200" s="142"/>
      <c r="BT200" s="142"/>
      <c r="BU200" s="142"/>
      <c r="BV200" s="142"/>
      <c r="BW200" s="142"/>
      <c r="BX200" s="142"/>
      <c r="BY200" s="142"/>
      <c r="BZ200" s="142"/>
      <c r="CA200" s="142"/>
      <c r="CB200" s="142"/>
      <c r="CC200" s="142"/>
      <c r="CD200" s="142"/>
      <c r="CE200" s="142"/>
      <c r="CF200" s="142"/>
      <c r="CG200" s="142"/>
      <c r="CH200" s="142"/>
      <c r="CI200" s="142"/>
      <c r="CJ200" s="142"/>
      <c r="CK200" s="142"/>
      <c r="CL200" s="142"/>
      <c r="CM200" s="142"/>
      <c r="CN200" s="142"/>
      <c r="CO200" s="142"/>
      <c r="CP200" s="142"/>
      <c r="CQ200" s="142"/>
      <c r="CR200" s="142"/>
      <c r="CS200" s="142"/>
      <c r="CT200" s="142"/>
      <c r="CU200" s="142"/>
      <c r="CV200" s="142"/>
      <c r="CW200" s="142"/>
      <c r="CX200" s="142"/>
      <c r="CY200" s="142"/>
      <c r="CZ200" s="142"/>
      <c r="DA200" s="144"/>
    </row>
    <row r="201" spans="1:105" ht="20" customHeight="1">
      <c r="A201" s="18">
        <f>ROW()</f>
        <v>201</v>
      </c>
      <c r="B201" s="26" t="str">
        <f t="shared" si="2"/>
        <v/>
      </c>
      <c r="C201" s="140"/>
      <c r="D201" s="141"/>
      <c r="E201" s="141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  <c r="BS201" s="142"/>
      <c r="BT201" s="142"/>
      <c r="BU201" s="142"/>
      <c r="BV201" s="142"/>
      <c r="BW201" s="142"/>
      <c r="BX201" s="142"/>
      <c r="BY201" s="142"/>
      <c r="BZ201" s="142"/>
      <c r="CA201" s="142"/>
      <c r="CB201" s="142"/>
      <c r="CC201" s="142"/>
      <c r="CD201" s="142"/>
      <c r="CE201" s="142"/>
      <c r="CF201" s="142"/>
      <c r="CG201" s="142"/>
      <c r="CH201" s="142"/>
      <c r="CI201" s="142"/>
      <c r="CJ201" s="142"/>
      <c r="CK201" s="142"/>
      <c r="CL201" s="142"/>
      <c r="CM201" s="142"/>
      <c r="CN201" s="142"/>
      <c r="CO201" s="142"/>
      <c r="CP201" s="142"/>
      <c r="CQ201" s="142"/>
      <c r="CR201" s="142"/>
      <c r="CS201" s="142"/>
      <c r="CT201" s="142"/>
      <c r="CU201" s="142"/>
      <c r="CV201" s="142"/>
      <c r="CW201" s="142"/>
      <c r="CX201" s="142"/>
      <c r="CY201" s="142"/>
      <c r="CZ201" s="142"/>
      <c r="DA201" s="144"/>
    </row>
    <row r="202" spans="1:105" ht="20" customHeight="1">
      <c r="A202" s="18">
        <f>ROW()</f>
        <v>202</v>
      </c>
      <c r="B202" s="26" t="str">
        <f t="shared" si="2"/>
        <v/>
      </c>
      <c r="C202" s="140"/>
      <c r="D202" s="141"/>
      <c r="E202" s="141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  <c r="BS202" s="142"/>
      <c r="BT202" s="142"/>
      <c r="BU202" s="142"/>
      <c r="BV202" s="142"/>
      <c r="BW202" s="142"/>
      <c r="BX202" s="142"/>
      <c r="BY202" s="142"/>
      <c r="BZ202" s="142"/>
      <c r="CA202" s="142"/>
      <c r="CB202" s="142"/>
      <c r="CC202" s="142"/>
      <c r="CD202" s="142"/>
      <c r="CE202" s="142"/>
      <c r="CF202" s="142"/>
      <c r="CG202" s="142"/>
      <c r="CH202" s="142"/>
      <c r="CI202" s="142"/>
      <c r="CJ202" s="142"/>
      <c r="CK202" s="142"/>
      <c r="CL202" s="142"/>
      <c r="CM202" s="142"/>
      <c r="CN202" s="142"/>
      <c r="CO202" s="142"/>
      <c r="CP202" s="142"/>
      <c r="CQ202" s="142"/>
      <c r="CR202" s="142"/>
      <c r="CS202" s="142"/>
      <c r="CT202" s="142"/>
      <c r="CU202" s="142"/>
      <c r="CV202" s="142"/>
      <c r="CW202" s="142"/>
      <c r="CX202" s="142"/>
      <c r="CY202" s="142"/>
      <c r="CZ202" s="142"/>
      <c r="DA202" s="144"/>
    </row>
    <row r="203" spans="1:105" ht="20" customHeight="1">
      <c r="A203" s="18">
        <f>ROW()</f>
        <v>203</v>
      </c>
      <c r="B203" s="26" t="str">
        <f t="shared" si="2"/>
        <v/>
      </c>
      <c r="C203" s="140"/>
      <c r="D203" s="141"/>
      <c r="E203" s="141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  <c r="BS203" s="142"/>
      <c r="BT203" s="142"/>
      <c r="BU203" s="142"/>
      <c r="BV203" s="142"/>
      <c r="BW203" s="142"/>
      <c r="BX203" s="142"/>
      <c r="BY203" s="142"/>
      <c r="BZ203" s="142"/>
      <c r="CA203" s="142"/>
      <c r="CB203" s="142"/>
      <c r="CC203" s="142"/>
      <c r="CD203" s="142"/>
      <c r="CE203" s="142"/>
      <c r="CF203" s="142"/>
      <c r="CG203" s="142"/>
      <c r="CH203" s="142"/>
      <c r="CI203" s="142"/>
      <c r="CJ203" s="142"/>
      <c r="CK203" s="142"/>
      <c r="CL203" s="142"/>
      <c r="CM203" s="142"/>
      <c r="CN203" s="142"/>
      <c r="CO203" s="142"/>
      <c r="CP203" s="142"/>
      <c r="CQ203" s="142"/>
      <c r="CR203" s="142"/>
      <c r="CS203" s="142"/>
      <c r="CT203" s="142"/>
      <c r="CU203" s="142"/>
      <c r="CV203" s="142"/>
      <c r="CW203" s="142"/>
      <c r="CX203" s="142"/>
      <c r="CY203" s="142"/>
      <c r="CZ203" s="142"/>
      <c r="DA203" s="144"/>
    </row>
    <row r="204" spans="1:105" ht="20" customHeight="1">
      <c r="A204" s="18">
        <f>ROW()</f>
        <v>204</v>
      </c>
      <c r="B204" s="26" t="str">
        <f t="shared" si="2"/>
        <v/>
      </c>
      <c r="C204" s="140"/>
      <c r="D204" s="141"/>
      <c r="E204" s="141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4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40"/>
      <c r="D205" s="141"/>
      <c r="E205" s="141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/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4"/>
    </row>
    <row r="206" spans="1:105" ht="20" customHeight="1">
      <c r="A206" s="18">
        <f>ROW()</f>
        <v>206</v>
      </c>
      <c r="B206" s="26" t="str">
        <f t="shared" si="3"/>
        <v/>
      </c>
      <c r="C206" s="140"/>
      <c r="D206" s="141"/>
      <c r="E206" s="141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  <c r="BS206" s="142"/>
      <c r="BT206" s="142"/>
      <c r="BU206" s="142"/>
      <c r="BV206" s="142"/>
      <c r="BW206" s="142"/>
      <c r="BX206" s="142"/>
      <c r="BY206" s="142"/>
      <c r="BZ206" s="142"/>
      <c r="CA206" s="142"/>
      <c r="CB206" s="142"/>
      <c r="CC206" s="142"/>
      <c r="CD206" s="142"/>
      <c r="CE206" s="142"/>
      <c r="CF206" s="142"/>
      <c r="CG206" s="142"/>
      <c r="CH206" s="142"/>
      <c r="CI206" s="142"/>
      <c r="CJ206" s="142"/>
      <c r="CK206" s="142"/>
      <c r="CL206" s="142"/>
      <c r="CM206" s="142"/>
      <c r="CN206" s="142"/>
      <c r="CO206" s="142"/>
      <c r="CP206" s="142"/>
      <c r="CQ206" s="142"/>
      <c r="CR206" s="142"/>
      <c r="CS206" s="142"/>
      <c r="CT206" s="142"/>
      <c r="CU206" s="142"/>
      <c r="CV206" s="142"/>
      <c r="CW206" s="142"/>
      <c r="CX206" s="142"/>
      <c r="CY206" s="142"/>
      <c r="CZ206" s="142"/>
      <c r="DA206" s="144"/>
    </row>
    <row r="207" spans="1:105" ht="20" customHeight="1">
      <c r="A207" s="18">
        <f>ROW()</f>
        <v>207</v>
      </c>
      <c r="B207" s="26" t="str">
        <f t="shared" si="3"/>
        <v/>
      </c>
      <c r="C207" s="140"/>
      <c r="D207" s="141"/>
      <c r="E207" s="141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4"/>
    </row>
    <row r="208" spans="1:105" ht="20" customHeight="1">
      <c r="A208" s="18">
        <f>ROW()</f>
        <v>208</v>
      </c>
      <c r="B208" s="26" t="str">
        <f t="shared" si="3"/>
        <v/>
      </c>
      <c r="C208" s="140"/>
      <c r="D208" s="141"/>
      <c r="E208" s="141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4"/>
    </row>
    <row r="209" spans="1:105" ht="20" customHeight="1">
      <c r="A209" s="18">
        <f>ROW()</f>
        <v>209</v>
      </c>
      <c r="B209" s="26" t="str">
        <f t="shared" si="3"/>
        <v/>
      </c>
      <c r="C209" s="140"/>
      <c r="D209" s="141"/>
      <c r="E209" s="141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4"/>
    </row>
    <row r="210" spans="1:105" ht="20" customHeight="1">
      <c r="A210" s="18">
        <f>ROW()</f>
        <v>210</v>
      </c>
      <c r="B210" s="26" t="str">
        <f t="shared" si="3"/>
        <v/>
      </c>
      <c r="C210" s="140"/>
      <c r="D210" s="141"/>
      <c r="E210" s="141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4"/>
    </row>
    <row r="211" spans="1:105" ht="20" customHeight="1">
      <c r="A211" s="18">
        <f>ROW()</f>
        <v>211</v>
      </c>
      <c r="B211" s="26" t="str">
        <f t="shared" si="3"/>
        <v/>
      </c>
      <c r="C211" s="140"/>
      <c r="D211" s="141"/>
      <c r="E211" s="141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4"/>
    </row>
    <row r="212" spans="1:105" ht="20" customHeight="1">
      <c r="A212" s="18">
        <f>ROW()</f>
        <v>212</v>
      </c>
      <c r="B212" s="26" t="str">
        <f t="shared" si="3"/>
        <v/>
      </c>
      <c r="C212" s="140"/>
      <c r="D212" s="141"/>
      <c r="E212" s="141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4"/>
    </row>
    <row r="213" spans="1:105" ht="20" customHeight="1">
      <c r="A213" s="18">
        <f>ROW()</f>
        <v>213</v>
      </c>
      <c r="B213" s="26" t="str">
        <f t="shared" si="3"/>
        <v/>
      </c>
      <c r="C213" s="140"/>
      <c r="D213" s="141"/>
      <c r="E213" s="141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4"/>
    </row>
    <row r="214" spans="1:105" ht="20" customHeight="1">
      <c r="A214" s="18">
        <f>ROW()</f>
        <v>214</v>
      </c>
      <c r="B214" s="26" t="str">
        <f t="shared" si="3"/>
        <v/>
      </c>
      <c r="C214" s="140"/>
      <c r="D214" s="141"/>
      <c r="E214" s="141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4"/>
    </row>
    <row r="215" spans="1:105" ht="20" customHeight="1">
      <c r="A215" s="18">
        <f>ROW()</f>
        <v>215</v>
      </c>
      <c r="B215" s="26" t="str">
        <f t="shared" si="3"/>
        <v/>
      </c>
      <c r="C215" s="140"/>
      <c r="D215" s="141"/>
      <c r="E215" s="141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4"/>
    </row>
    <row r="216" spans="1:105" ht="20" customHeight="1">
      <c r="A216" s="18">
        <f>ROW()</f>
        <v>216</v>
      </c>
      <c r="B216" s="26" t="str">
        <f t="shared" si="3"/>
        <v/>
      </c>
      <c r="C216" s="140"/>
      <c r="D216" s="141"/>
      <c r="E216" s="141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4"/>
    </row>
    <row r="217" spans="1:105" ht="20" customHeight="1">
      <c r="A217" s="18">
        <f>ROW()</f>
        <v>217</v>
      </c>
      <c r="B217" s="26" t="str">
        <f t="shared" si="3"/>
        <v/>
      </c>
      <c r="C217" s="140"/>
      <c r="D217" s="141"/>
      <c r="E217" s="141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4"/>
    </row>
    <row r="218" spans="1:105" ht="20" customHeight="1">
      <c r="A218" s="18">
        <f>ROW()</f>
        <v>218</v>
      </c>
      <c r="B218" s="26" t="str">
        <f t="shared" si="3"/>
        <v/>
      </c>
      <c r="C218" s="140"/>
      <c r="D218" s="141"/>
      <c r="E218" s="141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4"/>
    </row>
    <row r="219" spans="1:105" ht="20" customHeight="1">
      <c r="A219" s="18">
        <f>ROW()</f>
        <v>219</v>
      </c>
      <c r="B219" s="26" t="str">
        <f t="shared" si="3"/>
        <v/>
      </c>
      <c r="C219" s="140"/>
      <c r="D219" s="141"/>
      <c r="E219" s="141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4"/>
    </row>
    <row r="220" spans="1:105" ht="20" customHeight="1">
      <c r="A220" s="18">
        <f>ROW()</f>
        <v>220</v>
      </c>
      <c r="B220" s="26" t="str">
        <f t="shared" si="3"/>
        <v/>
      </c>
      <c r="C220" s="140"/>
      <c r="D220" s="141"/>
      <c r="E220" s="141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4"/>
    </row>
    <row r="221" spans="1:105" ht="20" customHeight="1">
      <c r="A221" s="18">
        <f>ROW()</f>
        <v>221</v>
      </c>
      <c r="B221" s="26" t="str">
        <f t="shared" si="3"/>
        <v/>
      </c>
      <c r="C221" s="140"/>
      <c r="D221" s="141"/>
      <c r="E221" s="141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  <c r="BS221" s="142"/>
      <c r="BT221" s="142"/>
      <c r="BU221" s="142"/>
      <c r="BV221" s="142"/>
      <c r="BW221" s="142"/>
      <c r="BX221" s="142"/>
      <c r="BY221" s="142"/>
      <c r="BZ221" s="142"/>
      <c r="CA221" s="142"/>
      <c r="CB221" s="142"/>
      <c r="CC221" s="142"/>
      <c r="CD221" s="142"/>
      <c r="CE221" s="142"/>
      <c r="CF221" s="142"/>
      <c r="CG221" s="142"/>
      <c r="CH221" s="142"/>
      <c r="CI221" s="142"/>
      <c r="CJ221" s="142"/>
      <c r="CK221" s="142"/>
      <c r="CL221" s="142"/>
      <c r="CM221" s="142"/>
      <c r="CN221" s="142"/>
      <c r="CO221" s="142"/>
      <c r="CP221" s="142"/>
      <c r="CQ221" s="142"/>
      <c r="CR221" s="142"/>
      <c r="CS221" s="142"/>
      <c r="CT221" s="142"/>
      <c r="CU221" s="142"/>
      <c r="CV221" s="142"/>
      <c r="CW221" s="142"/>
      <c r="CX221" s="142"/>
      <c r="CY221" s="142"/>
      <c r="CZ221" s="142"/>
      <c r="DA221" s="144"/>
    </row>
    <row r="222" spans="1:105" ht="20" customHeight="1">
      <c r="A222" s="18">
        <f>ROW()</f>
        <v>222</v>
      </c>
      <c r="B222" s="26" t="str">
        <f t="shared" si="3"/>
        <v/>
      </c>
      <c r="C222" s="140"/>
      <c r="D222" s="141"/>
      <c r="E222" s="141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  <c r="BS222" s="142"/>
      <c r="BT222" s="142"/>
      <c r="BU222" s="142"/>
      <c r="BV222" s="142"/>
      <c r="BW222" s="142"/>
      <c r="BX222" s="142"/>
      <c r="BY222" s="142"/>
      <c r="BZ222" s="142"/>
      <c r="CA222" s="142"/>
      <c r="CB222" s="142"/>
      <c r="CC222" s="142"/>
      <c r="CD222" s="142"/>
      <c r="CE222" s="142"/>
      <c r="CF222" s="142"/>
      <c r="CG222" s="142"/>
      <c r="CH222" s="142"/>
      <c r="CI222" s="142"/>
      <c r="CJ222" s="142"/>
      <c r="CK222" s="142"/>
      <c r="CL222" s="142"/>
      <c r="CM222" s="142"/>
      <c r="CN222" s="142"/>
      <c r="CO222" s="142"/>
      <c r="CP222" s="142"/>
      <c r="CQ222" s="142"/>
      <c r="CR222" s="142"/>
      <c r="CS222" s="142"/>
      <c r="CT222" s="142"/>
      <c r="CU222" s="142"/>
      <c r="CV222" s="142"/>
      <c r="CW222" s="142"/>
      <c r="CX222" s="142"/>
      <c r="CY222" s="142"/>
      <c r="CZ222" s="142"/>
      <c r="DA222" s="144"/>
    </row>
    <row r="223" spans="1:105" ht="20" customHeight="1">
      <c r="A223" s="18">
        <f>ROW()</f>
        <v>223</v>
      </c>
      <c r="B223" s="26" t="str">
        <f t="shared" si="3"/>
        <v/>
      </c>
      <c r="C223" s="140"/>
      <c r="D223" s="141"/>
      <c r="E223" s="141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  <c r="BS223" s="142"/>
      <c r="BT223" s="142"/>
      <c r="BU223" s="142"/>
      <c r="BV223" s="142"/>
      <c r="BW223" s="142"/>
      <c r="BX223" s="142"/>
      <c r="BY223" s="142"/>
      <c r="BZ223" s="142"/>
      <c r="CA223" s="142"/>
      <c r="CB223" s="142"/>
      <c r="CC223" s="142"/>
      <c r="CD223" s="142"/>
      <c r="CE223" s="142"/>
      <c r="CF223" s="142"/>
      <c r="CG223" s="142"/>
      <c r="CH223" s="142"/>
      <c r="CI223" s="142"/>
      <c r="CJ223" s="142"/>
      <c r="CK223" s="142"/>
      <c r="CL223" s="142"/>
      <c r="CM223" s="142"/>
      <c r="CN223" s="142"/>
      <c r="CO223" s="142"/>
      <c r="CP223" s="142"/>
      <c r="CQ223" s="142"/>
      <c r="CR223" s="142"/>
      <c r="CS223" s="142"/>
      <c r="CT223" s="142"/>
      <c r="CU223" s="142"/>
      <c r="CV223" s="142"/>
      <c r="CW223" s="142"/>
      <c r="CX223" s="142"/>
      <c r="CY223" s="142"/>
      <c r="CZ223" s="142"/>
      <c r="DA223" s="144"/>
    </row>
    <row r="224" spans="1:105" ht="20" customHeight="1">
      <c r="A224" s="18">
        <f>ROW()</f>
        <v>224</v>
      </c>
      <c r="B224" s="26" t="str">
        <f t="shared" si="3"/>
        <v/>
      </c>
      <c r="C224" s="140"/>
      <c r="D224" s="141"/>
      <c r="E224" s="141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  <c r="BK224" s="142"/>
      <c r="BL224" s="142"/>
      <c r="BM224" s="142"/>
      <c r="BN224" s="142"/>
      <c r="BO224" s="142"/>
      <c r="BP224" s="142"/>
      <c r="BQ224" s="142"/>
      <c r="BR224" s="142"/>
      <c r="BS224" s="142"/>
      <c r="BT224" s="142"/>
      <c r="BU224" s="142"/>
      <c r="BV224" s="142"/>
      <c r="BW224" s="142"/>
      <c r="BX224" s="142"/>
      <c r="BY224" s="142"/>
      <c r="BZ224" s="142"/>
      <c r="CA224" s="142"/>
      <c r="CB224" s="142"/>
      <c r="CC224" s="142"/>
      <c r="CD224" s="142"/>
      <c r="CE224" s="142"/>
      <c r="CF224" s="142"/>
      <c r="CG224" s="142"/>
      <c r="CH224" s="142"/>
      <c r="CI224" s="142"/>
      <c r="CJ224" s="142"/>
      <c r="CK224" s="142"/>
      <c r="CL224" s="142"/>
      <c r="CM224" s="142"/>
      <c r="CN224" s="142"/>
      <c r="CO224" s="142"/>
      <c r="CP224" s="142"/>
      <c r="CQ224" s="142"/>
      <c r="CR224" s="142"/>
      <c r="CS224" s="142"/>
      <c r="CT224" s="142"/>
      <c r="CU224" s="142"/>
      <c r="CV224" s="142"/>
      <c r="CW224" s="142"/>
      <c r="CX224" s="142"/>
      <c r="CY224" s="142"/>
      <c r="CZ224" s="142"/>
      <c r="DA224" s="144"/>
    </row>
    <row r="225" spans="1:105" ht="20" customHeight="1">
      <c r="A225" s="18">
        <f>ROW()</f>
        <v>225</v>
      </c>
      <c r="B225" s="26" t="str">
        <f t="shared" si="3"/>
        <v/>
      </c>
      <c r="C225" s="140"/>
      <c r="D225" s="141"/>
      <c r="E225" s="141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  <c r="BS225" s="142"/>
      <c r="BT225" s="142"/>
      <c r="BU225" s="142"/>
      <c r="BV225" s="142"/>
      <c r="BW225" s="142"/>
      <c r="BX225" s="142"/>
      <c r="BY225" s="142"/>
      <c r="BZ225" s="142"/>
      <c r="CA225" s="142"/>
      <c r="CB225" s="142"/>
      <c r="CC225" s="142"/>
      <c r="CD225" s="142"/>
      <c r="CE225" s="142"/>
      <c r="CF225" s="142"/>
      <c r="CG225" s="142"/>
      <c r="CH225" s="142"/>
      <c r="CI225" s="142"/>
      <c r="CJ225" s="142"/>
      <c r="CK225" s="142"/>
      <c r="CL225" s="142"/>
      <c r="CM225" s="142"/>
      <c r="CN225" s="142"/>
      <c r="CO225" s="142"/>
      <c r="CP225" s="142"/>
      <c r="CQ225" s="142"/>
      <c r="CR225" s="142"/>
      <c r="CS225" s="142"/>
      <c r="CT225" s="142"/>
      <c r="CU225" s="142"/>
      <c r="CV225" s="142"/>
      <c r="CW225" s="142"/>
      <c r="CX225" s="142"/>
      <c r="CY225" s="142"/>
      <c r="CZ225" s="142"/>
      <c r="DA225" s="144"/>
    </row>
    <row r="226" spans="1:105" ht="20" customHeight="1">
      <c r="A226" s="18">
        <f>ROW()</f>
        <v>226</v>
      </c>
      <c r="B226" s="26" t="str">
        <f t="shared" si="3"/>
        <v/>
      </c>
      <c r="C226" s="140"/>
      <c r="D226" s="141"/>
      <c r="E226" s="141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  <c r="BS226" s="142"/>
      <c r="BT226" s="142"/>
      <c r="BU226" s="142"/>
      <c r="BV226" s="142"/>
      <c r="BW226" s="142"/>
      <c r="BX226" s="142"/>
      <c r="BY226" s="142"/>
      <c r="BZ226" s="142"/>
      <c r="CA226" s="142"/>
      <c r="CB226" s="142"/>
      <c r="CC226" s="142"/>
      <c r="CD226" s="142"/>
      <c r="CE226" s="142"/>
      <c r="CF226" s="142"/>
      <c r="CG226" s="142"/>
      <c r="CH226" s="142"/>
      <c r="CI226" s="142"/>
      <c r="CJ226" s="142"/>
      <c r="CK226" s="142"/>
      <c r="CL226" s="142"/>
      <c r="CM226" s="142"/>
      <c r="CN226" s="142"/>
      <c r="CO226" s="142"/>
      <c r="CP226" s="142"/>
      <c r="CQ226" s="142"/>
      <c r="CR226" s="142"/>
      <c r="CS226" s="142"/>
      <c r="CT226" s="142"/>
      <c r="CU226" s="142"/>
      <c r="CV226" s="142"/>
      <c r="CW226" s="142"/>
      <c r="CX226" s="142"/>
      <c r="CY226" s="142"/>
      <c r="CZ226" s="142"/>
      <c r="DA226" s="144"/>
    </row>
    <row r="227" spans="1:105" ht="20" customHeight="1">
      <c r="A227" s="18">
        <f>ROW()</f>
        <v>227</v>
      </c>
      <c r="B227" s="26" t="str">
        <f t="shared" si="3"/>
        <v/>
      </c>
      <c r="C227" s="140"/>
      <c r="D227" s="141"/>
      <c r="E227" s="141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  <c r="BS227" s="142"/>
      <c r="BT227" s="142"/>
      <c r="BU227" s="142"/>
      <c r="BV227" s="142"/>
      <c r="BW227" s="142"/>
      <c r="BX227" s="142"/>
      <c r="BY227" s="142"/>
      <c r="BZ227" s="142"/>
      <c r="CA227" s="142"/>
      <c r="CB227" s="142"/>
      <c r="CC227" s="142"/>
      <c r="CD227" s="142"/>
      <c r="CE227" s="142"/>
      <c r="CF227" s="142"/>
      <c r="CG227" s="142"/>
      <c r="CH227" s="142"/>
      <c r="CI227" s="142"/>
      <c r="CJ227" s="142"/>
      <c r="CK227" s="142"/>
      <c r="CL227" s="142"/>
      <c r="CM227" s="142"/>
      <c r="CN227" s="142"/>
      <c r="CO227" s="142"/>
      <c r="CP227" s="142"/>
      <c r="CQ227" s="142"/>
      <c r="CR227" s="142"/>
      <c r="CS227" s="142"/>
      <c r="CT227" s="142"/>
      <c r="CU227" s="142"/>
      <c r="CV227" s="142"/>
      <c r="CW227" s="142"/>
      <c r="CX227" s="142"/>
      <c r="CY227" s="142"/>
      <c r="CZ227" s="142"/>
      <c r="DA227" s="144"/>
    </row>
    <row r="228" spans="1:105" ht="20" customHeight="1">
      <c r="A228" s="18">
        <f>ROW()</f>
        <v>228</v>
      </c>
      <c r="B228" s="26" t="str">
        <f t="shared" si="3"/>
        <v/>
      </c>
      <c r="C228" s="140"/>
      <c r="D228" s="141"/>
      <c r="E228" s="141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  <c r="BS228" s="142"/>
      <c r="BT228" s="142"/>
      <c r="BU228" s="142"/>
      <c r="BV228" s="142"/>
      <c r="BW228" s="142"/>
      <c r="BX228" s="142"/>
      <c r="BY228" s="142"/>
      <c r="BZ228" s="142"/>
      <c r="CA228" s="142"/>
      <c r="CB228" s="142"/>
      <c r="CC228" s="142"/>
      <c r="CD228" s="142"/>
      <c r="CE228" s="142"/>
      <c r="CF228" s="142"/>
      <c r="CG228" s="142"/>
      <c r="CH228" s="142"/>
      <c r="CI228" s="142"/>
      <c r="CJ228" s="142"/>
      <c r="CK228" s="142"/>
      <c r="CL228" s="142"/>
      <c r="CM228" s="142"/>
      <c r="CN228" s="142"/>
      <c r="CO228" s="142"/>
      <c r="CP228" s="142"/>
      <c r="CQ228" s="142"/>
      <c r="CR228" s="142"/>
      <c r="CS228" s="142"/>
      <c r="CT228" s="142"/>
      <c r="CU228" s="142"/>
      <c r="CV228" s="142"/>
      <c r="CW228" s="142"/>
      <c r="CX228" s="142"/>
      <c r="CY228" s="142"/>
      <c r="CZ228" s="142"/>
      <c r="DA228" s="144"/>
    </row>
    <row r="229" spans="1:105" ht="20" customHeight="1">
      <c r="A229" s="18">
        <f>ROW()</f>
        <v>229</v>
      </c>
      <c r="B229" s="26" t="str">
        <f t="shared" si="3"/>
        <v/>
      </c>
      <c r="C229" s="140"/>
      <c r="D229" s="141"/>
      <c r="E229" s="141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  <c r="BS229" s="142"/>
      <c r="BT229" s="142"/>
      <c r="BU229" s="142"/>
      <c r="BV229" s="142"/>
      <c r="BW229" s="142"/>
      <c r="BX229" s="142"/>
      <c r="BY229" s="142"/>
      <c r="BZ229" s="142"/>
      <c r="CA229" s="142"/>
      <c r="CB229" s="142"/>
      <c r="CC229" s="142"/>
      <c r="CD229" s="142"/>
      <c r="CE229" s="142"/>
      <c r="CF229" s="142"/>
      <c r="CG229" s="142"/>
      <c r="CH229" s="142"/>
      <c r="CI229" s="142"/>
      <c r="CJ229" s="142"/>
      <c r="CK229" s="142"/>
      <c r="CL229" s="142"/>
      <c r="CM229" s="142"/>
      <c r="CN229" s="142"/>
      <c r="CO229" s="142"/>
      <c r="CP229" s="142"/>
      <c r="CQ229" s="142"/>
      <c r="CR229" s="142"/>
      <c r="CS229" s="142"/>
      <c r="CT229" s="142"/>
      <c r="CU229" s="142"/>
      <c r="CV229" s="142"/>
      <c r="CW229" s="142"/>
      <c r="CX229" s="142"/>
      <c r="CY229" s="142"/>
      <c r="CZ229" s="142"/>
      <c r="DA229" s="144"/>
    </row>
    <row r="230" spans="1:105" ht="20" customHeight="1">
      <c r="A230" s="18">
        <f>ROW()</f>
        <v>230</v>
      </c>
      <c r="B230" s="26" t="str">
        <f t="shared" si="3"/>
        <v/>
      </c>
      <c r="C230" s="140"/>
      <c r="D230" s="141"/>
      <c r="E230" s="141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  <c r="BS230" s="142"/>
      <c r="BT230" s="142"/>
      <c r="BU230" s="142"/>
      <c r="BV230" s="142"/>
      <c r="BW230" s="142"/>
      <c r="BX230" s="142"/>
      <c r="BY230" s="142"/>
      <c r="BZ230" s="142"/>
      <c r="CA230" s="142"/>
      <c r="CB230" s="142"/>
      <c r="CC230" s="142"/>
      <c r="CD230" s="142"/>
      <c r="CE230" s="142"/>
      <c r="CF230" s="142"/>
      <c r="CG230" s="142"/>
      <c r="CH230" s="142"/>
      <c r="CI230" s="142"/>
      <c r="CJ230" s="142"/>
      <c r="CK230" s="142"/>
      <c r="CL230" s="142"/>
      <c r="CM230" s="142"/>
      <c r="CN230" s="142"/>
      <c r="CO230" s="142"/>
      <c r="CP230" s="142"/>
      <c r="CQ230" s="142"/>
      <c r="CR230" s="142"/>
      <c r="CS230" s="142"/>
      <c r="CT230" s="142"/>
      <c r="CU230" s="142"/>
      <c r="CV230" s="142"/>
      <c r="CW230" s="142"/>
      <c r="CX230" s="142"/>
      <c r="CY230" s="142"/>
      <c r="CZ230" s="142"/>
      <c r="DA230" s="144"/>
    </row>
    <row r="231" spans="1:105" ht="20" customHeight="1">
      <c r="A231" s="18">
        <f>ROW()</f>
        <v>231</v>
      </c>
      <c r="B231" s="26" t="str">
        <f t="shared" si="3"/>
        <v/>
      </c>
      <c r="C231" s="140"/>
      <c r="D231" s="141"/>
      <c r="E231" s="141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  <c r="BS231" s="142"/>
      <c r="BT231" s="142"/>
      <c r="BU231" s="142"/>
      <c r="BV231" s="142"/>
      <c r="BW231" s="142"/>
      <c r="BX231" s="142"/>
      <c r="BY231" s="142"/>
      <c r="BZ231" s="142"/>
      <c r="CA231" s="142"/>
      <c r="CB231" s="142"/>
      <c r="CC231" s="142"/>
      <c r="CD231" s="142"/>
      <c r="CE231" s="142"/>
      <c r="CF231" s="142"/>
      <c r="CG231" s="142"/>
      <c r="CH231" s="142"/>
      <c r="CI231" s="142"/>
      <c r="CJ231" s="142"/>
      <c r="CK231" s="142"/>
      <c r="CL231" s="142"/>
      <c r="CM231" s="142"/>
      <c r="CN231" s="142"/>
      <c r="CO231" s="142"/>
      <c r="CP231" s="142"/>
      <c r="CQ231" s="142"/>
      <c r="CR231" s="142"/>
      <c r="CS231" s="142"/>
      <c r="CT231" s="142"/>
      <c r="CU231" s="142"/>
      <c r="CV231" s="142"/>
      <c r="CW231" s="142"/>
      <c r="CX231" s="142"/>
      <c r="CY231" s="142"/>
      <c r="CZ231" s="142"/>
      <c r="DA231" s="144"/>
    </row>
    <row r="232" spans="1:105" ht="20" customHeight="1">
      <c r="A232" s="18">
        <f>ROW()</f>
        <v>232</v>
      </c>
      <c r="B232" s="26" t="str">
        <f t="shared" si="3"/>
        <v/>
      </c>
      <c r="C232" s="140"/>
      <c r="D232" s="141"/>
      <c r="E232" s="141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  <c r="BS232" s="142"/>
      <c r="BT232" s="142"/>
      <c r="BU232" s="142"/>
      <c r="BV232" s="142"/>
      <c r="BW232" s="142"/>
      <c r="BX232" s="142"/>
      <c r="BY232" s="142"/>
      <c r="BZ232" s="142"/>
      <c r="CA232" s="142"/>
      <c r="CB232" s="142"/>
      <c r="CC232" s="142"/>
      <c r="CD232" s="142"/>
      <c r="CE232" s="142"/>
      <c r="CF232" s="142"/>
      <c r="CG232" s="142"/>
      <c r="CH232" s="142"/>
      <c r="CI232" s="142"/>
      <c r="CJ232" s="142"/>
      <c r="CK232" s="142"/>
      <c r="CL232" s="142"/>
      <c r="CM232" s="142"/>
      <c r="CN232" s="142"/>
      <c r="CO232" s="142"/>
      <c r="CP232" s="142"/>
      <c r="CQ232" s="142"/>
      <c r="CR232" s="142"/>
      <c r="CS232" s="142"/>
      <c r="CT232" s="142"/>
      <c r="CU232" s="142"/>
      <c r="CV232" s="142"/>
      <c r="CW232" s="142"/>
      <c r="CX232" s="142"/>
      <c r="CY232" s="142"/>
      <c r="CZ232" s="142"/>
      <c r="DA232" s="144"/>
    </row>
    <row r="233" spans="1:105" ht="20" customHeight="1">
      <c r="A233" s="18">
        <f>ROW()</f>
        <v>233</v>
      </c>
      <c r="B233" s="26" t="str">
        <f t="shared" si="3"/>
        <v/>
      </c>
      <c r="C233" s="140"/>
      <c r="D233" s="141"/>
      <c r="E233" s="141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  <c r="BS233" s="142"/>
      <c r="BT233" s="142"/>
      <c r="BU233" s="142"/>
      <c r="BV233" s="142"/>
      <c r="BW233" s="142"/>
      <c r="BX233" s="142"/>
      <c r="BY233" s="142"/>
      <c r="BZ233" s="142"/>
      <c r="CA233" s="142"/>
      <c r="CB233" s="142"/>
      <c r="CC233" s="142"/>
      <c r="CD233" s="142"/>
      <c r="CE233" s="142"/>
      <c r="CF233" s="142"/>
      <c r="CG233" s="142"/>
      <c r="CH233" s="142"/>
      <c r="CI233" s="142"/>
      <c r="CJ233" s="142"/>
      <c r="CK233" s="142"/>
      <c r="CL233" s="142"/>
      <c r="CM233" s="142"/>
      <c r="CN233" s="142"/>
      <c r="CO233" s="142"/>
      <c r="CP233" s="142"/>
      <c r="CQ233" s="142"/>
      <c r="CR233" s="142"/>
      <c r="CS233" s="142"/>
      <c r="CT233" s="142"/>
      <c r="CU233" s="142"/>
      <c r="CV233" s="142"/>
      <c r="CW233" s="142"/>
      <c r="CX233" s="142"/>
      <c r="CY233" s="142"/>
      <c r="CZ233" s="142"/>
      <c r="DA233" s="144"/>
    </row>
    <row r="234" spans="1:105" ht="20" customHeight="1">
      <c r="A234" s="18">
        <f>ROW()</f>
        <v>234</v>
      </c>
      <c r="B234" s="26" t="str">
        <f t="shared" si="3"/>
        <v/>
      </c>
      <c r="C234" s="140"/>
      <c r="D234" s="141"/>
      <c r="E234" s="141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  <c r="BS234" s="142"/>
      <c r="BT234" s="142"/>
      <c r="BU234" s="142"/>
      <c r="BV234" s="142"/>
      <c r="BW234" s="142"/>
      <c r="BX234" s="142"/>
      <c r="BY234" s="142"/>
      <c r="BZ234" s="142"/>
      <c r="CA234" s="142"/>
      <c r="CB234" s="142"/>
      <c r="CC234" s="142"/>
      <c r="CD234" s="142"/>
      <c r="CE234" s="142"/>
      <c r="CF234" s="142"/>
      <c r="CG234" s="142"/>
      <c r="CH234" s="142"/>
      <c r="CI234" s="142"/>
      <c r="CJ234" s="142"/>
      <c r="CK234" s="142"/>
      <c r="CL234" s="142"/>
      <c r="CM234" s="142"/>
      <c r="CN234" s="142"/>
      <c r="CO234" s="142"/>
      <c r="CP234" s="142"/>
      <c r="CQ234" s="142"/>
      <c r="CR234" s="142"/>
      <c r="CS234" s="142"/>
      <c r="CT234" s="142"/>
      <c r="CU234" s="142"/>
      <c r="CV234" s="142"/>
      <c r="CW234" s="142"/>
      <c r="CX234" s="142"/>
      <c r="CY234" s="142"/>
      <c r="CZ234" s="142"/>
      <c r="DA234" s="144"/>
    </row>
    <row r="235" spans="1:105" ht="20" customHeight="1">
      <c r="A235" s="18">
        <f>ROW()</f>
        <v>235</v>
      </c>
      <c r="B235" s="26" t="str">
        <f t="shared" si="3"/>
        <v/>
      </c>
      <c r="C235" s="140"/>
      <c r="D235" s="141"/>
      <c r="E235" s="141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  <c r="BS235" s="142"/>
      <c r="BT235" s="142"/>
      <c r="BU235" s="142"/>
      <c r="BV235" s="142"/>
      <c r="BW235" s="142"/>
      <c r="BX235" s="142"/>
      <c r="BY235" s="142"/>
      <c r="BZ235" s="142"/>
      <c r="CA235" s="142"/>
      <c r="CB235" s="142"/>
      <c r="CC235" s="142"/>
      <c r="CD235" s="142"/>
      <c r="CE235" s="142"/>
      <c r="CF235" s="142"/>
      <c r="CG235" s="142"/>
      <c r="CH235" s="142"/>
      <c r="CI235" s="142"/>
      <c r="CJ235" s="142"/>
      <c r="CK235" s="142"/>
      <c r="CL235" s="142"/>
      <c r="CM235" s="142"/>
      <c r="CN235" s="142"/>
      <c r="CO235" s="142"/>
      <c r="CP235" s="142"/>
      <c r="CQ235" s="142"/>
      <c r="CR235" s="142"/>
      <c r="CS235" s="142"/>
      <c r="CT235" s="142"/>
      <c r="CU235" s="142"/>
      <c r="CV235" s="142"/>
      <c r="CW235" s="142"/>
      <c r="CX235" s="142"/>
      <c r="CY235" s="142"/>
      <c r="CZ235" s="142"/>
      <c r="DA235" s="144"/>
    </row>
    <row r="236" spans="1:105" ht="20" customHeight="1">
      <c r="A236" s="18">
        <f>ROW()</f>
        <v>236</v>
      </c>
      <c r="B236" s="26" t="str">
        <f t="shared" si="3"/>
        <v/>
      </c>
      <c r="C236" s="140"/>
      <c r="D236" s="141"/>
      <c r="E236" s="141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  <c r="BS236" s="142"/>
      <c r="BT236" s="142"/>
      <c r="BU236" s="142"/>
      <c r="BV236" s="142"/>
      <c r="BW236" s="142"/>
      <c r="BX236" s="142"/>
      <c r="BY236" s="142"/>
      <c r="BZ236" s="142"/>
      <c r="CA236" s="142"/>
      <c r="CB236" s="142"/>
      <c r="CC236" s="142"/>
      <c r="CD236" s="142"/>
      <c r="CE236" s="142"/>
      <c r="CF236" s="142"/>
      <c r="CG236" s="142"/>
      <c r="CH236" s="142"/>
      <c r="CI236" s="142"/>
      <c r="CJ236" s="142"/>
      <c r="CK236" s="142"/>
      <c r="CL236" s="142"/>
      <c r="CM236" s="142"/>
      <c r="CN236" s="142"/>
      <c r="CO236" s="142"/>
      <c r="CP236" s="142"/>
      <c r="CQ236" s="142"/>
      <c r="CR236" s="142"/>
      <c r="CS236" s="142"/>
      <c r="CT236" s="142"/>
      <c r="CU236" s="142"/>
      <c r="CV236" s="142"/>
      <c r="CW236" s="142"/>
      <c r="CX236" s="142"/>
      <c r="CY236" s="142"/>
      <c r="CZ236" s="142"/>
      <c r="DA236" s="144"/>
    </row>
    <row r="237" spans="1:105" ht="20" customHeight="1">
      <c r="A237" s="18">
        <f>ROW()</f>
        <v>237</v>
      </c>
      <c r="B237" s="26" t="str">
        <f t="shared" si="3"/>
        <v/>
      </c>
      <c r="C237" s="140"/>
      <c r="D237" s="141"/>
      <c r="E237" s="141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  <c r="BS237" s="142"/>
      <c r="BT237" s="142"/>
      <c r="BU237" s="142"/>
      <c r="BV237" s="142"/>
      <c r="BW237" s="142"/>
      <c r="BX237" s="142"/>
      <c r="BY237" s="142"/>
      <c r="BZ237" s="142"/>
      <c r="CA237" s="142"/>
      <c r="CB237" s="142"/>
      <c r="CC237" s="142"/>
      <c r="CD237" s="142"/>
      <c r="CE237" s="142"/>
      <c r="CF237" s="142"/>
      <c r="CG237" s="142"/>
      <c r="CH237" s="142"/>
      <c r="CI237" s="142"/>
      <c r="CJ237" s="142"/>
      <c r="CK237" s="142"/>
      <c r="CL237" s="142"/>
      <c r="CM237" s="142"/>
      <c r="CN237" s="142"/>
      <c r="CO237" s="142"/>
      <c r="CP237" s="142"/>
      <c r="CQ237" s="142"/>
      <c r="CR237" s="142"/>
      <c r="CS237" s="142"/>
      <c r="CT237" s="142"/>
      <c r="CU237" s="142"/>
      <c r="CV237" s="142"/>
      <c r="CW237" s="142"/>
      <c r="CX237" s="142"/>
      <c r="CY237" s="142"/>
      <c r="CZ237" s="142"/>
      <c r="DA237" s="144"/>
    </row>
    <row r="238" spans="1:105" ht="20" customHeight="1">
      <c r="A238" s="18">
        <f>ROW()</f>
        <v>238</v>
      </c>
      <c r="B238" s="26" t="str">
        <f t="shared" si="3"/>
        <v/>
      </c>
      <c r="C238" s="140"/>
      <c r="D238" s="141"/>
      <c r="E238" s="141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  <c r="BS238" s="142"/>
      <c r="BT238" s="142"/>
      <c r="BU238" s="142"/>
      <c r="BV238" s="142"/>
      <c r="BW238" s="142"/>
      <c r="BX238" s="142"/>
      <c r="BY238" s="142"/>
      <c r="BZ238" s="142"/>
      <c r="CA238" s="142"/>
      <c r="CB238" s="142"/>
      <c r="CC238" s="142"/>
      <c r="CD238" s="142"/>
      <c r="CE238" s="142"/>
      <c r="CF238" s="142"/>
      <c r="CG238" s="142"/>
      <c r="CH238" s="142"/>
      <c r="CI238" s="142"/>
      <c r="CJ238" s="142"/>
      <c r="CK238" s="142"/>
      <c r="CL238" s="142"/>
      <c r="CM238" s="142"/>
      <c r="CN238" s="142"/>
      <c r="CO238" s="142"/>
      <c r="CP238" s="142"/>
      <c r="CQ238" s="142"/>
      <c r="CR238" s="142"/>
      <c r="CS238" s="142"/>
      <c r="CT238" s="142"/>
      <c r="CU238" s="142"/>
      <c r="CV238" s="142"/>
      <c r="CW238" s="142"/>
      <c r="CX238" s="142"/>
      <c r="CY238" s="142"/>
      <c r="CZ238" s="142"/>
      <c r="DA238" s="144"/>
    </row>
    <row r="239" spans="1:105" ht="20" customHeight="1">
      <c r="A239" s="18">
        <f>ROW()</f>
        <v>239</v>
      </c>
      <c r="B239" s="26" t="str">
        <f t="shared" si="3"/>
        <v/>
      </c>
      <c r="C239" s="140"/>
      <c r="D239" s="141"/>
      <c r="E239" s="141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  <c r="BS239" s="142"/>
      <c r="BT239" s="142"/>
      <c r="BU239" s="142"/>
      <c r="BV239" s="142"/>
      <c r="BW239" s="142"/>
      <c r="BX239" s="142"/>
      <c r="BY239" s="142"/>
      <c r="BZ239" s="142"/>
      <c r="CA239" s="142"/>
      <c r="CB239" s="142"/>
      <c r="CC239" s="142"/>
      <c r="CD239" s="142"/>
      <c r="CE239" s="142"/>
      <c r="CF239" s="142"/>
      <c r="CG239" s="142"/>
      <c r="CH239" s="142"/>
      <c r="CI239" s="142"/>
      <c r="CJ239" s="142"/>
      <c r="CK239" s="142"/>
      <c r="CL239" s="142"/>
      <c r="CM239" s="142"/>
      <c r="CN239" s="142"/>
      <c r="CO239" s="142"/>
      <c r="CP239" s="142"/>
      <c r="CQ239" s="142"/>
      <c r="CR239" s="142"/>
      <c r="CS239" s="142"/>
      <c r="CT239" s="142"/>
      <c r="CU239" s="142"/>
      <c r="CV239" s="142"/>
      <c r="CW239" s="142"/>
      <c r="CX239" s="142"/>
      <c r="CY239" s="142"/>
      <c r="CZ239" s="142"/>
      <c r="DA239" s="144"/>
    </row>
    <row r="240" spans="1:105" ht="20" customHeight="1">
      <c r="A240" s="18">
        <f>ROW()</f>
        <v>240</v>
      </c>
      <c r="B240" s="26" t="str">
        <f t="shared" si="3"/>
        <v/>
      </c>
      <c r="C240" s="140"/>
      <c r="D240" s="141"/>
      <c r="E240" s="141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  <c r="BS240" s="142"/>
      <c r="BT240" s="142"/>
      <c r="BU240" s="142"/>
      <c r="BV240" s="142"/>
      <c r="BW240" s="142"/>
      <c r="BX240" s="142"/>
      <c r="BY240" s="142"/>
      <c r="BZ240" s="142"/>
      <c r="CA240" s="142"/>
      <c r="CB240" s="142"/>
      <c r="CC240" s="142"/>
      <c r="CD240" s="142"/>
      <c r="CE240" s="142"/>
      <c r="CF240" s="142"/>
      <c r="CG240" s="142"/>
      <c r="CH240" s="142"/>
      <c r="CI240" s="142"/>
      <c r="CJ240" s="142"/>
      <c r="CK240" s="142"/>
      <c r="CL240" s="142"/>
      <c r="CM240" s="142"/>
      <c r="CN240" s="142"/>
      <c r="CO240" s="142"/>
      <c r="CP240" s="142"/>
      <c r="CQ240" s="142"/>
      <c r="CR240" s="142"/>
      <c r="CS240" s="142"/>
      <c r="CT240" s="142"/>
      <c r="CU240" s="142"/>
      <c r="CV240" s="142"/>
      <c r="CW240" s="142"/>
      <c r="CX240" s="142"/>
      <c r="CY240" s="142"/>
      <c r="CZ240" s="142"/>
      <c r="DA240" s="144"/>
    </row>
    <row r="241" spans="1:105" ht="20" customHeight="1">
      <c r="A241" s="18">
        <f>ROW()</f>
        <v>241</v>
      </c>
      <c r="B241" s="26" t="str">
        <f t="shared" si="3"/>
        <v/>
      </c>
      <c r="C241" s="140"/>
      <c r="D241" s="141"/>
      <c r="E241" s="141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  <c r="BK241" s="142"/>
      <c r="BL241" s="142"/>
      <c r="BM241" s="142"/>
      <c r="BN241" s="142"/>
      <c r="BO241" s="142"/>
      <c r="BP241" s="142"/>
      <c r="BQ241" s="142"/>
      <c r="BR241" s="142"/>
      <c r="BS241" s="142"/>
      <c r="BT241" s="142"/>
      <c r="BU241" s="142"/>
      <c r="BV241" s="142"/>
      <c r="BW241" s="142"/>
      <c r="BX241" s="142"/>
      <c r="BY241" s="142"/>
      <c r="BZ241" s="142"/>
      <c r="CA241" s="142"/>
      <c r="CB241" s="142"/>
      <c r="CC241" s="142"/>
      <c r="CD241" s="142"/>
      <c r="CE241" s="142"/>
      <c r="CF241" s="142"/>
      <c r="CG241" s="142"/>
      <c r="CH241" s="142"/>
      <c r="CI241" s="142"/>
      <c r="CJ241" s="142"/>
      <c r="CK241" s="142"/>
      <c r="CL241" s="142"/>
      <c r="CM241" s="142"/>
      <c r="CN241" s="142"/>
      <c r="CO241" s="142"/>
      <c r="CP241" s="142"/>
      <c r="CQ241" s="142"/>
      <c r="CR241" s="142"/>
      <c r="CS241" s="142"/>
      <c r="CT241" s="142"/>
      <c r="CU241" s="142"/>
      <c r="CV241" s="142"/>
      <c r="CW241" s="142"/>
      <c r="CX241" s="142"/>
      <c r="CY241" s="142"/>
      <c r="CZ241" s="142"/>
      <c r="DA241" s="144"/>
    </row>
    <row r="242" spans="1:105" ht="20" customHeight="1">
      <c r="A242" s="18">
        <f>ROW()</f>
        <v>242</v>
      </c>
      <c r="B242" s="26" t="str">
        <f t="shared" si="3"/>
        <v/>
      </c>
      <c r="C242" s="140"/>
      <c r="D242" s="141"/>
      <c r="E242" s="141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  <c r="BS242" s="142"/>
      <c r="BT242" s="142"/>
      <c r="BU242" s="142"/>
      <c r="BV242" s="142"/>
      <c r="BW242" s="142"/>
      <c r="BX242" s="142"/>
      <c r="BY242" s="142"/>
      <c r="BZ242" s="142"/>
      <c r="CA242" s="142"/>
      <c r="CB242" s="142"/>
      <c r="CC242" s="142"/>
      <c r="CD242" s="142"/>
      <c r="CE242" s="142"/>
      <c r="CF242" s="142"/>
      <c r="CG242" s="142"/>
      <c r="CH242" s="142"/>
      <c r="CI242" s="142"/>
      <c r="CJ242" s="142"/>
      <c r="CK242" s="142"/>
      <c r="CL242" s="142"/>
      <c r="CM242" s="142"/>
      <c r="CN242" s="142"/>
      <c r="CO242" s="142"/>
      <c r="CP242" s="142"/>
      <c r="CQ242" s="142"/>
      <c r="CR242" s="142"/>
      <c r="CS242" s="142"/>
      <c r="CT242" s="142"/>
      <c r="CU242" s="142"/>
      <c r="CV242" s="142"/>
      <c r="CW242" s="142"/>
      <c r="CX242" s="142"/>
      <c r="CY242" s="142"/>
      <c r="CZ242" s="142"/>
      <c r="DA242" s="144"/>
    </row>
    <row r="243" spans="1:105" ht="20" customHeight="1">
      <c r="A243" s="18">
        <f>ROW()</f>
        <v>243</v>
      </c>
      <c r="B243" s="26" t="str">
        <f t="shared" si="3"/>
        <v/>
      </c>
      <c r="C243" s="140"/>
      <c r="D243" s="141"/>
      <c r="E243" s="141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  <c r="BS243" s="142"/>
      <c r="BT243" s="142"/>
      <c r="BU243" s="142"/>
      <c r="BV243" s="142"/>
      <c r="BW243" s="142"/>
      <c r="BX243" s="142"/>
      <c r="BY243" s="142"/>
      <c r="BZ243" s="142"/>
      <c r="CA243" s="142"/>
      <c r="CB243" s="142"/>
      <c r="CC243" s="142"/>
      <c r="CD243" s="142"/>
      <c r="CE243" s="142"/>
      <c r="CF243" s="142"/>
      <c r="CG243" s="142"/>
      <c r="CH243" s="142"/>
      <c r="CI243" s="142"/>
      <c r="CJ243" s="142"/>
      <c r="CK243" s="142"/>
      <c r="CL243" s="142"/>
      <c r="CM243" s="142"/>
      <c r="CN243" s="142"/>
      <c r="CO243" s="142"/>
      <c r="CP243" s="142"/>
      <c r="CQ243" s="142"/>
      <c r="CR243" s="142"/>
      <c r="CS243" s="142"/>
      <c r="CT243" s="142"/>
      <c r="CU243" s="142"/>
      <c r="CV243" s="142"/>
      <c r="CW243" s="142"/>
      <c r="CX243" s="142"/>
      <c r="CY243" s="142"/>
      <c r="CZ243" s="142"/>
      <c r="DA243" s="144"/>
    </row>
    <row r="244" spans="1:105" ht="20" customHeight="1">
      <c r="A244" s="18">
        <f>ROW()</f>
        <v>244</v>
      </c>
      <c r="B244" s="26" t="str">
        <f t="shared" si="3"/>
        <v/>
      </c>
      <c r="C244" s="140"/>
      <c r="D244" s="141"/>
      <c r="E244" s="141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  <c r="BS244" s="142"/>
      <c r="BT244" s="142"/>
      <c r="BU244" s="142"/>
      <c r="BV244" s="142"/>
      <c r="BW244" s="142"/>
      <c r="BX244" s="142"/>
      <c r="BY244" s="142"/>
      <c r="BZ244" s="142"/>
      <c r="CA244" s="142"/>
      <c r="CB244" s="142"/>
      <c r="CC244" s="142"/>
      <c r="CD244" s="142"/>
      <c r="CE244" s="142"/>
      <c r="CF244" s="142"/>
      <c r="CG244" s="142"/>
      <c r="CH244" s="142"/>
      <c r="CI244" s="142"/>
      <c r="CJ244" s="142"/>
      <c r="CK244" s="142"/>
      <c r="CL244" s="142"/>
      <c r="CM244" s="142"/>
      <c r="CN244" s="142"/>
      <c r="CO244" s="142"/>
      <c r="CP244" s="142"/>
      <c r="CQ244" s="142"/>
      <c r="CR244" s="142"/>
      <c r="CS244" s="142"/>
      <c r="CT244" s="142"/>
      <c r="CU244" s="142"/>
      <c r="CV244" s="142"/>
      <c r="CW244" s="142"/>
      <c r="CX244" s="142"/>
      <c r="CY244" s="142"/>
      <c r="CZ244" s="142"/>
      <c r="DA244" s="144"/>
    </row>
    <row r="245" spans="1:105" ht="20" customHeight="1">
      <c r="A245" s="18">
        <f>ROW()</f>
        <v>245</v>
      </c>
      <c r="B245" s="26" t="str">
        <f t="shared" si="3"/>
        <v/>
      </c>
      <c r="C245" s="140"/>
      <c r="D245" s="141"/>
      <c r="E245" s="141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  <c r="BS245" s="142"/>
      <c r="BT245" s="142"/>
      <c r="BU245" s="142"/>
      <c r="BV245" s="142"/>
      <c r="BW245" s="142"/>
      <c r="BX245" s="142"/>
      <c r="BY245" s="142"/>
      <c r="BZ245" s="142"/>
      <c r="CA245" s="142"/>
      <c r="CB245" s="142"/>
      <c r="CC245" s="142"/>
      <c r="CD245" s="142"/>
      <c r="CE245" s="142"/>
      <c r="CF245" s="142"/>
      <c r="CG245" s="142"/>
      <c r="CH245" s="142"/>
      <c r="CI245" s="142"/>
      <c r="CJ245" s="142"/>
      <c r="CK245" s="142"/>
      <c r="CL245" s="142"/>
      <c r="CM245" s="142"/>
      <c r="CN245" s="142"/>
      <c r="CO245" s="142"/>
      <c r="CP245" s="142"/>
      <c r="CQ245" s="142"/>
      <c r="CR245" s="142"/>
      <c r="CS245" s="142"/>
      <c r="CT245" s="142"/>
      <c r="CU245" s="142"/>
      <c r="CV245" s="142"/>
      <c r="CW245" s="142"/>
      <c r="CX245" s="142"/>
      <c r="CY245" s="142"/>
      <c r="CZ245" s="142"/>
      <c r="DA245" s="144"/>
    </row>
    <row r="246" spans="1:105" ht="20" customHeight="1">
      <c r="A246" s="18">
        <f>ROW()</f>
        <v>246</v>
      </c>
      <c r="B246" s="26" t="str">
        <f t="shared" si="3"/>
        <v/>
      </c>
      <c r="C246" s="140"/>
      <c r="D246" s="141"/>
      <c r="E246" s="141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  <c r="BS246" s="142"/>
      <c r="BT246" s="142"/>
      <c r="BU246" s="142"/>
      <c r="BV246" s="142"/>
      <c r="BW246" s="142"/>
      <c r="BX246" s="142"/>
      <c r="BY246" s="142"/>
      <c r="BZ246" s="142"/>
      <c r="CA246" s="142"/>
      <c r="CB246" s="142"/>
      <c r="CC246" s="142"/>
      <c r="CD246" s="142"/>
      <c r="CE246" s="142"/>
      <c r="CF246" s="142"/>
      <c r="CG246" s="142"/>
      <c r="CH246" s="142"/>
      <c r="CI246" s="142"/>
      <c r="CJ246" s="142"/>
      <c r="CK246" s="142"/>
      <c r="CL246" s="142"/>
      <c r="CM246" s="142"/>
      <c r="CN246" s="142"/>
      <c r="CO246" s="142"/>
      <c r="CP246" s="142"/>
      <c r="CQ246" s="142"/>
      <c r="CR246" s="142"/>
      <c r="CS246" s="142"/>
      <c r="CT246" s="142"/>
      <c r="CU246" s="142"/>
      <c r="CV246" s="142"/>
      <c r="CW246" s="142"/>
      <c r="CX246" s="142"/>
      <c r="CY246" s="142"/>
      <c r="CZ246" s="142"/>
      <c r="DA246" s="144"/>
    </row>
    <row r="247" spans="1:105" ht="20" customHeight="1">
      <c r="A247" s="18">
        <f>ROW()</f>
        <v>247</v>
      </c>
      <c r="B247" s="26" t="str">
        <f t="shared" si="3"/>
        <v/>
      </c>
      <c r="C247" s="140"/>
      <c r="D247" s="141"/>
      <c r="E247" s="141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  <c r="BS247" s="142"/>
      <c r="BT247" s="142"/>
      <c r="BU247" s="142"/>
      <c r="BV247" s="142"/>
      <c r="BW247" s="142"/>
      <c r="BX247" s="142"/>
      <c r="BY247" s="142"/>
      <c r="BZ247" s="142"/>
      <c r="CA247" s="142"/>
      <c r="CB247" s="142"/>
      <c r="CC247" s="142"/>
      <c r="CD247" s="142"/>
      <c r="CE247" s="142"/>
      <c r="CF247" s="142"/>
      <c r="CG247" s="142"/>
      <c r="CH247" s="142"/>
      <c r="CI247" s="142"/>
      <c r="CJ247" s="142"/>
      <c r="CK247" s="142"/>
      <c r="CL247" s="142"/>
      <c r="CM247" s="142"/>
      <c r="CN247" s="142"/>
      <c r="CO247" s="142"/>
      <c r="CP247" s="142"/>
      <c r="CQ247" s="142"/>
      <c r="CR247" s="142"/>
      <c r="CS247" s="142"/>
      <c r="CT247" s="142"/>
      <c r="CU247" s="142"/>
      <c r="CV247" s="142"/>
      <c r="CW247" s="142"/>
      <c r="CX247" s="142"/>
      <c r="CY247" s="142"/>
      <c r="CZ247" s="142"/>
      <c r="DA247" s="144"/>
    </row>
    <row r="248" spans="1:105" ht="20" customHeight="1">
      <c r="A248" s="18">
        <f>ROW()</f>
        <v>248</v>
      </c>
      <c r="B248" s="26" t="str">
        <f t="shared" si="3"/>
        <v/>
      </c>
      <c r="C248" s="140"/>
      <c r="D248" s="141"/>
      <c r="E248" s="141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  <c r="BS248" s="142"/>
      <c r="BT248" s="142"/>
      <c r="BU248" s="142"/>
      <c r="BV248" s="142"/>
      <c r="BW248" s="142"/>
      <c r="BX248" s="142"/>
      <c r="BY248" s="142"/>
      <c r="BZ248" s="142"/>
      <c r="CA248" s="142"/>
      <c r="CB248" s="142"/>
      <c r="CC248" s="142"/>
      <c r="CD248" s="142"/>
      <c r="CE248" s="142"/>
      <c r="CF248" s="142"/>
      <c r="CG248" s="142"/>
      <c r="CH248" s="142"/>
      <c r="CI248" s="142"/>
      <c r="CJ248" s="142"/>
      <c r="CK248" s="142"/>
      <c r="CL248" s="142"/>
      <c r="CM248" s="142"/>
      <c r="CN248" s="142"/>
      <c r="CO248" s="142"/>
      <c r="CP248" s="142"/>
      <c r="CQ248" s="142"/>
      <c r="CR248" s="142"/>
      <c r="CS248" s="142"/>
      <c r="CT248" s="142"/>
      <c r="CU248" s="142"/>
      <c r="CV248" s="142"/>
      <c r="CW248" s="142"/>
      <c r="CX248" s="142"/>
      <c r="CY248" s="142"/>
      <c r="CZ248" s="142"/>
      <c r="DA248" s="144"/>
    </row>
    <row r="249" spans="1:105" ht="20" customHeight="1">
      <c r="A249" s="18">
        <f>ROW()</f>
        <v>249</v>
      </c>
      <c r="B249" s="26" t="str">
        <f t="shared" si="3"/>
        <v/>
      </c>
      <c r="C249" s="140"/>
      <c r="D249" s="141"/>
      <c r="E249" s="141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  <c r="BS249" s="142"/>
      <c r="BT249" s="142"/>
      <c r="BU249" s="142"/>
      <c r="BV249" s="142"/>
      <c r="BW249" s="142"/>
      <c r="BX249" s="142"/>
      <c r="BY249" s="142"/>
      <c r="BZ249" s="142"/>
      <c r="CA249" s="142"/>
      <c r="CB249" s="142"/>
      <c r="CC249" s="142"/>
      <c r="CD249" s="142"/>
      <c r="CE249" s="142"/>
      <c r="CF249" s="142"/>
      <c r="CG249" s="142"/>
      <c r="CH249" s="142"/>
      <c r="CI249" s="142"/>
      <c r="CJ249" s="142"/>
      <c r="CK249" s="142"/>
      <c r="CL249" s="142"/>
      <c r="CM249" s="142"/>
      <c r="CN249" s="142"/>
      <c r="CO249" s="142"/>
      <c r="CP249" s="142"/>
      <c r="CQ249" s="142"/>
      <c r="CR249" s="142"/>
      <c r="CS249" s="142"/>
      <c r="CT249" s="142"/>
      <c r="CU249" s="142"/>
      <c r="CV249" s="142"/>
      <c r="CW249" s="142"/>
      <c r="CX249" s="142"/>
      <c r="CY249" s="142"/>
      <c r="CZ249" s="142"/>
      <c r="DA249" s="144"/>
    </row>
    <row r="250" spans="1:105" ht="20" customHeight="1">
      <c r="A250" s="18">
        <f>ROW()</f>
        <v>250</v>
      </c>
      <c r="B250" s="26" t="str">
        <f t="shared" si="3"/>
        <v/>
      </c>
      <c r="C250" s="140"/>
      <c r="D250" s="141"/>
      <c r="E250" s="141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  <c r="BS250" s="142"/>
      <c r="BT250" s="142"/>
      <c r="BU250" s="142"/>
      <c r="BV250" s="142"/>
      <c r="BW250" s="142"/>
      <c r="BX250" s="142"/>
      <c r="BY250" s="142"/>
      <c r="BZ250" s="142"/>
      <c r="CA250" s="142"/>
      <c r="CB250" s="142"/>
      <c r="CC250" s="142"/>
      <c r="CD250" s="142"/>
      <c r="CE250" s="142"/>
      <c r="CF250" s="142"/>
      <c r="CG250" s="142"/>
      <c r="CH250" s="142"/>
      <c r="CI250" s="142"/>
      <c r="CJ250" s="142"/>
      <c r="CK250" s="142"/>
      <c r="CL250" s="142"/>
      <c r="CM250" s="142"/>
      <c r="CN250" s="142"/>
      <c r="CO250" s="142"/>
      <c r="CP250" s="142"/>
      <c r="CQ250" s="142"/>
      <c r="CR250" s="142"/>
      <c r="CS250" s="142"/>
      <c r="CT250" s="142"/>
      <c r="CU250" s="142"/>
      <c r="CV250" s="142"/>
      <c r="CW250" s="142"/>
      <c r="CX250" s="142"/>
      <c r="CY250" s="142"/>
      <c r="CZ250" s="142"/>
      <c r="DA250" s="144"/>
    </row>
    <row r="251" spans="1:105" ht="20" customHeight="1">
      <c r="A251" s="18">
        <f>ROW()</f>
        <v>251</v>
      </c>
      <c r="B251" s="26" t="str">
        <f t="shared" si="3"/>
        <v/>
      </c>
      <c r="C251" s="140"/>
      <c r="D251" s="141"/>
      <c r="E251" s="141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  <c r="BS251" s="142"/>
      <c r="BT251" s="142"/>
      <c r="BU251" s="142"/>
      <c r="BV251" s="142"/>
      <c r="BW251" s="142"/>
      <c r="BX251" s="142"/>
      <c r="BY251" s="142"/>
      <c r="BZ251" s="142"/>
      <c r="CA251" s="142"/>
      <c r="CB251" s="142"/>
      <c r="CC251" s="142"/>
      <c r="CD251" s="142"/>
      <c r="CE251" s="142"/>
      <c r="CF251" s="142"/>
      <c r="CG251" s="142"/>
      <c r="CH251" s="142"/>
      <c r="CI251" s="142"/>
      <c r="CJ251" s="142"/>
      <c r="CK251" s="142"/>
      <c r="CL251" s="142"/>
      <c r="CM251" s="142"/>
      <c r="CN251" s="142"/>
      <c r="CO251" s="142"/>
      <c r="CP251" s="142"/>
      <c r="CQ251" s="142"/>
      <c r="CR251" s="142"/>
      <c r="CS251" s="142"/>
      <c r="CT251" s="142"/>
      <c r="CU251" s="142"/>
      <c r="CV251" s="142"/>
      <c r="CW251" s="142"/>
      <c r="CX251" s="142"/>
      <c r="CY251" s="142"/>
      <c r="CZ251" s="142"/>
      <c r="DA251" s="144"/>
    </row>
    <row r="252" spans="1:105" ht="20" customHeight="1">
      <c r="A252" s="18">
        <f>ROW()</f>
        <v>252</v>
      </c>
      <c r="B252" s="26" t="str">
        <f t="shared" si="3"/>
        <v/>
      </c>
      <c r="C252" s="140"/>
      <c r="D252" s="141"/>
      <c r="E252" s="141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  <c r="BS252" s="142"/>
      <c r="BT252" s="142"/>
      <c r="BU252" s="142"/>
      <c r="BV252" s="142"/>
      <c r="BW252" s="142"/>
      <c r="BX252" s="142"/>
      <c r="BY252" s="142"/>
      <c r="BZ252" s="142"/>
      <c r="CA252" s="142"/>
      <c r="CB252" s="142"/>
      <c r="CC252" s="142"/>
      <c r="CD252" s="142"/>
      <c r="CE252" s="142"/>
      <c r="CF252" s="142"/>
      <c r="CG252" s="142"/>
      <c r="CH252" s="142"/>
      <c r="CI252" s="142"/>
      <c r="CJ252" s="142"/>
      <c r="CK252" s="142"/>
      <c r="CL252" s="142"/>
      <c r="CM252" s="142"/>
      <c r="CN252" s="142"/>
      <c r="CO252" s="142"/>
      <c r="CP252" s="142"/>
      <c r="CQ252" s="142"/>
      <c r="CR252" s="142"/>
      <c r="CS252" s="142"/>
      <c r="CT252" s="142"/>
      <c r="CU252" s="142"/>
      <c r="CV252" s="142"/>
      <c r="CW252" s="142"/>
      <c r="CX252" s="142"/>
      <c r="CY252" s="142"/>
      <c r="CZ252" s="142"/>
      <c r="DA252" s="144"/>
    </row>
    <row r="253" spans="1:105" ht="20" customHeight="1">
      <c r="A253" s="18">
        <f>ROW()</f>
        <v>253</v>
      </c>
      <c r="B253" s="26" t="str">
        <f t="shared" si="3"/>
        <v/>
      </c>
      <c r="C253" s="140"/>
      <c r="D253" s="141"/>
      <c r="E253" s="141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  <c r="BS253" s="142"/>
      <c r="BT253" s="142"/>
      <c r="BU253" s="142"/>
      <c r="BV253" s="142"/>
      <c r="BW253" s="142"/>
      <c r="BX253" s="142"/>
      <c r="BY253" s="142"/>
      <c r="BZ253" s="142"/>
      <c r="CA253" s="142"/>
      <c r="CB253" s="142"/>
      <c r="CC253" s="142"/>
      <c r="CD253" s="142"/>
      <c r="CE253" s="142"/>
      <c r="CF253" s="142"/>
      <c r="CG253" s="142"/>
      <c r="CH253" s="142"/>
      <c r="CI253" s="142"/>
      <c r="CJ253" s="142"/>
      <c r="CK253" s="142"/>
      <c r="CL253" s="142"/>
      <c r="CM253" s="142"/>
      <c r="CN253" s="142"/>
      <c r="CO253" s="142"/>
      <c r="CP253" s="142"/>
      <c r="CQ253" s="142"/>
      <c r="CR253" s="142"/>
      <c r="CS253" s="142"/>
      <c r="CT253" s="142"/>
      <c r="CU253" s="142"/>
      <c r="CV253" s="142"/>
      <c r="CW253" s="142"/>
      <c r="CX253" s="142"/>
      <c r="CY253" s="142"/>
      <c r="CZ253" s="142"/>
      <c r="DA253" s="144"/>
    </row>
    <row r="254" spans="1:105" ht="20" customHeight="1">
      <c r="A254" s="18">
        <f>ROW()</f>
        <v>254</v>
      </c>
      <c r="B254" s="26" t="str">
        <f t="shared" si="3"/>
        <v/>
      </c>
      <c r="C254" s="140"/>
      <c r="D254" s="141"/>
      <c r="E254" s="141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  <c r="BS254" s="142"/>
      <c r="BT254" s="142"/>
      <c r="BU254" s="142"/>
      <c r="BV254" s="142"/>
      <c r="BW254" s="142"/>
      <c r="BX254" s="142"/>
      <c r="BY254" s="142"/>
      <c r="BZ254" s="142"/>
      <c r="CA254" s="142"/>
      <c r="CB254" s="142"/>
      <c r="CC254" s="142"/>
      <c r="CD254" s="142"/>
      <c r="CE254" s="142"/>
      <c r="CF254" s="142"/>
      <c r="CG254" s="142"/>
      <c r="CH254" s="142"/>
      <c r="CI254" s="142"/>
      <c r="CJ254" s="142"/>
      <c r="CK254" s="142"/>
      <c r="CL254" s="142"/>
      <c r="CM254" s="142"/>
      <c r="CN254" s="142"/>
      <c r="CO254" s="142"/>
      <c r="CP254" s="142"/>
      <c r="CQ254" s="142"/>
      <c r="CR254" s="142"/>
      <c r="CS254" s="142"/>
      <c r="CT254" s="142"/>
      <c r="CU254" s="142"/>
      <c r="CV254" s="142"/>
      <c r="CW254" s="142"/>
      <c r="CX254" s="142"/>
      <c r="CY254" s="142"/>
      <c r="CZ254" s="142"/>
      <c r="DA254" s="144"/>
    </row>
    <row r="255" spans="1:105" ht="20" customHeight="1">
      <c r="A255" s="18">
        <f>ROW()</f>
        <v>255</v>
      </c>
      <c r="B255" s="26" t="str">
        <f t="shared" si="3"/>
        <v/>
      </c>
      <c r="C255" s="140"/>
      <c r="D255" s="141"/>
      <c r="E255" s="141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  <c r="BS255" s="142"/>
      <c r="BT255" s="142"/>
      <c r="BU255" s="142"/>
      <c r="BV255" s="142"/>
      <c r="BW255" s="142"/>
      <c r="BX255" s="142"/>
      <c r="BY255" s="142"/>
      <c r="BZ255" s="142"/>
      <c r="CA255" s="142"/>
      <c r="CB255" s="142"/>
      <c r="CC255" s="142"/>
      <c r="CD255" s="142"/>
      <c r="CE255" s="142"/>
      <c r="CF255" s="142"/>
      <c r="CG255" s="142"/>
      <c r="CH255" s="142"/>
      <c r="CI255" s="142"/>
      <c r="CJ255" s="142"/>
      <c r="CK255" s="142"/>
      <c r="CL255" s="142"/>
      <c r="CM255" s="142"/>
      <c r="CN255" s="142"/>
      <c r="CO255" s="142"/>
      <c r="CP255" s="142"/>
      <c r="CQ255" s="142"/>
      <c r="CR255" s="142"/>
      <c r="CS255" s="142"/>
      <c r="CT255" s="142"/>
      <c r="CU255" s="142"/>
      <c r="CV255" s="142"/>
      <c r="CW255" s="142"/>
      <c r="CX255" s="142"/>
      <c r="CY255" s="142"/>
      <c r="CZ255" s="142"/>
      <c r="DA255" s="144"/>
    </row>
    <row r="256" spans="1:105" ht="20" customHeight="1">
      <c r="A256" s="18">
        <f>ROW()</f>
        <v>256</v>
      </c>
      <c r="B256" s="26" t="str">
        <f t="shared" si="3"/>
        <v/>
      </c>
      <c r="C256" s="140"/>
      <c r="D256" s="141"/>
      <c r="E256" s="141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  <c r="BS256" s="142"/>
      <c r="BT256" s="142"/>
      <c r="BU256" s="142"/>
      <c r="BV256" s="142"/>
      <c r="BW256" s="142"/>
      <c r="BX256" s="142"/>
      <c r="BY256" s="142"/>
      <c r="BZ256" s="142"/>
      <c r="CA256" s="142"/>
      <c r="CB256" s="142"/>
      <c r="CC256" s="142"/>
      <c r="CD256" s="142"/>
      <c r="CE256" s="142"/>
      <c r="CF256" s="142"/>
      <c r="CG256" s="142"/>
      <c r="CH256" s="142"/>
      <c r="CI256" s="142"/>
      <c r="CJ256" s="142"/>
      <c r="CK256" s="142"/>
      <c r="CL256" s="142"/>
      <c r="CM256" s="142"/>
      <c r="CN256" s="142"/>
      <c r="CO256" s="142"/>
      <c r="CP256" s="142"/>
      <c r="CQ256" s="142"/>
      <c r="CR256" s="142"/>
      <c r="CS256" s="142"/>
      <c r="CT256" s="142"/>
      <c r="CU256" s="142"/>
      <c r="CV256" s="142"/>
      <c r="CW256" s="142"/>
      <c r="CX256" s="142"/>
      <c r="CY256" s="142"/>
      <c r="CZ256" s="142"/>
      <c r="DA256" s="144"/>
    </row>
    <row r="257" spans="1:105" ht="20" customHeight="1">
      <c r="A257" s="18">
        <f>ROW()</f>
        <v>257</v>
      </c>
      <c r="B257" s="26" t="str">
        <f t="shared" si="3"/>
        <v/>
      </c>
      <c r="C257" s="140"/>
      <c r="D257" s="141"/>
      <c r="E257" s="141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  <c r="BS257" s="142"/>
      <c r="BT257" s="142"/>
      <c r="BU257" s="142"/>
      <c r="BV257" s="142"/>
      <c r="BW257" s="142"/>
      <c r="BX257" s="142"/>
      <c r="BY257" s="142"/>
      <c r="BZ257" s="142"/>
      <c r="CA257" s="142"/>
      <c r="CB257" s="142"/>
      <c r="CC257" s="142"/>
      <c r="CD257" s="142"/>
      <c r="CE257" s="142"/>
      <c r="CF257" s="142"/>
      <c r="CG257" s="142"/>
      <c r="CH257" s="142"/>
      <c r="CI257" s="142"/>
      <c r="CJ257" s="142"/>
      <c r="CK257" s="142"/>
      <c r="CL257" s="142"/>
      <c r="CM257" s="142"/>
      <c r="CN257" s="142"/>
      <c r="CO257" s="142"/>
      <c r="CP257" s="142"/>
      <c r="CQ257" s="142"/>
      <c r="CR257" s="142"/>
      <c r="CS257" s="142"/>
      <c r="CT257" s="142"/>
      <c r="CU257" s="142"/>
      <c r="CV257" s="142"/>
      <c r="CW257" s="142"/>
      <c r="CX257" s="142"/>
      <c r="CY257" s="142"/>
      <c r="CZ257" s="142"/>
      <c r="DA257" s="144"/>
    </row>
    <row r="258" spans="1:105" ht="20" customHeight="1">
      <c r="A258" s="18">
        <f>ROW()</f>
        <v>258</v>
      </c>
      <c r="B258" s="26" t="str">
        <f t="shared" si="3"/>
        <v/>
      </c>
      <c r="C258" s="140"/>
      <c r="D258" s="141"/>
      <c r="E258" s="141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  <c r="BK258" s="142"/>
      <c r="BL258" s="142"/>
      <c r="BM258" s="142"/>
      <c r="BN258" s="142"/>
      <c r="BO258" s="142"/>
      <c r="BP258" s="142"/>
      <c r="BQ258" s="142"/>
      <c r="BR258" s="142"/>
      <c r="BS258" s="142"/>
      <c r="BT258" s="142"/>
      <c r="BU258" s="142"/>
      <c r="BV258" s="142"/>
      <c r="BW258" s="142"/>
      <c r="BX258" s="142"/>
      <c r="BY258" s="142"/>
      <c r="BZ258" s="142"/>
      <c r="CA258" s="142"/>
      <c r="CB258" s="142"/>
      <c r="CC258" s="142"/>
      <c r="CD258" s="142"/>
      <c r="CE258" s="142"/>
      <c r="CF258" s="142"/>
      <c r="CG258" s="142"/>
      <c r="CH258" s="142"/>
      <c r="CI258" s="142"/>
      <c r="CJ258" s="142"/>
      <c r="CK258" s="142"/>
      <c r="CL258" s="142"/>
      <c r="CM258" s="142"/>
      <c r="CN258" s="142"/>
      <c r="CO258" s="142"/>
      <c r="CP258" s="142"/>
      <c r="CQ258" s="142"/>
      <c r="CR258" s="142"/>
      <c r="CS258" s="142"/>
      <c r="CT258" s="142"/>
      <c r="CU258" s="142"/>
      <c r="CV258" s="142"/>
      <c r="CW258" s="142"/>
      <c r="CX258" s="142"/>
      <c r="CY258" s="142"/>
      <c r="CZ258" s="142"/>
      <c r="DA258" s="144"/>
    </row>
    <row r="259" spans="1:105" ht="20" customHeight="1">
      <c r="A259" s="18">
        <f>ROW()</f>
        <v>259</v>
      </c>
      <c r="B259" s="26" t="str">
        <f t="shared" si="3"/>
        <v/>
      </c>
      <c r="C259" s="140"/>
      <c r="D259" s="141"/>
      <c r="E259" s="141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  <c r="BS259" s="142"/>
      <c r="BT259" s="142"/>
      <c r="BU259" s="142"/>
      <c r="BV259" s="142"/>
      <c r="BW259" s="142"/>
      <c r="BX259" s="142"/>
      <c r="BY259" s="142"/>
      <c r="BZ259" s="142"/>
      <c r="CA259" s="142"/>
      <c r="CB259" s="142"/>
      <c r="CC259" s="142"/>
      <c r="CD259" s="142"/>
      <c r="CE259" s="142"/>
      <c r="CF259" s="142"/>
      <c r="CG259" s="142"/>
      <c r="CH259" s="142"/>
      <c r="CI259" s="142"/>
      <c r="CJ259" s="142"/>
      <c r="CK259" s="142"/>
      <c r="CL259" s="142"/>
      <c r="CM259" s="142"/>
      <c r="CN259" s="142"/>
      <c r="CO259" s="142"/>
      <c r="CP259" s="142"/>
      <c r="CQ259" s="142"/>
      <c r="CR259" s="142"/>
      <c r="CS259" s="142"/>
      <c r="CT259" s="142"/>
      <c r="CU259" s="142"/>
      <c r="CV259" s="142"/>
      <c r="CW259" s="142"/>
      <c r="CX259" s="142"/>
      <c r="CY259" s="142"/>
      <c r="CZ259" s="142"/>
      <c r="DA259" s="144"/>
    </row>
    <row r="260" spans="1:105" ht="20" customHeight="1">
      <c r="A260" s="18">
        <f>ROW()</f>
        <v>260</v>
      </c>
      <c r="B260" s="26" t="str">
        <f t="shared" si="3"/>
        <v/>
      </c>
      <c r="C260" s="140"/>
      <c r="D260" s="141"/>
      <c r="E260" s="141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  <c r="BS260" s="142"/>
      <c r="BT260" s="142"/>
      <c r="BU260" s="142"/>
      <c r="BV260" s="142"/>
      <c r="BW260" s="142"/>
      <c r="BX260" s="142"/>
      <c r="BY260" s="142"/>
      <c r="BZ260" s="142"/>
      <c r="CA260" s="142"/>
      <c r="CB260" s="142"/>
      <c r="CC260" s="142"/>
      <c r="CD260" s="142"/>
      <c r="CE260" s="142"/>
      <c r="CF260" s="142"/>
      <c r="CG260" s="142"/>
      <c r="CH260" s="142"/>
      <c r="CI260" s="142"/>
      <c r="CJ260" s="142"/>
      <c r="CK260" s="142"/>
      <c r="CL260" s="142"/>
      <c r="CM260" s="142"/>
      <c r="CN260" s="142"/>
      <c r="CO260" s="142"/>
      <c r="CP260" s="142"/>
      <c r="CQ260" s="142"/>
      <c r="CR260" s="142"/>
      <c r="CS260" s="142"/>
      <c r="CT260" s="142"/>
      <c r="CU260" s="142"/>
      <c r="CV260" s="142"/>
      <c r="CW260" s="142"/>
      <c r="CX260" s="142"/>
      <c r="CY260" s="142"/>
      <c r="CZ260" s="142"/>
      <c r="DA260" s="144"/>
    </row>
    <row r="261" spans="1:105" ht="20" customHeight="1">
      <c r="A261" s="18">
        <f>ROW()</f>
        <v>261</v>
      </c>
      <c r="B261" s="26" t="str">
        <f t="shared" si="3"/>
        <v/>
      </c>
      <c r="C261" s="140"/>
      <c r="D261" s="141"/>
      <c r="E261" s="141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  <c r="BS261" s="142"/>
      <c r="BT261" s="142"/>
      <c r="BU261" s="142"/>
      <c r="BV261" s="142"/>
      <c r="BW261" s="142"/>
      <c r="BX261" s="142"/>
      <c r="BY261" s="142"/>
      <c r="BZ261" s="142"/>
      <c r="CA261" s="142"/>
      <c r="CB261" s="142"/>
      <c r="CC261" s="142"/>
      <c r="CD261" s="142"/>
      <c r="CE261" s="142"/>
      <c r="CF261" s="142"/>
      <c r="CG261" s="142"/>
      <c r="CH261" s="142"/>
      <c r="CI261" s="142"/>
      <c r="CJ261" s="142"/>
      <c r="CK261" s="142"/>
      <c r="CL261" s="142"/>
      <c r="CM261" s="142"/>
      <c r="CN261" s="142"/>
      <c r="CO261" s="142"/>
      <c r="CP261" s="142"/>
      <c r="CQ261" s="142"/>
      <c r="CR261" s="142"/>
      <c r="CS261" s="142"/>
      <c r="CT261" s="142"/>
      <c r="CU261" s="142"/>
      <c r="CV261" s="142"/>
      <c r="CW261" s="142"/>
      <c r="CX261" s="142"/>
      <c r="CY261" s="142"/>
      <c r="CZ261" s="142"/>
      <c r="DA261" s="144"/>
    </row>
    <row r="262" spans="1:105" ht="20" customHeight="1">
      <c r="A262" s="18">
        <f>ROW()</f>
        <v>262</v>
      </c>
      <c r="B262" s="26" t="str">
        <f t="shared" si="3"/>
        <v/>
      </c>
      <c r="C262" s="140"/>
      <c r="D262" s="141"/>
      <c r="E262" s="141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  <c r="BS262" s="142"/>
      <c r="BT262" s="142"/>
      <c r="BU262" s="142"/>
      <c r="BV262" s="142"/>
      <c r="BW262" s="142"/>
      <c r="BX262" s="142"/>
      <c r="BY262" s="142"/>
      <c r="BZ262" s="142"/>
      <c r="CA262" s="142"/>
      <c r="CB262" s="142"/>
      <c r="CC262" s="142"/>
      <c r="CD262" s="142"/>
      <c r="CE262" s="142"/>
      <c r="CF262" s="142"/>
      <c r="CG262" s="142"/>
      <c r="CH262" s="142"/>
      <c r="CI262" s="142"/>
      <c r="CJ262" s="142"/>
      <c r="CK262" s="142"/>
      <c r="CL262" s="142"/>
      <c r="CM262" s="142"/>
      <c r="CN262" s="142"/>
      <c r="CO262" s="142"/>
      <c r="CP262" s="142"/>
      <c r="CQ262" s="142"/>
      <c r="CR262" s="142"/>
      <c r="CS262" s="142"/>
      <c r="CT262" s="142"/>
      <c r="CU262" s="142"/>
      <c r="CV262" s="142"/>
      <c r="CW262" s="142"/>
      <c r="CX262" s="142"/>
      <c r="CY262" s="142"/>
      <c r="CZ262" s="142"/>
      <c r="DA262" s="144"/>
    </row>
    <row r="263" spans="1:105" ht="20" customHeight="1">
      <c r="A263" s="18">
        <f>ROW()</f>
        <v>263</v>
      </c>
      <c r="B263" s="26" t="str">
        <f t="shared" si="3"/>
        <v/>
      </c>
      <c r="C263" s="140"/>
      <c r="D263" s="141"/>
      <c r="E263" s="141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  <c r="BS263" s="142"/>
      <c r="BT263" s="142"/>
      <c r="BU263" s="142"/>
      <c r="BV263" s="142"/>
      <c r="BW263" s="142"/>
      <c r="BX263" s="142"/>
      <c r="BY263" s="142"/>
      <c r="BZ263" s="142"/>
      <c r="CA263" s="142"/>
      <c r="CB263" s="142"/>
      <c r="CC263" s="142"/>
      <c r="CD263" s="142"/>
      <c r="CE263" s="142"/>
      <c r="CF263" s="142"/>
      <c r="CG263" s="142"/>
      <c r="CH263" s="142"/>
      <c r="CI263" s="142"/>
      <c r="CJ263" s="142"/>
      <c r="CK263" s="142"/>
      <c r="CL263" s="142"/>
      <c r="CM263" s="142"/>
      <c r="CN263" s="142"/>
      <c r="CO263" s="142"/>
      <c r="CP263" s="142"/>
      <c r="CQ263" s="142"/>
      <c r="CR263" s="142"/>
      <c r="CS263" s="142"/>
      <c r="CT263" s="142"/>
      <c r="CU263" s="142"/>
      <c r="CV263" s="142"/>
      <c r="CW263" s="142"/>
      <c r="CX263" s="142"/>
      <c r="CY263" s="142"/>
      <c r="CZ263" s="142"/>
      <c r="DA263" s="144"/>
    </row>
    <row r="264" spans="1:105" ht="20" customHeight="1">
      <c r="A264" s="18">
        <f>ROW()</f>
        <v>264</v>
      </c>
      <c r="B264" s="26" t="str">
        <f t="shared" si="3"/>
        <v/>
      </c>
      <c r="C264" s="140"/>
      <c r="D264" s="141"/>
      <c r="E264" s="141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  <c r="BS264" s="142"/>
      <c r="BT264" s="142"/>
      <c r="BU264" s="142"/>
      <c r="BV264" s="142"/>
      <c r="BW264" s="142"/>
      <c r="BX264" s="142"/>
      <c r="BY264" s="142"/>
      <c r="BZ264" s="142"/>
      <c r="CA264" s="142"/>
      <c r="CB264" s="142"/>
      <c r="CC264" s="142"/>
      <c r="CD264" s="142"/>
      <c r="CE264" s="142"/>
      <c r="CF264" s="142"/>
      <c r="CG264" s="142"/>
      <c r="CH264" s="142"/>
      <c r="CI264" s="142"/>
      <c r="CJ264" s="142"/>
      <c r="CK264" s="142"/>
      <c r="CL264" s="142"/>
      <c r="CM264" s="142"/>
      <c r="CN264" s="142"/>
      <c r="CO264" s="142"/>
      <c r="CP264" s="142"/>
      <c r="CQ264" s="142"/>
      <c r="CR264" s="142"/>
      <c r="CS264" s="142"/>
      <c r="CT264" s="142"/>
      <c r="CU264" s="142"/>
      <c r="CV264" s="142"/>
      <c r="CW264" s="142"/>
      <c r="CX264" s="142"/>
      <c r="CY264" s="142"/>
      <c r="CZ264" s="142"/>
      <c r="DA264" s="144"/>
    </row>
    <row r="265" spans="1:105" ht="20" customHeight="1">
      <c r="A265" s="18">
        <f>ROW()</f>
        <v>265</v>
      </c>
      <c r="B265" s="26" t="str">
        <f t="shared" si="3"/>
        <v/>
      </c>
      <c r="C265" s="140"/>
      <c r="D265" s="141"/>
      <c r="E265" s="141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  <c r="BS265" s="142"/>
      <c r="BT265" s="142"/>
      <c r="BU265" s="142"/>
      <c r="BV265" s="142"/>
      <c r="BW265" s="142"/>
      <c r="BX265" s="142"/>
      <c r="BY265" s="142"/>
      <c r="BZ265" s="142"/>
      <c r="CA265" s="142"/>
      <c r="CB265" s="142"/>
      <c r="CC265" s="142"/>
      <c r="CD265" s="142"/>
      <c r="CE265" s="142"/>
      <c r="CF265" s="142"/>
      <c r="CG265" s="142"/>
      <c r="CH265" s="142"/>
      <c r="CI265" s="142"/>
      <c r="CJ265" s="142"/>
      <c r="CK265" s="142"/>
      <c r="CL265" s="142"/>
      <c r="CM265" s="142"/>
      <c r="CN265" s="142"/>
      <c r="CO265" s="142"/>
      <c r="CP265" s="142"/>
      <c r="CQ265" s="142"/>
      <c r="CR265" s="142"/>
      <c r="CS265" s="142"/>
      <c r="CT265" s="142"/>
      <c r="CU265" s="142"/>
      <c r="CV265" s="142"/>
      <c r="CW265" s="142"/>
      <c r="CX265" s="142"/>
      <c r="CY265" s="142"/>
      <c r="CZ265" s="142"/>
      <c r="DA265" s="144"/>
    </row>
    <row r="266" spans="1:105" ht="20" customHeight="1">
      <c r="A266" s="18">
        <f>ROW()</f>
        <v>266</v>
      </c>
      <c r="B266" s="26" t="str">
        <f t="shared" si="3"/>
        <v/>
      </c>
      <c r="C266" s="140"/>
      <c r="D266" s="141"/>
      <c r="E266" s="141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  <c r="BS266" s="142"/>
      <c r="BT266" s="142"/>
      <c r="BU266" s="142"/>
      <c r="BV266" s="142"/>
      <c r="BW266" s="142"/>
      <c r="BX266" s="142"/>
      <c r="BY266" s="142"/>
      <c r="BZ266" s="142"/>
      <c r="CA266" s="142"/>
      <c r="CB266" s="142"/>
      <c r="CC266" s="142"/>
      <c r="CD266" s="142"/>
      <c r="CE266" s="142"/>
      <c r="CF266" s="142"/>
      <c r="CG266" s="142"/>
      <c r="CH266" s="142"/>
      <c r="CI266" s="142"/>
      <c r="CJ266" s="142"/>
      <c r="CK266" s="142"/>
      <c r="CL266" s="142"/>
      <c r="CM266" s="142"/>
      <c r="CN266" s="142"/>
      <c r="CO266" s="142"/>
      <c r="CP266" s="142"/>
      <c r="CQ266" s="142"/>
      <c r="CR266" s="142"/>
      <c r="CS266" s="142"/>
      <c r="CT266" s="142"/>
      <c r="CU266" s="142"/>
      <c r="CV266" s="142"/>
      <c r="CW266" s="142"/>
      <c r="CX266" s="142"/>
      <c r="CY266" s="142"/>
      <c r="CZ266" s="142"/>
      <c r="DA266" s="144"/>
    </row>
    <row r="267" spans="1:105" ht="20" customHeight="1">
      <c r="A267" s="18">
        <f>ROW()</f>
        <v>267</v>
      </c>
      <c r="B267" s="26" t="str">
        <f t="shared" si="3"/>
        <v/>
      </c>
      <c r="C267" s="140"/>
      <c r="D267" s="141"/>
      <c r="E267" s="141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  <c r="BS267" s="142"/>
      <c r="BT267" s="142"/>
      <c r="BU267" s="142"/>
      <c r="BV267" s="142"/>
      <c r="BW267" s="142"/>
      <c r="BX267" s="142"/>
      <c r="BY267" s="142"/>
      <c r="BZ267" s="142"/>
      <c r="CA267" s="142"/>
      <c r="CB267" s="142"/>
      <c r="CC267" s="142"/>
      <c r="CD267" s="142"/>
      <c r="CE267" s="142"/>
      <c r="CF267" s="142"/>
      <c r="CG267" s="142"/>
      <c r="CH267" s="142"/>
      <c r="CI267" s="142"/>
      <c r="CJ267" s="142"/>
      <c r="CK267" s="142"/>
      <c r="CL267" s="142"/>
      <c r="CM267" s="142"/>
      <c r="CN267" s="142"/>
      <c r="CO267" s="142"/>
      <c r="CP267" s="142"/>
      <c r="CQ267" s="142"/>
      <c r="CR267" s="142"/>
      <c r="CS267" s="142"/>
      <c r="CT267" s="142"/>
      <c r="CU267" s="142"/>
      <c r="CV267" s="142"/>
      <c r="CW267" s="142"/>
      <c r="CX267" s="142"/>
      <c r="CY267" s="142"/>
      <c r="CZ267" s="142"/>
      <c r="DA267" s="144"/>
    </row>
    <row r="268" spans="1:105" ht="20" customHeight="1">
      <c r="A268" s="18">
        <f>ROW()</f>
        <v>268</v>
      </c>
      <c r="B268" s="26" t="str">
        <f t="shared" si="3"/>
        <v/>
      </c>
      <c r="C268" s="140"/>
      <c r="D268" s="141"/>
      <c r="E268" s="141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  <c r="BS268" s="142"/>
      <c r="BT268" s="142"/>
      <c r="BU268" s="142"/>
      <c r="BV268" s="142"/>
      <c r="BW268" s="142"/>
      <c r="BX268" s="142"/>
      <c r="BY268" s="142"/>
      <c r="BZ268" s="142"/>
      <c r="CA268" s="142"/>
      <c r="CB268" s="142"/>
      <c r="CC268" s="142"/>
      <c r="CD268" s="142"/>
      <c r="CE268" s="142"/>
      <c r="CF268" s="142"/>
      <c r="CG268" s="142"/>
      <c r="CH268" s="142"/>
      <c r="CI268" s="142"/>
      <c r="CJ268" s="142"/>
      <c r="CK268" s="142"/>
      <c r="CL268" s="142"/>
      <c r="CM268" s="142"/>
      <c r="CN268" s="142"/>
      <c r="CO268" s="142"/>
      <c r="CP268" s="142"/>
      <c r="CQ268" s="142"/>
      <c r="CR268" s="142"/>
      <c r="CS268" s="142"/>
      <c r="CT268" s="142"/>
      <c r="CU268" s="142"/>
      <c r="CV268" s="142"/>
      <c r="CW268" s="142"/>
      <c r="CX268" s="142"/>
      <c r="CY268" s="142"/>
      <c r="CZ268" s="142"/>
      <c r="DA268" s="144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40"/>
      <c r="D269" s="141"/>
      <c r="E269" s="141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  <c r="BS269" s="142"/>
      <c r="BT269" s="142"/>
      <c r="BU269" s="142"/>
      <c r="BV269" s="142"/>
      <c r="BW269" s="142"/>
      <c r="BX269" s="142"/>
      <c r="BY269" s="142"/>
      <c r="BZ269" s="142"/>
      <c r="CA269" s="142"/>
      <c r="CB269" s="142"/>
      <c r="CC269" s="142"/>
      <c r="CD269" s="142"/>
      <c r="CE269" s="142"/>
      <c r="CF269" s="142"/>
      <c r="CG269" s="142"/>
      <c r="CH269" s="142"/>
      <c r="CI269" s="142"/>
      <c r="CJ269" s="142"/>
      <c r="CK269" s="142"/>
      <c r="CL269" s="142"/>
      <c r="CM269" s="142"/>
      <c r="CN269" s="142"/>
      <c r="CO269" s="142"/>
      <c r="CP269" s="142"/>
      <c r="CQ269" s="142"/>
      <c r="CR269" s="142"/>
      <c r="CS269" s="142"/>
      <c r="CT269" s="142"/>
      <c r="CU269" s="142"/>
      <c r="CV269" s="142"/>
      <c r="CW269" s="142"/>
      <c r="CX269" s="142"/>
      <c r="CY269" s="142"/>
      <c r="CZ269" s="142"/>
      <c r="DA269" s="144"/>
    </row>
    <row r="270" spans="1:105" ht="20" customHeight="1">
      <c r="A270" s="18">
        <f>ROW()</f>
        <v>270</v>
      </c>
      <c r="B270" s="26" t="str">
        <f t="shared" si="4"/>
        <v/>
      </c>
      <c r="C270" s="140"/>
      <c r="D270" s="141"/>
      <c r="E270" s="141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  <c r="BS270" s="142"/>
      <c r="BT270" s="142"/>
      <c r="BU270" s="142"/>
      <c r="BV270" s="142"/>
      <c r="BW270" s="142"/>
      <c r="BX270" s="142"/>
      <c r="BY270" s="142"/>
      <c r="BZ270" s="142"/>
      <c r="CA270" s="142"/>
      <c r="CB270" s="142"/>
      <c r="CC270" s="142"/>
      <c r="CD270" s="142"/>
      <c r="CE270" s="142"/>
      <c r="CF270" s="142"/>
      <c r="CG270" s="142"/>
      <c r="CH270" s="142"/>
      <c r="CI270" s="142"/>
      <c r="CJ270" s="142"/>
      <c r="CK270" s="142"/>
      <c r="CL270" s="142"/>
      <c r="CM270" s="142"/>
      <c r="CN270" s="142"/>
      <c r="CO270" s="142"/>
      <c r="CP270" s="142"/>
      <c r="CQ270" s="142"/>
      <c r="CR270" s="142"/>
      <c r="CS270" s="142"/>
      <c r="CT270" s="142"/>
      <c r="CU270" s="142"/>
      <c r="CV270" s="142"/>
      <c r="CW270" s="142"/>
      <c r="CX270" s="142"/>
      <c r="CY270" s="142"/>
      <c r="CZ270" s="142"/>
      <c r="DA270" s="144"/>
    </row>
    <row r="271" spans="1:105" ht="20" customHeight="1">
      <c r="A271" s="18">
        <f>ROW()</f>
        <v>271</v>
      </c>
      <c r="B271" s="26" t="str">
        <f t="shared" si="4"/>
        <v/>
      </c>
      <c r="C271" s="140"/>
      <c r="D271" s="141"/>
      <c r="E271" s="141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  <c r="BS271" s="142"/>
      <c r="BT271" s="142"/>
      <c r="BU271" s="142"/>
      <c r="BV271" s="142"/>
      <c r="BW271" s="142"/>
      <c r="BX271" s="142"/>
      <c r="BY271" s="142"/>
      <c r="BZ271" s="142"/>
      <c r="CA271" s="142"/>
      <c r="CB271" s="142"/>
      <c r="CC271" s="142"/>
      <c r="CD271" s="142"/>
      <c r="CE271" s="142"/>
      <c r="CF271" s="142"/>
      <c r="CG271" s="142"/>
      <c r="CH271" s="142"/>
      <c r="CI271" s="142"/>
      <c r="CJ271" s="142"/>
      <c r="CK271" s="142"/>
      <c r="CL271" s="142"/>
      <c r="CM271" s="142"/>
      <c r="CN271" s="142"/>
      <c r="CO271" s="142"/>
      <c r="CP271" s="142"/>
      <c r="CQ271" s="142"/>
      <c r="CR271" s="142"/>
      <c r="CS271" s="142"/>
      <c r="CT271" s="142"/>
      <c r="CU271" s="142"/>
      <c r="CV271" s="142"/>
      <c r="CW271" s="142"/>
      <c r="CX271" s="142"/>
      <c r="CY271" s="142"/>
      <c r="CZ271" s="142"/>
      <c r="DA271" s="144"/>
    </row>
    <row r="272" spans="1:105" ht="20" customHeight="1">
      <c r="A272" s="18">
        <f>ROW()</f>
        <v>272</v>
      </c>
      <c r="B272" s="26" t="str">
        <f t="shared" si="4"/>
        <v/>
      </c>
      <c r="C272" s="140"/>
      <c r="D272" s="141"/>
      <c r="E272" s="141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  <c r="BS272" s="142"/>
      <c r="BT272" s="142"/>
      <c r="BU272" s="142"/>
      <c r="BV272" s="142"/>
      <c r="BW272" s="142"/>
      <c r="BX272" s="142"/>
      <c r="BY272" s="142"/>
      <c r="BZ272" s="142"/>
      <c r="CA272" s="142"/>
      <c r="CB272" s="142"/>
      <c r="CC272" s="142"/>
      <c r="CD272" s="142"/>
      <c r="CE272" s="142"/>
      <c r="CF272" s="142"/>
      <c r="CG272" s="142"/>
      <c r="CH272" s="142"/>
      <c r="CI272" s="142"/>
      <c r="CJ272" s="142"/>
      <c r="CK272" s="142"/>
      <c r="CL272" s="142"/>
      <c r="CM272" s="142"/>
      <c r="CN272" s="142"/>
      <c r="CO272" s="142"/>
      <c r="CP272" s="142"/>
      <c r="CQ272" s="142"/>
      <c r="CR272" s="142"/>
      <c r="CS272" s="142"/>
      <c r="CT272" s="142"/>
      <c r="CU272" s="142"/>
      <c r="CV272" s="142"/>
      <c r="CW272" s="142"/>
      <c r="CX272" s="142"/>
      <c r="CY272" s="142"/>
      <c r="CZ272" s="142"/>
      <c r="DA272" s="144"/>
    </row>
    <row r="273" spans="1:105" ht="20" customHeight="1">
      <c r="A273" s="18">
        <f>ROW()</f>
        <v>273</v>
      </c>
      <c r="B273" s="26" t="str">
        <f t="shared" si="4"/>
        <v/>
      </c>
      <c r="C273" s="140"/>
      <c r="D273" s="141"/>
      <c r="E273" s="141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  <c r="BS273" s="142"/>
      <c r="BT273" s="142"/>
      <c r="BU273" s="142"/>
      <c r="BV273" s="142"/>
      <c r="BW273" s="142"/>
      <c r="BX273" s="142"/>
      <c r="BY273" s="142"/>
      <c r="BZ273" s="142"/>
      <c r="CA273" s="142"/>
      <c r="CB273" s="142"/>
      <c r="CC273" s="142"/>
      <c r="CD273" s="142"/>
      <c r="CE273" s="142"/>
      <c r="CF273" s="142"/>
      <c r="CG273" s="142"/>
      <c r="CH273" s="142"/>
      <c r="CI273" s="142"/>
      <c r="CJ273" s="142"/>
      <c r="CK273" s="142"/>
      <c r="CL273" s="142"/>
      <c r="CM273" s="142"/>
      <c r="CN273" s="142"/>
      <c r="CO273" s="142"/>
      <c r="CP273" s="142"/>
      <c r="CQ273" s="142"/>
      <c r="CR273" s="142"/>
      <c r="CS273" s="142"/>
      <c r="CT273" s="142"/>
      <c r="CU273" s="142"/>
      <c r="CV273" s="142"/>
      <c r="CW273" s="142"/>
      <c r="CX273" s="142"/>
      <c r="CY273" s="142"/>
      <c r="CZ273" s="142"/>
      <c r="DA273" s="144"/>
    </row>
    <row r="274" spans="1:105" ht="20" customHeight="1">
      <c r="A274" s="18">
        <f>ROW()</f>
        <v>274</v>
      </c>
      <c r="B274" s="26" t="str">
        <f t="shared" si="4"/>
        <v/>
      </c>
      <c r="C274" s="140"/>
      <c r="D274" s="141"/>
      <c r="E274" s="141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  <c r="BS274" s="142"/>
      <c r="BT274" s="142"/>
      <c r="BU274" s="142"/>
      <c r="BV274" s="142"/>
      <c r="BW274" s="142"/>
      <c r="BX274" s="142"/>
      <c r="BY274" s="142"/>
      <c r="BZ274" s="142"/>
      <c r="CA274" s="142"/>
      <c r="CB274" s="142"/>
      <c r="CC274" s="142"/>
      <c r="CD274" s="142"/>
      <c r="CE274" s="142"/>
      <c r="CF274" s="142"/>
      <c r="CG274" s="142"/>
      <c r="CH274" s="142"/>
      <c r="CI274" s="142"/>
      <c r="CJ274" s="142"/>
      <c r="CK274" s="142"/>
      <c r="CL274" s="142"/>
      <c r="CM274" s="142"/>
      <c r="CN274" s="142"/>
      <c r="CO274" s="142"/>
      <c r="CP274" s="142"/>
      <c r="CQ274" s="142"/>
      <c r="CR274" s="142"/>
      <c r="CS274" s="142"/>
      <c r="CT274" s="142"/>
      <c r="CU274" s="142"/>
      <c r="CV274" s="142"/>
      <c r="CW274" s="142"/>
      <c r="CX274" s="142"/>
      <c r="CY274" s="142"/>
      <c r="CZ274" s="142"/>
      <c r="DA274" s="144"/>
    </row>
    <row r="275" spans="1:105" ht="20" customHeight="1">
      <c r="A275" s="18">
        <f>ROW()</f>
        <v>275</v>
      </c>
      <c r="B275" s="26" t="str">
        <f t="shared" si="4"/>
        <v/>
      </c>
      <c r="C275" s="140"/>
      <c r="D275" s="141"/>
      <c r="E275" s="141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  <c r="BK275" s="142"/>
      <c r="BL275" s="142"/>
      <c r="BM275" s="142"/>
      <c r="BN275" s="142"/>
      <c r="BO275" s="142"/>
      <c r="BP275" s="142"/>
      <c r="BQ275" s="142"/>
      <c r="BR275" s="142"/>
      <c r="BS275" s="142"/>
      <c r="BT275" s="142"/>
      <c r="BU275" s="142"/>
      <c r="BV275" s="142"/>
      <c r="BW275" s="142"/>
      <c r="BX275" s="142"/>
      <c r="BY275" s="142"/>
      <c r="BZ275" s="142"/>
      <c r="CA275" s="142"/>
      <c r="CB275" s="142"/>
      <c r="CC275" s="142"/>
      <c r="CD275" s="142"/>
      <c r="CE275" s="142"/>
      <c r="CF275" s="142"/>
      <c r="CG275" s="142"/>
      <c r="CH275" s="142"/>
      <c r="CI275" s="142"/>
      <c r="CJ275" s="142"/>
      <c r="CK275" s="142"/>
      <c r="CL275" s="142"/>
      <c r="CM275" s="142"/>
      <c r="CN275" s="142"/>
      <c r="CO275" s="142"/>
      <c r="CP275" s="142"/>
      <c r="CQ275" s="142"/>
      <c r="CR275" s="142"/>
      <c r="CS275" s="142"/>
      <c r="CT275" s="142"/>
      <c r="CU275" s="142"/>
      <c r="CV275" s="142"/>
      <c r="CW275" s="142"/>
      <c r="CX275" s="142"/>
      <c r="CY275" s="142"/>
      <c r="CZ275" s="142"/>
      <c r="DA275" s="144"/>
    </row>
    <row r="276" spans="1:105" ht="20" customHeight="1">
      <c r="A276" s="18">
        <f>ROW()</f>
        <v>276</v>
      </c>
      <c r="B276" s="26" t="str">
        <f t="shared" si="4"/>
        <v/>
      </c>
      <c r="C276" s="140"/>
      <c r="D276" s="141"/>
      <c r="E276" s="141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  <c r="BS276" s="142"/>
      <c r="BT276" s="142"/>
      <c r="BU276" s="142"/>
      <c r="BV276" s="142"/>
      <c r="BW276" s="142"/>
      <c r="BX276" s="142"/>
      <c r="BY276" s="142"/>
      <c r="BZ276" s="142"/>
      <c r="CA276" s="142"/>
      <c r="CB276" s="142"/>
      <c r="CC276" s="142"/>
      <c r="CD276" s="142"/>
      <c r="CE276" s="142"/>
      <c r="CF276" s="142"/>
      <c r="CG276" s="142"/>
      <c r="CH276" s="142"/>
      <c r="CI276" s="142"/>
      <c r="CJ276" s="142"/>
      <c r="CK276" s="142"/>
      <c r="CL276" s="142"/>
      <c r="CM276" s="142"/>
      <c r="CN276" s="142"/>
      <c r="CO276" s="142"/>
      <c r="CP276" s="142"/>
      <c r="CQ276" s="142"/>
      <c r="CR276" s="142"/>
      <c r="CS276" s="142"/>
      <c r="CT276" s="142"/>
      <c r="CU276" s="142"/>
      <c r="CV276" s="142"/>
      <c r="CW276" s="142"/>
      <c r="CX276" s="142"/>
      <c r="CY276" s="142"/>
      <c r="CZ276" s="142"/>
      <c r="DA276" s="144"/>
    </row>
    <row r="277" spans="1:105" ht="20" customHeight="1">
      <c r="A277" s="18">
        <f>ROW()</f>
        <v>277</v>
      </c>
      <c r="B277" s="26" t="str">
        <f t="shared" si="4"/>
        <v/>
      </c>
      <c r="C277" s="140"/>
      <c r="D277" s="141"/>
      <c r="E277" s="141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  <c r="BS277" s="142"/>
      <c r="BT277" s="142"/>
      <c r="BU277" s="142"/>
      <c r="BV277" s="142"/>
      <c r="BW277" s="142"/>
      <c r="BX277" s="142"/>
      <c r="BY277" s="142"/>
      <c r="BZ277" s="142"/>
      <c r="CA277" s="142"/>
      <c r="CB277" s="142"/>
      <c r="CC277" s="142"/>
      <c r="CD277" s="142"/>
      <c r="CE277" s="142"/>
      <c r="CF277" s="142"/>
      <c r="CG277" s="142"/>
      <c r="CH277" s="142"/>
      <c r="CI277" s="142"/>
      <c r="CJ277" s="142"/>
      <c r="CK277" s="142"/>
      <c r="CL277" s="142"/>
      <c r="CM277" s="142"/>
      <c r="CN277" s="142"/>
      <c r="CO277" s="142"/>
      <c r="CP277" s="142"/>
      <c r="CQ277" s="142"/>
      <c r="CR277" s="142"/>
      <c r="CS277" s="142"/>
      <c r="CT277" s="142"/>
      <c r="CU277" s="142"/>
      <c r="CV277" s="142"/>
      <c r="CW277" s="142"/>
      <c r="CX277" s="142"/>
      <c r="CY277" s="142"/>
      <c r="CZ277" s="142"/>
      <c r="DA277" s="144"/>
    </row>
    <row r="278" spans="1:105" ht="20" customHeight="1">
      <c r="A278" s="18">
        <f>ROW()</f>
        <v>278</v>
      </c>
      <c r="B278" s="26" t="str">
        <f t="shared" si="4"/>
        <v/>
      </c>
      <c r="C278" s="140"/>
      <c r="D278" s="141"/>
      <c r="E278" s="141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  <c r="BS278" s="142"/>
      <c r="BT278" s="142"/>
      <c r="BU278" s="142"/>
      <c r="BV278" s="142"/>
      <c r="BW278" s="142"/>
      <c r="BX278" s="142"/>
      <c r="BY278" s="142"/>
      <c r="BZ278" s="142"/>
      <c r="CA278" s="142"/>
      <c r="CB278" s="142"/>
      <c r="CC278" s="142"/>
      <c r="CD278" s="142"/>
      <c r="CE278" s="142"/>
      <c r="CF278" s="142"/>
      <c r="CG278" s="142"/>
      <c r="CH278" s="142"/>
      <c r="CI278" s="142"/>
      <c r="CJ278" s="142"/>
      <c r="CK278" s="142"/>
      <c r="CL278" s="142"/>
      <c r="CM278" s="142"/>
      <c r="CN278" s="142"/>
      <c r="CO278" s="142"/>
      <c r="CP278" s="142"/>
      <c r="CQ278" s="142"/>
      <c r="CR278" s="142"/>
      <c r="CS278" s="142"/>
      <c r="CT278" s="142"/>
      <c r="CU278" s="142"/>
      <c r="CV278" s="142"/>
      <c r="CW278" s="142"/>
      <c r="CX278" s="142"/>
      <c r="CY278" s="142"/>
      <c r="CZ278" s="142"/>
      <c r="DA278" s="144"/>
    </row>
    <row r="279" spans="1:105" ht="20" customHeight="1">
      <c r="A279" s="18">
        <f>ROW()</f>
        <v>279</v>
      </c>
      <c r="B279" s="26" t="str">
        <f t="shared" si="4"/>
        <v/>
      </c>
      <c r="C279" s="140"/>
      <c r="D279" s="141"/>
      <c r="E279" s="141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  <c r="BS279" s="142"/>
      <c r="BT279" s="142"/>
      <c r="BU279" s="142"/>
      <c r="BV279" s="142"/>
      <c r="BW279" s="142"/>
      <c r="BX279" s="142"/>
      <c r="BY279" s="142"/>
      <c r="BZ279" s="142"/>
      <c r="CA279" s="142"/>
      <c r="CB279" s="142"/>
      <c r="CC279" s="142"/>
      <c r="CD279" s="142"/>
      <c r="CE279" s="142"/>
      <c r="CF279" s="142"/>
      <c r="CG279" s="142"/>
      <c r="CH279" s="142"/>
      <c r="CI279" s="142"/>
      <c r="CJ279" s="142"/>
      <c r="CK279" s="142"/>
      <c r="CL279" s="142"/>
      <c r="CM279" s="142"/>
      <c r="CN279" s="142"/>
      <c r="CO279" s="142"/>
      <c r="CP279" s="142"/>
      <c r="CQ279" s="142"/>
      <c r="CR279" s="142"/>
      <c r="CS279" s="142"/>
      <c r="CT279" s="142"/>
      <c r="CU279" s="142"/>
      <c r="CV279" s="142"/>
      <c r="CW279" s="142"/>
      <c r="CX279" s="142"/>
      <c r="CY279" s="142"/>
      <c r="CZ279" s="142"/>
      <c r="DA279" s="144"/>
    </row>
    <row r="280" spans="1:105" ht="20" customHeight="1">
      <c r="A280" s="18">
        <f>ROW()</f>
        <v>280</v>
      </c>
      <c r="B280" s="26" t="str">
        <f t="shared" si="4"/>
        <v/>
      </c>
      <c r="C280" s="140"/>
      <c r="D280" s="141"/>
      <c r="E280" s="141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  <c r="BS280" s="142"/>
      <c r="BT280" s="142"/>
      <c r="BU280" s="142"/>
      <c r="BV280" s="142"/>
      <c r="BW280" s="142"/>
      <c r="BX280" s="142"/>
      <c r="BY280" s="142"/>
      <c r="BZ280" s="142"/>
      <c r="CA280" s="142"/>
      <c r="CB280" s="142"/>
      <c r="CC280" s="142"/>
      <c r="CD280" s="142"/>
      <c r="CE280" s="142"/>
      <c r="CF280" s="142"/>
      <c r="CG280" s="142"/>
      <c r="CH280" s="142"/>
      <c r="CI280" s="142"/>
      <c r="CJ280" s="142"/>
      <c r="CK280" s="142"/>
      <c r="CL280" s="142"/>
      <c r="CM280" s="142"/>
      <c r="CN280" s="142"/>
      <c r="CO280" s="142"/>
      <c r="CP280" s="142"/>
      <c r="CQ280" s="142"/>
      <c r="CR280" s="142"/>
      <c r="CS280" s="142"/>
      <c r="CT280" s="142"/>
      <c r="CU280" s="142"/>
      <c r="CV280" s="142"/>
      <c r="CW280" s="142"/>
      <c r="CX280" s="142"/>
      <c r="CY280" s="142"/>
      <c r="CZ280" s="142"/>
      <c r="DA280" s="144"/>
    </row>
    <row r="281" spans="1:105" ht="20" customHeight="1">
      <c r="A281" s="18">
        <f>ROW()</f>
        <v>281</v>
      </c>
      <c r="B281" s="26" t="str">
        <f t="shared" si="4"/>
        <v/>
      </c>
      <c r="C281" s="140"/>
      <c r="D281" s="141"/>
      <c r="E281" s="141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  <c r="BS281" s="142"/>
      <c r="BT281" s="142"/>
      <c r="BU281" s="142"/>
      <c r="BV281" s="142"/>
      <c r="BW281" s="142"/>
      <c r="BX281" s="142"/>
      <c r="BY281" s="142"/>
      <c r="BZ281" s="142"/>
      <c r="CA281" s="142"/>
      <c r="CB281" s="142"/>
      <c r="CC281" s="142"/>
      <c r="CD281" s="142"/>
      <c r="CE281" s="142"/>
      <c r="CF281" s="142"/>
      <c r="CG281" s="142"/>
      <c r="CH281" s="142"/>
      <c r="CI281" s="142"/>
      <c r="CJ281" s="142"/>
      <c r="CK281" s="142"/>
      <c r="CL281" s="142"/>
      <c r="CM281" s="142"/>
      <c r="CN281" s="142"/>
      <c r="CO281" s="142"/>
      <c r="CP281" s="142"/>
      <c r="CQ281" s="142"/>
      <c r="CR281" s="142"/>
      <c r="CS281" s="142"/>
      <c r="CT281" s="142"/>
      <c r="CU281" s="142"/>
      <c r="CV281" s="142"/>
      <c r="CW281" s="142"/>
      <c r="CX281" s="142"/>
      <c r="CY281" s="142"/>
      <c r="CZ281" s="142"/>
      <c r="DA281" s="144"/>
    </row>
    <row r="282" spans="1:105" ht="20" customHeight="1">
      <c r="A282" s="18">
        <f>ROW()</f>
        <v>282</v>
      </c>
      <c r="B282" s="26" t="str">
        <f t="shared" si="4"/>
        <v/>
      </c>
      <c r="C282" s="140"/>
      <c r="D282" s="141"/>
      <c r="E282" s="141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  <c r="BS282" s="142"/>
      <c r="BT282" s="142"/>
      <c r="BU282" s="142"/>
      <c r="BV282" s="142"/>
      <c r="BW282" s="142"/>
      <c r="BX282" s="142"/>
      <c r="BY282" s="142"/>
      <c r="BZ282" s="142"/>
      <c r="CA282" s="142"/>
      <c r="CB282" s="142"/>
      <c r="CC282" s="142"/>
      <c r="CD282" s="142"/>
      <c r="CE282" s="142"/>
      <c r="CF282" s="142"/>
      <c r="CG282" s="142"/>
      <c r="CH282" s="142"/>
      <c r="CI282" s="142"/>
      <c r="CJ282" s="142"/>
      <c r="CK282" s="142"/>
      <c r="CL282" s="142"/>
      <c r="CM282" s="142"/>
      <c r="CN282" s="142"/>
      <c r="CO282" s="142"/>
      <c r="CP282" s="142"/>
      <c r="CQ282" s="142"/>
      <c r="CR282" s="142"/>
      <c r="CS282" s="142"/>
      <c r="CT282" s="142"/>
      <c r="CU282" s="142"/>
      <c r="CV282" s="142"/>
      <c r="CW282" s="142"/>
      <c r="CX282" s="142"/>
      <c r="CY282" s="142"/>
      <c r="CZ282" s="142"/>
      <c r="DA282" s="144"/>
    </row>
    <row r="283" spans="1:105" ht="20" customHeight="1">
      <c r="A283" s="18">
        <f>ROW()</f>
        <v>283</v>
      </c>
      <c r="B283" s="26" t="str">
        <f t="shared" si="4"/>
        <v/>
      </c>
      <c r="C283" s="140"/>
      <c r="D283" s="141"/>
      <c r="E283" s="141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  <c r="BS283" s="142"/>
      <c r="BT283" s="142"/>
      <c r="BU283" s="142"/>
      <c r="BV283" s="142"/>
      <c r="BW283" s="142"/>
      <c r="BX283" s="142"/>
      <c r="BY283" s="142"/>
      <c r="BZ283" s="142"/>
      <c r="CA283" s="142"/>
      <c r="CB283" s="142"/>
      <c r="CC283" s="142"/>
      <c r="CD283" s="142"/>
      <c r="CE283" s="142"/>
      <c r="CF283" s="142"/>
      <c r="CG283" s="142"/>
      <c r="CH283" s="142"/>
      <c r="CI283" s="142"/>
      <c r="CJ283" s="142"/>
      <c r="CK283" s="142"/>
      <c r="CL283" s="142"/>
      <c r="CM283" s="142"/>
      <c r="CN283" s="142"/>
      <c r="CO283" s="142"/>
      <c r="CP283" s="142"/>
      <c r="CQ283" s="142"/>
      <c r="CR283" s="142"/>
      <c r="CS283" s="142"/>
      <c r="CT283" s="142"/>
      <c r="CU283" s="142"/>
      <c r="CV283" s="142"/>
      <c r="CW283" s="142"/>
      <c r="CX283" s="142"/>
      <c r="CY283" s="142"/>
      <c r="CZ283" s="142"/>
      <c r="DA283" s="144"/>
    </row>
    <row r="284" spans="1:105" ht="20" customHeight="1">
      <c r="A284" s="18">
        <f>ROW()</f>
        <v>284</v>
      </c>
      <c r="B284" s="26" t="str">
        <f t="shared" si="4"/>
        <v/>
      </c>
      <c r="C284" s="140"/>
      <c r="D284" s="141"/>
      <c r="E284" s="141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  <c r="BS284" s="142"/>
      <c r="BT284" s="142"/>
      <c r="BU284" s="142"/>
      <c r="BV284" s="142"/>
      <c r="BW284" s="142"/>
      <c r="BX284" s="142"/>
      <c r="BY284" s="142"/>
      <c r="BZ284" s="142"/>
      <c r="CA284" s="142"/>
      <c r="CB284" s="142"/>
      <c r="CC284" s="142"/>
      <c r="CD284" s="142"/>
      <c r="CE284" s="142"/>
      <c r="CF284" s="142"/>
      <c r="CG284" s="142"/>
      <c r="CH284" s="142"/>
      <c r="CI284" s="142"/>
      <c r="CJ284" s="142"/>
      <c r="CK284" s="142"/>
      <c r="CL284" s="142"/>
      <c r="CM284" s="142"/>
      <c r="CN284" s="142"/>
      <c r="CO284" s="142"/>
      <c r="CP284" s="142"/>
      <c r="CQ284" s="142"/>
      <c r="CR284" s="142"/>
      <c r="CS284" s="142"/>
      <c r="CT284" s="142"/>
      <c r="CU284" s="142"/>
      <c r="CV284" s="142"/>
      <c r="CW284" s="142"/>
      <c r="CX284" s="142"/>
      <c r="CY284" s="142"/>
      <c r="CZ284" s="142"/>
      <c r="DA284" s="144"/>
    </row>
    <row r="285" spans="1:105" ht="20" customHeight="1">
      <c r="A285" s="18">
        <f>ROW()</f>
        <v>285</v>
      </c>
      <c r="B285" s="26" t="str">
        <f t="shared" si="4"/>
        <v/>
      </c>
      <c r="C285" s="140"/>
      <c r="D285" s="141"/>
      <c r="E285" s="141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  <c r="BS285" s="142"/>
      <c r="BT285" s="142"/>
      <c r="BU285" s="142"/>
      <c r="BV285" s="142"/>
      <c r="BW285" s="142"/>
      <c r="BX285" s="142"/>
      <c r="BY285" s="142"/>
      <c r="BZ285" s="142"/>
      <c r="CA285" s="142"/>
      <c r="CB285" s="142"/>
      <c r="CC285" s="142"/>
      <c r="CD285" s="142"/>
      <c r="CE285" s="142"/>
      <c r="CF285" s="142"/>
      <c r="CG285" s="142"/>
      <c r="CH285" s="142"/>
      <c r="CI285" s="142"/>
      <c r="CJ285" s="142"/>
      <c r="CK285" s="142"/>
      <c r="CL285" s="142"/>
      <c r="CM285" s="142"/>
      <c r="CN285" s="142"/>
      <c r="CO285" s="142"/>
      <c r="CP285" s="142"/>
      <c r="CQ285" s="142"/>
      <c r="CR285" s="142"/>
      <c r="CS285" s="142"/>
      <c r="CT285" s="142"/>
      <c r="CU285" s="142"/>
      <c r="CV285" s="142"/>
      <c r="CW285" s="142"/>
      <c r="CX285" s="142"/>
      <c r="CY285" s="142"/>
      <c r="CZ285" s="142"/>
      <c r="DA285" s="144"/>
    </row>
    <row r="286" spans="1:105" ht="20" customHeight="1">
      <c r="A286" s="18">
        <f>ROW()</f>
        <v>286</v>
      </c>
      <c r="B286" s="26" t="str">
        <f t="shared" si="4"/>
        <v/>
      </c>
      <c r="C286" s="140"/>
      <c r="D286" s="141"/>
      <c r="E286" s="141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  <c r="BS286" s="142"/>
      <c r="BT286" s="142"/>
      <c r="BU286" s="142"/>
      <c r="BV286" s="142"/>
      <c r="BW286" s="142"/>
      <c r="BX286" s="142"/>
      <c r="BY286" s="142"/>
      <c r="BZ286" s="142"/>
      <c r="CA286" s="142"/>
      <c r="CB286" s="142"/>
      <c r="CC286" s="142"/>
      <c r="CD286" s="142"/>
      <c r="CE286" s="142"/>
      <c r="CF286" s="142"/>
      <c r="CG286" s="142"/>
      <c r="CH286" s="142"/>
      <c r="CI286" s="142"/>
      <c r="CJ286" s="142"/>
      <c r="CK286" s="142"/>
      <c r="CL286" s="142"/>
      <c r="CM286" s="142"/>
      <c r="CN286" s="142"/>
      <c r="CO286" s="142"/>
      <c r="CP286" s="142"/>
      <c r="CQ286" s="142"/>
      <c r="CR286" s="142"/>
      <c r="CS286" s="142"/>
      <c r="CT286" s="142"/>
      <c r="CU286" s="142"/>
      <c r="CV286" s="142"/>
      <c r="CW286" s="142"/>
      <c r="CX286" s="142"/>
      <c r="CY286" s="142"/>
      <c r="CZ286" s="142"/>
      <c r="DA286" s="144"/>
    </row>
    <row r="287" spans="1:105" ht="20" customHeight="1">
      <c r="A287" s="18">
        <f>ROW()</f>
        <v>287</v>
      </c>
      <c r="B287" s="26" t="str">
        <f t="shared" si="4"/>
        <v/>
      </c>
      <c r="C287" s="140"/>
      <c r="D287" s="141"/>
      <c r="E287" s="141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  <c r="BS287" s="142"/>
      <c r="BT287" s="142"/>
      <c r="BU287" s="142"/>
      <c r="BV287" s="142"/>
      <c r="BW287" s="142"/>
      <c r="BX287" s="142"/>
      <c r="BY287" s="142"/>
      <c r="BZ287" s="142"/>
      <c r="CA287" s="142"/>
      <c r="CB287" s="142"/>
      <c r="CC287" s="142"/>
      <c r="CD287" s="142"/>
      <c r="CE287" s="142"/>
      <c r="CF287" s="142"/>
      <c r="CG287" s="142"/>
      <c r="CH287" s="142"/>
      <c r="CI287" s="142"/>
      <c r="CJ287" s="142"/>
      <c r="CK287" s="142"/>
      <c r="CL287" s="142"/>
      <c r="CM287" s="142"/>
      <c r="CN287" s="142"/>
      <c r="CO287" s="142"/>
      <c r="CP287" s="142"/>
      <c r="CQ287" s="142"/>
      <c r="CR287" s="142"/>
      <c r="CS287" s="142"/>
      <c r="CT287" s="142"/>
      <c r="CU287" s="142"/>
      <c r="CV287" s="142"/>
      <c r="CW287" s="142"/>
      <c r="CX287" s="142"/>
      <c r="CY287" s="142"/>
      <c r="CZ287" s="142"/>
      <c r="DA287" s="144"/>
    </row>
    <row r="288" spans="1:105" ht="20" customHeight="1">
      <c r="A288" s="18">
        <f>ROW()</f>
        <v>288</v>
      </c>
      <c r="B288" s="26" t="str">
        <f t="shared" si="4"/>
        <v/>
      </c>
      <c r="C288" s="140"/>
      <c r="D288" s="141"/>
      <c r="E288" s="141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  <c r="BS288" s="142"/>
      <c r="BT288" s="142"/>
      <c r="BU288" s="142"/>
      <c r="BV288" s="142"/>
      <c r="BW288" s="142"/>
      <c r="BX288" s="142"/>
      <c r="BY288" s="142"/>
      <c r="BZ288" s="142"/>
      <c r="CA288" s="142"/>
      <c r="CB288" s="142"/>
      <c r="CC288" s="142"/>
      <c r="CD288" s="142"/>
      <c r="CE288" s="142"/>
      <c r="CF288" s="142"/>
      <c r="CG288" s="142"/>
      <c r="CH288" s="142"/>
      <c r="CI288" s="142"/>
      <c r="CJ288" s="142"/>
      <c r="CK288" s="142"/>
      <c r="CL288" s="142"/>
      <c r="CM288" s="142"/>
      <c r="CN288" s="142"/>
      <c r="CO288" s="142"/>
      <c r="CP288" s="142"/>
      <c r="CQ288" s="142"/>
      <c r="CR288" s="142"/>
      <c r="CS288" s="142"/>
      <c r="CT288" s="142"/>
      <c r="CU288" s="142"/>
      <c r="CV288" s="142"/>
      <c r="CW288" s="142"/>
      <c r="CX288" s="142"/>
      <c r="CY288" s="142"/>
      <c r="CZ288" s="142"/>
      <c r="DA288" s="144"/>
    </row>
    <row r="289" spans="1:105" ht="20" customHeight="1">
      <c r="A289" s="18">
        <f>ROW()</f>
        <v>289</v>
      </c>
      <c r="B289" s="26" t="str">
        <f t="shared" si="4"/>
        <v/>
      </c>
      <c r="C289" s="140"/>
      <c r="D289" s="141"/>
      <c r="E289" s="141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  <c r="BS289" s="142"/>
      <c r="BT289" s="142"/>
      <c r="BU289" s="142"/>
      <c r="BV289" s="142"/>
      <c r="BW289" s="142"/>
      <c r="BX289" s="142"/>
      <c r="BY289" s="142"/>
      <c r="BZ289" s="142"/>
      <c r="CA289" s="142"/>
      <c r="CB289" s="142"/>
      <c r="CC289" s="142"/>
      <c r="CD289" s="142"/>
      <c r="CE289" s="142"/>
      <c r="CF289" s="142"/>
      <c r="CG289" s="142"/>
      <c r="CH289" s="142"/>
      <c r="CI289" s="142"/>
      <c r="CJ289" s="142"/>
      <c r="CK289" s="142"/>
      <c r="CL289" s="142"/>
      <c r="CM289" s="142"/>
      <c r="CN289" s="142"/>
      <c r="CO289" s="142"/>
      <c r="CP289" s="142"/>
      <c r="CQ289" s="142"/>
      <c r="CR289" s="142"/>
      <c r="CS289" s="142"/>
      <c r="CT289" s="142"/>
      <c r="CU289" s="142"/>
      <c r="CV289" s="142"/>
      <c r="CW289" s="142"/>
      <c r="CX289" s="142"/>
      <c r="CY289" s="142"/>
      <c r="CZ289" s="142"/>
      <c r="DA289" s="144"/>
    </row>
    <row r="290" spans="1:105" ht="20" customHeight="1">
      <c r="A290" s="18">
        <f>ROW()</f>
        <v>290</v>
      </c>
      <c r="B290" s="26" t="str">
        <f t="shared" si="4"/>
        <v/>
      </c>
      <c r="C290" s="140"/>
      <c r="D290" s="141"/>
      <c r="E290" s="141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  <c r="BS290" s="142"/>
      <c r="BT290" s="142"/>
      <c r="BU290" s="142"/>
      <c r="BV290" s="142"/>
      <c r="BW290" s="142"/>
      <c r="BX290" s="142"/>
      <c r="BY290" s="142"/>
      <c r="BZ290" s="142"/>
      <c r="CA290" s="142"/>
      <c r="CB290" s="142"/>
      <c r="CC290" s="142"/>
      <c r="CD290" s="142"/>
      <c r="CE290" s="142"/>
      <c r="CF290" s="142"/>
      <c r="CG290" s="142"/>
      <c r="CH290" s="142"/>
      <c r="CI290" s="142"/>
      <c r="CJ290" s="142"/>
      <c r="CK290" s="142"/>
      <c r="CL290" s="142"/>
      <c r="CM290" s="142"/>
      <c r="CN290" s="142"/>
      <c r="CO290" s="142"/>
      <c r="CP290" s="142"/>
      <c r="CQ290" s="142"/>
      <c r="CR290" s="142"/>
      <c r="CS290" s="142"/>
      <c r="CT290" s="142"/>
      <c r="CU290" s="142"/>
      <c r="CV290" s="142"/>
      <c r="CW290" s="142"/>
      <c r="CX290" s="142"/>
      <c r="CY290" s="142"/>
      <c r="CZ290" s="142"/>
      <c r="DA290" s="144"/>
    </row>
    <row r="291" spans="1:105" ht="20" customHeight="1">
      <c r="A291" s="18">
        <f>ROW()</f>
        <v>291</v>
      </c>
      <c r="B291" s="26" t="str">
        <f t="shared" si="4"/>
        <v/>
      </c>
      <c r="C291" s="140"/>
      <c r="D291" s="141"/>
      <c r="E291" s="141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  <c r="BS291" s="142"/>
      <c r="BT291" s="142"/>
      <c r="BU291" s="142"/>
      <c r="BV291" s="142"/>
      <c r="BW291" s="142"/>
      <c r="BX291" s="142"/>
      <c r="BY291" s="142"/>
      <c r="BZ291" s="142"/>
      <c r="CA291" s="142"/>
      <c r="CB291" s="142"/>
      <c r="CC291" s="142"/>
      <c r="CD291" s="142"/>
      <c r="CE291" s="142"/>
      <c r="CF291" s="142"/>
      <c r="CG291" s="142"/>
      <c r="CH291" s="142"/>
      <c r="CI291" s="142"/>
      <c r="CJ291" s="142"/>
      <c r="CK291" s="142"/>
      <c r="CL291" s="142"/>
      <c r="CM291" s="142"/>
      <c r="CN291" s="142"/>
      <c r="CO291" s="142"/>
      <c r="CP291" s="142"/>
      <c r="CQ291" s="142"/>
      <c r="CR291" s="142"/>
      <c r="CS291" s="142"/>
      <c r="CT291" s="142"/>
      <c r="CU291" s="142"/>
      <c r="CV291" s="142"/>
      <c r="CW291" s="142"/>
      <c r="CX291" s="142"/>
      <c r="CY291" s="142"/>
      <c r="CZ291" s="142"/>
      <c r="DA291" s="144"/>
    </row>
    <row r="292" spans="1:105" ht="20" customHeight="1">
      <c r="A292" s="18">
        <f>ROW()</f>
        <v>292</v>
      </c>
      <c r="B292" s="26" t="str">
        <f t="shared" si="4"/>
        <v/>
      </c>
      <c r="C292" s="140"/>
      <c r="D292" s="141"/>
      <c r="E292" s="141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  <c r="BK292" s="142"/>
      <c r="BL292" s="142"/>
      <c r="BM292" s="142"/>
      <c r="BN292" s="142"/>
      <c r="BO292" s="142"/>
      <c r="BP292" s="142"/>
      <c r="BQ292" s="142"/>
      <c r="BR292" s="142"/>
      <c r="BS292" s="142"/>
      <c r="BT292" s="142"/>
      <c r="BU292" s="142"/>
      <c r="BV292" s="142"/>
      <c r="BW292" s="142"/>
      <c r="BX292" s="142"/>
      <c r="BY292" s="142"/>
      <c r="BZ292" s="142"/>
      <c r="CA292" s="142"/>
      <c r="CB292" s="142"/>
      <c r="CC292" s="142"/>
      <c r="CD292" s="142"/>
      <c r="CE292" s="142"/>
      <c r="CF292" s="142"/>
      <c r="CG292" s="142"/>
      <c r="CH292" s="142"/>
      <c r="CI292" s="142"/>
      <c r="CJ292" s="142"/>
      <c r="CK292" s="142"/>
      <c r="CL292" s="142"/>
      <c r="CM292" s="142"/>
      <c r="CN292" s="142"/>
      <c r="CO292" s="142"/>
      <c r="CP292" s="142"/>
      <c r="CQ292" s="142"/>
      <c r="CR292" s="142"/>
      <c r="CS292" s="142"/>
      <c r="CT292" s="142"/>
      <c r="CU292" s="142"/>
      <c r="CV292" s="142"/>
      <c r="CW292" s="142"/>
      <c r="CX292" s="142"/>
      <c r="CY292" s="142"/>
      <c r="CZ292" s="142"/>
      <c r="DA292" s="144"/>
    </row>
    <row r="293" spans="1:105" ht="20" customHeight="1">
      <c r="A293" s="18">
        <f>ROW()</f>
        <v>293</v>
      </c>
      <c r="B293" s="26" t="str">
        <f t="shared" si="4"/>
        <v/>
      </c>
      <c r="C293" s="140"/>
      <c r="D293" s="141"/>
      <c r="E293" s="141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  <c r="BS293" s="142"/>
      <c r="BT293" s="142"/>
      <c r="BU293" s="142"/>
      <c r="BV293" s="142"/>
      <c r="BW293" s="142"/>
      <c r="BX293" s="142"/>
      <c r="BY293" s="142"/>
      <c r="BZ293" s="142"/>
      <c r="CA293" s="142"/>
      <c r="CB293" s="142"/>
      <c r="CC293" s="142"/>
      <c r="CD293" s="142"/>
      <c r="CE293" s="142"/>
      <c r="CF293" s="142"/>
      <c r="CG293" s="142"/>
      <c r="CH293" s="142"/>
      <c r="CI293" s="142"/>
      <c r="CJ293" s="142"/>
      <c r="CK293" s="142"/>
      <c r="CL293" s="142"/>
      <c r="CM293" s="142"/>
      <c r="CN293" s="142"/>
      <c r="CO293" s="142"/>
      <c r="CP293" s="142"/>
      <c r="CQ293" s="142"/>
      <c r="CR293" s="142"/>
      <c r="CS293" s="142"/>
      <c r="CT293" s="142"/>
      <c r="CU293" s="142"/>
      <c r="CV293" s="142"/>
      <c r="CW293" s="142"/>
      <c r="CX293" s="142"/>
      <c r="CY293" s="142"/>
      <c r="CZ293" s="142"/>
      <c r="DA293" s="144"/>
    </row>
    <row r="294" spans="1:105" ht="20" customHeight="1">
      <c r="A294" s="18">
        <f>ROW()</f>
        <v>294</v>
      </c>
      <c r="B294" s="26" t="str">
        <f t="shared" si="4"/>
        <v/>
      </c>
      <c r="C294" s="140"/>
      <c r="D294" s="141"/>
      <c r="E294" s="141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  <c r="BS294" s="142"/>
      <c r="BT294" s="142"/>
      <c r="BU294" s="142"/>
      <c r="BV294" s="142"/>
      <c r="BW294" s="142"/>
      <c r="BX294" s="142"/>
      <c r="BY294" s="142"/>
      <c r="BZ294" s="142"/>
      <c r="CA294" s="142"/>
      <c r="CB294" s="142"/>
      <c r="CC294" s="142"/>
      <c r="CD294" s="142"/>
      <c r="CE294" s="142"/>
      <c r="CF294" s="142"/>
      <c r="CG294" s="142"/>
      <c r="CH294" s="142"/>
      <c r="CI294" s="142"/>
      <c r="CJ294" s="142"/>
      <c r="CK294" s="142"/>
      <c r="CL294" s="142"/>
      <c r="CM294" s="142"/>
      <c r="CN294" s="142"/>
      <c r="CO294" s="142"/>
      <c r="CP294" s="142"/>
      <c r="CQ294" s="142"/>
      <c r="CR294" s="142"/>
      <c r="CS294" s="142"/>
      <c r="CT294" s="142"/>
      <c r="CU294" s="142"/>
      <c r="CV294" s="142"/>
      <c r="CW294" s="142"/>
      <c r="CX294" s="142"/>
      <c r="CY294" s="142"/>
      <c r="CZ294" s="142"/>
      <c r="DA294" s="144"/>
    </row>
    <row r="295" spans="1:105" ht="20" customHeight="1">
      <c r="A295" s="18">
        <f>ROW()</f>
        <v>295</v>
      </c>
      <c r="B295" s="26" t="str">
        <f t="shared" si="4"/>
        <v/>
      </c>
      <c r="C295" s="140"/>
      <c r="D295" s="141"/>
      <c r="E295" s="141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  <c r="BS295" s="142"/>
      <c r="BT295" s="142"/>
      <c r="BU295" s="142"/>
      <c r="BV295" s="142"/>
      <c r="BW295" s="142"/>
      <c r="BX295" s="142"/>
      <c r="BY295" s="142"/>
      <c r="BZ295" s="142"/>
      <c r="CA295" s="142"/>
      <c r="CB295" s="142"/>
      <c r="CC295" s="142"/>
      <c r="CD295" s="142"/>
      <c r="CE295" s="142"/>
      <c r="CF295" s="142"/>
      <c r="CG295" s="142"/>
      <c r="CH295" s="142"/>
      <c r="CI295" s="142"/>
      <c r="CJ295" s="142"/>
      <c r="CK295" s="142"/>
      <c r="CL295" s="142"/>
      <c r="CM295" s="142"/>
      <c r="CN295" s="142"/>
      <c r="CO295" s="142"/>
      <c r="CP295" s="142"/>
      <c r="CQ295" s="142"/>
      <c r="CR295" s="142"/>
      <c r="CS295" s="142"/>
      <c r="CT295" s="142"/>
      <c r="CU295" s="142"/>
      <c r="CV295" s="142"/>
      <c r="CW295" s="142"/>
      <c r="CX295" s="142"/>
      <c r="CY295" s="142"/>
      <c r="CZ295" s="142"/>
      <c r="DA295" s="144"/>
    </row>
    <row r="296" spans="1:105" ht="20" customHeight="1">
      <c r="A296" s="18">
        <f>ROW()</f>
        <v>296</v>
      </c>
      <c r="B296" s="26" t="str">
        <f t="shared" si="4"/>
        <v/>
      </c>
      <c r="C296" s="140"/>
      <c r="D296" s="141"/>
      <c r="E296" s="141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  <c r="BS296" s="142"/>
      <c r="BT296" s="142"/>
      <c r="BU296" s="142"/>
      <c r="BV296" s="142"/>
      <c r="BW296" s="142"/>
      <c r="BX296" s="142"/>
      <c r="BY296" s="142"/>
      <c r="BZ296" s="142"/>
      <c r="CA296" s="142"/>
      <c r="CB296" s="142"/>
      <c r="CC296" s="142"/>
      <c r="CD296" s="142"/>
      <c r="CE296" s="142"/>
      <c r="CF296" s="142"/>
      <c r="CG296" s="142"/>
      <c r="CH296" s="142"/>
      <c r="CI296" s="142"/>
      <c r="CJ296" s="142"/>
      <c r="CK296" s="142"/>
      <c r="CL296" s="142"/>
      <c r="CM296" s="142"/>
      <c r="CN296" s="142"/>
      <c r="CO296" s="142"/>
      <c r="CP296" s="142"/>
      <c r="CQ296" s="142"/>
      <c r="CR296" s="142"/>
      <c r="CS296" s="142"/>
      <c r="CT296" s="142"/>
      <c r="CU296" s="142"/>
      <c r="CV296" s="142"/>
      <c r="CW296" s="142"/>
      <c r="CX296" s="142"/>
      <c r="CY296" s="142"/>
      <c r="CZ296" s="142"/>
      <c r="DA296" s="144"/>
    </row>
    <row r="297" spans="1:105" ht="20" customHeight="1">
      <c r="A297" s="18">
        <f>ROW()</f>
        <v>297</v>
      </c>
      <c r="B297" s="26" t="str">
        <f t="shared" si="4"/>
        <v/>
      </c>
      <c r="C297" s="140"/>
      <c r="D297" s="141"/>
      <c r="E297" s="141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  <c r="BS297" s="142"/>
      <c r="BT297" s="142"/>
      <c r="BU297" s="142"/>
      <c r="BV297" s="142"/>
      <c r="BW297" s="142"/>
      <c r="BX297" s="142"/>
      <c r="BY297" s="142"/>
      <c r="BZ297" s="142"/>
      <c r="CA297" s="142"/>
      <c r="CB297" s="142"/>
      <c r="CC297" s="142"/>
      <c r="CD297" s="142"/>
      <c r="CE297" s="142"/>
      <c r="CF297" s="142"/>
      <c r="CG297" s="142"/>
      <c r="CH297" s="142"/>
      <c r="CI297" s="142"/>
      <c r="CJ297" s="142"/>
      <c r="CK297" s="142"/>
      <c r="CL297" s="142"/>
      <c r="CM297" s="142"/>
      <c r="CN297" s="142"/>
      <c r="CO297" s="142"/>
      <c r="CP297" s="142"/>
      <c r="CQ297" s="142"/>
      <c r="CR297" s="142"/>
      <c r="CS297" s="142"/>
      <c r="CT297" s="142"/>
      <c r="CU297" s="142"/>
      <c r="CV297" s="142"/>
      <c r="CW297" s="142"/>
      <c r="CX297" s="142"/>
      <c r="CY297" s="142"/>
      <c r="CZ297" s="142"/>
      <c r="DA297" s="144"/>
    </row>
    <row r="298" spans="1:105" ht="20" customHeight="1">
      <c r="A298" s="18">
        <f>ROW()</f>
        <v>298</v>
      </c>
      <c r="B298" s="26" t="str">
        <f t="shared" si="4"/>
        <v/>
      </c>
      <c r="C298" s="140"/>
      <c r="D298" s="141"/>
      <c r="E298" s="141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  <c r="BS298" s="142"/>
      <c r="BT298" s="142"/>
      <c r="BU298" s="142"/>
      <c r="BV298" s="142"/>
      <c r="BW298" s="142"/>
      <c r="BX298" s="142"/>
      <c r="BY298" s="142"/>
      <c r="BZ298" s="142"/>
      <c r="CA298" s="142"/>
      <c r="CB298" s="142"/>
      <c r="CC298" s="142"/>
      <c r="CD298" s="142"/>
      <c r="CE298" s="142"/>
      <c r="CF298" s="142"/>
      <c r="CG298" s="142"/>
      <c r="CH298" s="142"/>
      <c r="CI298" s="142"/>
      <c r="CJ298" s="142"/>
      <c r="CK298" s="142"/>
      <c r="CL298" s="142"/>
      <c r="CM298" s="142"/>
      <c r="CN298" s="142"/>
      <c r="CO298" s="142"/>
      <c r="CP298" s="142"/>
      <c r="CQ298" s="142"/>
      <c r="CR298" s="142"/>
      <c r="CS298" s="142"/>
      <c r="CT298" s="142"/>
      <c r="CU298" s="142"/>
      <c r="CV298" s="142"/>
      <c r="CW298" s="142"/>
      <c r="CX298" s="142"/>
      <c r="CY298" s="142"/>
      <c r="CZ298" s="142"/>
      <c r="DA298" s="144"/>
    </row>
    <row r="299" spans="1:105" ht="20" customHeight="1">
      <c r="A299" s="18">
        <f>ROW()</f>
        <v>299</v>
      </c>
      <c r="B299" s="26" t="str">
        <f t="shared" si="4"/>
        <v/>
      </c>
      <c r="C299" s="140"/>
      <c r="D299" s="141"/>
      <c r="E299" s="141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  <c r="BS299" s="142"/>
      <c r="BT299" s="142"/>
      <c r="BU299" s="142"/>
      <c r="BV299" s="142"/>
      <c r="BW299" s="142"/>
      <c r="BX299" s="142"/>
      <c r="BY299" s="142"/>
      <c r="BZ299" s="142"/>
      <c r="CA299" s="142"/>
      <c r="CB299" s="142"/>
      <c r="CC299" s="142"/>
      <c r="CD299" s="142"/>
      <c r="CE299" s="142"/>
      <c r="CF299" s="142"/>
      <c r="CG299" s="142"/>
      <c r="CH299" s="142"/>
      <c r="CI299" s="142"/>
      <c r="CJ299" s="142"/>
      <c r="CK299" s="142"/>
      <c r="CL299" s="142"/>
      <c r="CM299" s="142"/>
      <c r="CN299" s="142"/>
      <c r="CO299" s="142"/>
      <c r="CP299" s="142"/>
      <c r="CQ299" s="142"/>
      <c r="CR299" s="142"/>
      <c r="CS299" s="142"/>
      <c r="CT299" s="142"/>
      <c r="CU299" s="142"/>
      <c r="CV299" s="142"/>
      <c r="CW299" s="142"/>
      <c r="CX299" s="142"/>
      <c r="CY299" s="142"/>
      <c r="CZ299" s="142"/>
      <c r="DA299" s="144"/>
    </row>
    <row r="300" spans="1:105" ht="20" customHeight="1">
      <c r="A300" s="18">
        <f>ROW()</f>
        <v>300</v>
      </c>
      <c r="B300" s="26" t="str">
        <f t="shared" si="4"/>
        <v/>
      </c>
      <c r="C300" s="140"/>
      <c r="D300" s="141"/>
      <c r="E300" s="141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  <c r="BS300" s="142"/>
      <c r="BT300" s="142"/>
      <c r="BU300" s="142"/>
      <c r="BV300" s="142"/>
      <c r="BW300" s="142"/>
      <c r="BX300" s="142"/>
      <c r="BY300" s="142"/>
      <c r="BZ300" s="142"/>
      <c r="CA300" s="142"/>
      <c r="CB300" s="142"/>
      <c r="CC300" s="142"/>
      <c r="CD300" s="142"/>
      <c r="CE300" s="142"/>
      <c r="CF300" s="142"/>
      <c r="CG300" s="142"/>
      <c r="CH300" s="142"/>
      <c r="CI300" s="142"/>
      <c r="CJ300" s="142"/>
      <c r="CK300" s="142"/>
      <c r="CL300" s="142"/>
      <c r="CM300" s="142"/>
      <c r="CN300" s="142"/>
      <c r="CO300" s="142"/>
      <c r="CP300" s="142"/>
      <c r="CQ300" s="142"/>
      <c r="CR300" s="142"/>
      <c r="CS300" s="142"/>
      <c r="CT300" s="142"/>
      <c r="CU300" s="142"/>
      <c r="CV300" s="142"/>
      <c r="CW300" s="142"/>
      <c r="CX300" s="142"/>
      <c r="CY300" s="142"/>
      <c r="CZ300" s="142"/>
      <c r="DA300" s="144"/>
    </row>
    <row r="301" spans="1:105" ht="20" customHeight="1">
      <c r="A301" s="18">
        <f>ROW()</f>
        <v>301</v>
      </c>
      <c r="B301" s="26" t="str">
        <f t="shared" si="4"/>
        <v/>
      </c>
      <c r="C301" s="140"/>
      <c r="D301" s="141"/>
      <c r="E301" s="141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  <c r="BS301" s="142"/>
      <c r="BT301" s="142"/>
      <c r="BU301" s="142"/>
      <c r="BV301" s="142"/>
      <c r="BW301" s="142"/>
      <c r="BX301" s="142"/>
      <c r="BY301" s="142"/>
      <c r="BZ301" s="142"/>
      <c r="CA301" s="142"/>
      <c r="CB301" s="142"/>
      <c r="CC301" s="142"/>
      <c r="CD301" s="142"/>
      <c r="CE301" s="142"/>
      <c r="CF301" s="142"/>
      <c r="CG301" s="142"/>
      <c r="CH301" s="142"/>
      <c r="CI301" s="142"/>
      <c r="CJ301" s="142"/>
      <c r="CK301" s="142"/>
      <c r="CL301" s="142"/>
      <c r="CM301" s="142"/>
      <c r="CN301" s="142"/>
      <c r="CO301" s="142"/>
      <c r="CP301" s="142"/>
      <c r="CQ301" s="142"/>
      <c r="CR301" s="142"/>
      <c r="CS301" s="142"/>
      <c r="CT301" s="142"/>
      <c r="CU301" s="142"/>
      <c r="CV301" s="142"/>
      <c r="CW301" s="142"/>
      <c r="CX301" s="142"/>
      <c r="CY301" s="142"/>
      <c r="CZ301" s="142"/>
      <c r="DA301" s="144"/>
    </row>
    <row r="302" spans="1:105" ht="20" customHeight="1">
      <c r="A302" s="18">
        <f>ROW()</f>
        <v>302</v>
      </c>
      <c r="B302" s="26" t="str">
        <f t="shared" si="4"/>
        <v/>
      </c>
      <c r="C302" s="140"/>
      <c r="D302" s="141"/>
      <c r="E302" s="141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  <c r="BS302" s="142"/>
      <c r="BT302" s="142"/>
      <c r="BU302" s="142"/>
      <c r="BV302" s="142"/>
      <c r="BW302" s="142"/>
      <c r="BX302" s="142"/>
      <c r="BY302" s="142"/>
      <c r="BZ302" s="142"/>
      <c r="CA302" s="142"/>
      <c r="CB302" s="142"/>
      <c r="CC302" s="142"/>
      <c r="CD302" s="142"/>
      <c r="CE302" s="142"/>
      <c r="CF302" s="142"/>
      <c r="CG302" s="142"/>
      <c r="CH302" s="142"/>
      <c r="CI302" s="142"/>
      <c r="CJ302" s="142"/>
      <c r="CK302" s="142"/>
      <c r="CL302" s="142"/>
      <c r="CM302" s="142"/>
      <c r="CN302" s="142"/>
      <c r="CO302" s="142"/>
      <c r="CP302" s="142"/>
      <c r="CQ302" s="142"/>
      <c r="CR302" s="142"/>
      <c r="CS302" s="142"/>
      <c r="CT302" s="142"/>
      <c r="CU302" s="142"/>
      <c r="CV302" s="142"/>
      <c r="CW302" s="142"/>
      <c r="CX302" s="142"/>
      <c r="CY302" s="142"/>
      <c r="CZ302" s="142"/>
      <c r="DA302" s="144"/>
    </row>
    <row r="303" spans="1:105" ht="20" customHeight="1">
      <c r="A303" s="18">
        <f>ROW()</f>
        <v>303</v>
      </c>
      <c r="B303" s="26" t="str">
        <f t="shared" si="4"/>
        <v/>
      </c>
      <c r="C303" s="140"/>
      <c r="D303" s="141"/>
      <c r="E303" s="141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  <c r="BS303" s="142"/>
      <c r="BT303" s="142"/>
      <c r="BU303" s="142"/>
      <c r="BV303" s="142"/>
      <c r="BW303" s="142"/>
      <c r="BX303" s="142"/>
      <c r="BY303" s="142"/>
      <c r="BZ303" s="142"/>
      <c r="CA303" s="142"/>
      <c r="CB303" s="142"/>
      <c r="CC303" s="142"/>
      <c r="CD303" s="142"/>
      <c r="CE303" s="142"/>
      <c r="CF303" s="142"/>
      <c r="CG303" s="142"/>
      <c r="CH303" s="142"/>
      <c r="CI303" s="142"/>
      <c r="CJ303" s="142"/>
      <c r="CK303" s="142"/>
      <c r="CL303" s="142"/>
      <c r="CM303" s="142"/>
      <c r="CN303" s="142"/>
      <c r="CO303" s="142"/>
      <c r="CP303" s="142"/>
      <c r="CQ303" s="142"/>
      <c r="CR303" s="142"/>
      <c r="CS303" s="142"/>
      <c r="CT303" s="142"/>
      <c r="CU303" s="142"/>
      <c r="CV303" s="142"/>
      <c r="CW303" s="142"/>
      <c r="CX303" s="142"/>
      <c r="CY303" s="142"/>
      <c r="CZ303" s="142"/>
      <c r="DA303" s="144"/>
    </row>
    <row r="304" spans="1:105" ht="20" customHeight="1">
      <c r="A304" s="18">
        <f>ROW()</f>
        <v>304</v>
      </c>
      <c r="B304" s="26" t="str">
        <f t="shared" si="4"/>
        <v/>
      </c>
      <c r="C304" s="140"/>
      <c r="D304" s="141"/>
      <c r="E304" s="141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  <c r="BS304" s="142"/>
      <c r="BT304" s="142"/>
      <c r="BU304" s="142"/>
      <c r="BV304" s="142"/>
      <c r="BW304" s="142"/>
      <c r="BX304" s="142"/>
      <c r="BY304" s="142"/>
      <c r="BZ304" s="142"/>
      <c r="CA304" s="142"/>
      <c r="CB304" s="142"/>
      <c r="CC304" s="142"/>
      <c r="CD304" s="142"/>
      <c r="CE304" s="142"/>
      <c r="CF304" s="142"/>
      <c r="CG304" s="142"/>
      <c r="CH304" s="142"/>
      <c r="CI304" s="142"/>
      <c r="CJ304" s="142"/>
      <c r="CK304" s="142"/>
      <c r="CL304" s="142"/>
      <c r="CM304" s="142"/>
      <c r="CN304" s="142"/>
      <c r="CO304" s="142"/>
      <c r="CP304" s="142"/>
      <c r="CQ304" s="142"/>
      <c r="CR304" s="142"/>
      <c r="CS304" s="142"/>
      <c r="CT304" s="142"/>
      <c r="CU304" s="142"/>
      <c r="CV304" s="142"/>
      <c r="CW304" s="142"/>
      <c r="CX304" s="142"/>
      <c r="CY304" s="142"/>
      <c r="CZ304" s="142"/>
      <c r="DA304" s="144"/>
    </row>
    <row r="305" spans="1:105" ht="20" customHeight="1">
      <c r="A305" s="18">
        <f>ROW()</f>
        <v>305</v>
      </c>
      <c r="B305" s="26" t="str">
        <f t="shared" si="4"/>
        <v/>
      </c>
      <c r="C305" s="140"/>
      <c r="D305" s="141"/>
      <c r="E305" s="141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  <c r="BS305" s="142"/>
      <c r="BT305" s="142"/>
      <c r="BU305" s="142"/>
      <c r="BV305" s="142"/>
      <c r="BW305" s="142"/>
      <c r="BX305" s="142"/>
      <c r="BY305" s="142"/>
      <c r="BZ305" s="142"/>
      <c r="CA305" s="142"/>
      <c r="CB305" s="142"/>
      <c r="CC305" s="142"/>
      <c r="CD305" s="142"/>
      <c r="CE305" s="142"/>
      <c r="CF305" s="142"/>
      <c r="CG305" s="142"/>
      <c r="CH305" s="142"/>
      <c r="CI305" s="142"/>
      <c r="CJ305" s="142"/>
      <c r="CK305" s="142"/>
      <c r="CL305" s="142"/>
      <c r="CM305" s="142"/>
      <c r="CN305" s="142"/>
      <c r="CO305" s="142"/>
      <c r="CP305" s="142"/>
      <c r="CQ305" s="142"/>
      <c r="CR305" s="142"/>
      <c r="CS305" s="142"/>
      <c r="CT305" s="142"/>
      <c r="CU305" s="142"/>
      <c r="CV305" s="142"/>
      <c r="CW305" s="142"/>
      <c r="CX305" s="142"/>
      <c r="CY305" s="142"/>
      <c r="CZ305" s="142"/>
      <c r="DA305" s="144"/>
    </row>
    <row r="306" spans="1:105" ht="20" customHeight="1">
      <c r="A306" s="18">
        <f>ROW()</f>
        <v>306</v>
      </c>
      <c r="B306" s="26" t="str">
        <f t="shared" si="4"/>
        <v/>
      </c>
      <c r="C306" s="140"/>
      <c r="D306" s="141"/>
      <c r="E306" s="141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  <c r="BS306" s="142"/>
      <c r="BT306" s="142"/>
      <c r="BU306" s="142"/>
      <c r="BV306" s="142"/>
      <c r="BW306" s="142"/>
      <c r="BX306" s="142"/>
      <c r="BY306" s="142"/>
      <c r="BZ306" s="142"/>
      <c r="CA306" s="142"/>
      <c r="CB306" s="142"/>
      <c r="CC306" s="142"/>
      <c r="CD306" s="142"/>
      <c r="CE306" s="142"/>
      <c r="CF306" s="142"/>
      <c r="CG306" s="142"/>
      <c r="CH306" s="142"/>
      <c r="CI306" s="142"/>
      <c r="CJ306" s="142"/>
      <c r="CK306" s="142"/>
      <c r="CL306" s="142"/>
      <c r="CM306" s="142"/>
      <c r="CN306" s="142"/>
      <c r="CO306" s="142"/>
      <c r="CP306" s="142"/>
      <c r="CQ306" s="142"/>
      <c r="CR306" s="142"/>
      <c r="CS306" s="142"/>
      <c r="CT306" s="142"/>
      <c r="CU306" s="142"/>
      <c r="CV306" s="142"/>
      <c r="CW306" s="142"/>
      <c r="CX306" s="142"/>
      <c r="CY306" s="142"/>
      <c r="CZ306" s="142"/>
      <c r="DA306" s="144"/>
    </row>
    <row r="307" spans="1:105" ht="20" customHeight="1">
      <c r="A307" s="18">
        <f>ROW()</f>
        <v>307</v>
      </c>
      <c r="B307" s="26" t="str">
        <f t="shared" si="4"/>
        <v/>
      </c>
      <c r="C307" s="140"/>
      <c r="D307" s="141"/>
      <c r="E307" s="141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  <c r="BS307" s="142"/>
      <c r="BT307" s="142"/>
      <c r="BU307" s="142"/>
      <c r="BV307" s="142"/>
      <c r="BW307" s="142"/>
      <c r="BX307" s="142"/>
      <c r="BY307" s="142"/>
      <c r="BZ307" s="142"/>
      <c r="CA307" s="142"/>
      <c r="CB307" s="142"/>
      <c r="CC307" s="142"/>
      <c r="CD307" s="142"/>
      <c r="CE307" s="142"/>
      <c r="CF307" s="142"/>
      <c r="CG307" s="142"/>
      <c r="CH307" s="142"/>
      <c r="CI307" s="142"/>
      <c r="CJ307" s="142"/>
      <c r="CK307" s="142"/>
      <c r="CL307" s="142"/>
      <c r="CM307" s="142"/>
      <c r="CN307" s="142"/>
      <c r="CO307" s="142"/>
      <c r="CP307" s="142"/>
      <c r="CQ307" s="142"/>
      <c r="CR307" s="142"/>
      <c r="CS307" s="142"/>
      <c r="CT307" s="142"/>
      <c r="CU307" s="142"/>
      <c r="CV307" s="142"/>
      <c r="CW307" s="142"/>
      <c r="CX307" s="142"/>
      <c r="CY307" s="142"/>
      <c r="CZ307" s="142"/>
      <c r="DA307" s="144"/>
    </row>
    <row r="308" spans="1:105" ht="20" customHeight="1">
      <c r="A308" s="18">
        <f>ROW()</f>
        <v>308</v>
      </c>
      <c r="B308" s="26" t="str">
        <f t="shared" si="4"/>
        <v/>
      </c>
      <c r="C308" s="140"/>
      <c r="D308" s="141"/>
      <c r="E308" s="141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  <c r="BS308" s="142"/>
      <c r="BT308" s="142"/>
      <c r="BU308" s="142"/>
      <c r="BV308" s="142"/>
      <c r="BW308" s="142"/>
      <c r="BX308" s="142"/>
      <c r="BY308" s="142"/>
      <c r="BZ308" s="142"/>
      <c r="CA308" s="142"/>
      <c r="CB308" s="142"/>
      <c r="CC308" s="142"/>
      <c r="CD308" s="142"/>
      <c r="CE308" s="142"/>
      <c r="CF308" s="142"/>
      <c r="CG308" s="142"/>
      <c r="CH308" s="142"/>
      <c r="CI308" s="142"/>
      <c r="CJ308" s="142"/>
      <c r="CK308" s="142"/>
      <c r="CL308" s="142"/>
      <c r="CM308" s="142"/>
      <c r="CN308" s="142"/>
      <c r="CO308" s="142"/>
      <c r="CP308" s="142"/>
      <c r="CQ308" s="142"/>
      <c r="CR308" s="142"/>
      <c r="CS308" s="142"/>
      <c r="CT308" s="142"/>
      <c r="CU308" s="142"/>
      <c r="CV308" s="142"/>
      <c r="CW308" s="142"/>
      <c r="CX308" s="142"/>
      <c r="CY308" s="142"/>
      <c r="CZ308" s="142"/>
      <c r="DA308" s="144"/>
    </row>
    <row r="309" spans="1:105" ht="20" customHeight="1">
      <c r="A309" s="18">
        <f>ROW()</f>
        <v>309</v>
      </c>
      <c r="B309" s="26" t="str">
        <f t="shared" si="4"/>
        <v/>
      </c>
      <c r="C309" s="140"/>
      <c r="D309" s="141"/>
      <c r="E309" s="141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  <c r="BK309" s="142"/>
      <c r="BL309" s="142"/>
      <c r="BM309" s="142"/>
      <c r="BN309" s="142"/>
      <c r="BO309" s="142"/>
      <c r="BP309" s="142"/>
      <c r="BQ309" s="142"/>
      <c r="BR309" s="142"/>
      <c r="BS309" s="142"/>
      <c r="BT309" s="142"/>
      <c r="BU309" s="142"/>
      <c r="BV309" s="142"/>
      <c r="BW309" s="142"/>
      <c r="BX309" s="142"/>
      <c r="BY309" s="142"/>
      <c r="BZ309" s="142"/>
      <c r="CA309" s="142"/>
      <c r="CB309" s="142"/>
      <c r="CC309" s="142"/>
      <c r="CD309" s="142"/>
      <c r="CE309" s="142"/>
      <c r="CF309" s="142"/>
      <c r="CG309" s="142"/>
      <c r="CH309" s="142"/>
      <c r="CI309" s="142"/>
      <c r="CJ309" s="142"/>
      <c r="CK309" s="142"/>
      <c r="CL309" s="142"/>
      <c r="CM309" s="142"/>
      <c r="CN309" s="142"/>
      <c r="CO309" s="142"/>
      <c r="CP309" s="142"/>
      <c r="CQ309" s="142"/>
      <c r="CR309" s="142"/>
      <c r="CS309" s="142"/>
      <c r="CT309" s="142"/>
      <c r="CU309" s="142"/>
      <c r="CV309" s="142"/>
      <c r="CW309" s="142"/>
      <c r="CX309" s="142"/>
      <c r="CY309" s="142"/>
      <c r="CZ309" s="142"/>
      <c r="DA309" s="144"/>
    </row>
    <row r="310" spans="1:105" ht="20" customHeight="1">
      <c r="A310" s="18">
        <f>ROW()</f>
        <v>310</v>
      </c>
      <c r="B310" s="26" t="str">
        <f t="shared" si="4"/>
        <v/>
      </c>
      <c r="C310" s="140"/>
      <c r="D310" s="141"/>
      <c r="E310" s="141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  <c r="BS310" s="142"/>
      <c r="BT310" s="142"/>
      <c r="BU310" s="142"/>
      <c r="BV310" s="142"/>
      <c r="BW310" s="142"/>
      <c r="BX310" s="142"/>
      <c r="BY310" s="142"/>
      <c r="BZ310" s="142"/>
      <c r="CA310" s="142"/>
      <c r="CB310" s="142"/>
      <c r="CC310" s="142"/>
      <c r="CD310" s="142"/>
      <c r="CE310" s="142"/>
      <c r="CF310" s="142"/>
      <c r="CG310" s="142"/>
      <c r="CH310" s="142"/>
      <c r="CI310" s="142"/>
      <c r="CJ310" s="142"/>
      <c r="CK310" s="142"/>
      <c r="CL310" s="142"/>
      <c r="CM310" s="142"/>
      <c r="CN310" s="142"/>
      <c r="CO310" s="142"/>
      <c r="CP310" s="142"/>
      <c r="CQ310" s="142"/>
      <c r="CR310" s="142"/>
      <c r="CS310" s="142"/>
      <c r="CT310" s="142"/>
      <c r="CU310" s="142"/>
      <c r="CV310" s="142"/>
      <c r="CW310" s="142"/>
      <c r="CX310" s="142"/>
      <c r="CY310" s="142"/>
      <c r="CZ310" s="142"/>
      <c r="DA310" s="144"/>
    </row>
    <row r="311" spans="1:105" ht="20" customHeight="1">
      <c r="A311" s="18">
        <f>ROW()</f>
        <v>311</v>
      </c>
      <c r="B311" s="26" t="str">
        <f t="shared" si="4"/>
        <v/>
      </c>
      <c r="C311" s="140"/>
      <c r="D311" s="141"/>
      <c r="E311" s="141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  <c r="BS311" s="142"/>
      <c r="BT311" s="142"/>
      <c r="BU311" s="142"/>
      <c r="BV311" s="142"/>
      <c r="BW311" s="142"/>
      <c r="BX311" s="142"/>
      <c r="BY311" s="142"/>
      <c r="BZ311" s="142"/>
      <c r="CA311" s="142"/>
      <c r="CB311" s="142"/>
      <c r="CC311" s="142"/>
      <c r="CD311" s="142"/>
      <c r="CE311" s="142"/>
      <c r="CF311" s="142"/>
      <c r="CG311" s="142"/>
      <c r="CH311" s="142"/>
      <c r="CI311" s="142"/>
      <c r="CJ311" s="142"/>
      <c r="CK311" s="142"/>
      <c r="CL311" s="142"/>
      <c r="CM311" s="142"/>
      <c r="CN311" s="142"/>
      <c r="CO311" s="142"/>
      <c r="CP311" s="142"/>
      <c r="CQ311" s="142"/>
      <c r="CR311" s="142"/>
      <c r="CS311" s="142"/>
      <c r="CT311" s="142"/>
      <c r="CU311" s="142"/>
      <c r="CV311" s="142"/>
      <c r="CW311" s="142"/>
      <c r="CX311" s="142"/>
      <c r="CY311" s="142"/>
      <c r="CZ311" s="142"/>
      <c r="DA311" s="144"/>
    </row>
    <row r="312" spans="1:105" ht="20" customHeight="1">
      <c r="A312" s="18">
        <f>ROW()</f>
        <v>312</v>
      </c>
      <c r="B312" s="26" t="str">
        <f t="shared" si="4"/>
        <v/>
      </c>
      <c r="C312" s="140"/>
      <c r="D312" s="141"/>
      <c r="E312" s="141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  <c r="BS312" s="142"/>
      <c r="BT312" s="142"/>
      <c r="BU312" s="142"/>
      <c r="BV312" s="142"/>
      <c r="BW312" s="142"/>
      <c r="BX312" s="142"/>
      <c r="BY312" s="142"/>
      <c r="BZ312" s="142"/>
      <c r="CA312" s="142"/>
      <c r="CB312" s="142"/>
      <c r="CC312" s="142"/>
      <c r="CD312" s="142"/>
      <c r="CE312" s="142"/>
      <c r="CF312" s="142"/>
      <c r="CG312" s="142"/>
      <c r="CH312" s="142"/>
      <c r="CI312" s="142"/>
      <c r="CJ312" s="142"/>
      <c r="CK312" s="142"/>
      <c r="CL312" s="142"/>
      <c r="CM312" s="142"/>
      <c r="CN312" s="142"/>
      <c r="CO312" s="142"/>
      <c r="CP312" s="142"/>
      <c r="CQ312" s="142"/>
      <c r="CR312" s="142"/>
      <c r="CS312" s="142"/>
      <c r="CT312" s="142"/>
      <c r="CU312" s="142"/>
      <c r="CV312" s="142"/>
      <c r="CW312" s="142"/>
      <c r="CX312" s="142"/>
      <c r="CY312" s="142"/>
      <c r="CZ312" s="142"/>
      <c r="DA312" s="144"/>
    </row>
    <row r="313" spans="1:105" ht="20" customHeight="1">
      <c r="A313" s="18">
        <f>ROW()</f>
        <v>313</v>
      </c>
      <c r="B313" s="26" t="str">
        <f t="shared" si="4"/>
        <v/>
      </c>
      <c r="C313" s="140"/>
      <c r="D313" s="141"/>
      <c r="E313" s="141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  <c r="BS313" s="142"/>
      <c r="BT313" s="142"/>
      <c r="BU313" s="142"/>
      <c r="BV313" s="142"/>
      <c r="BW313" s="142"/>
      <c r="BX313" s="142"/>
      <c r="BY313" s="142"/>
      <c r="BZ313" s="142"/>
      <c r="CA313" s="142"/>
      <c r="CB313" s="142"/>
      <c r="CC313" s="142"/>
      <c r="CD313" s="142"/>
      <c r="CE313" s="142"/>
      <c r="CF313" s="142"/>
      <c r="CG313" s="142"/>
      <c r="CH313" s="142"/>
      <c r="CI313" s="142"/>
      <c r="CJ313" s="142"/>
      <c r="CK313" s="142"/>
      <c r="CL313" s="142"/>
      <c r="CM313" s="142"/>
      <c r="CN313" s="142"/>
      <c r="CO313" s="142"/>
      <c r="CP313" s="142"/>
      <c r="CQ313" s="142"/>
      <c r="CR313" s="142"/>
      <c r="CS313" s="142"/>
      <c r="CT313" s="142"/>
      <c r="CU313" s="142"/>
      <c r="CV313" s="142"/>
      <c r="CW313" s="142"/>
      <c r="CX313" s="142"/>
      <c r="CY313" s="142"/>
      <c r="CZ313" s="142"/>
      <c r="DA313" s="144"/>
    </row>
    <row r="314" spans="1:105" ht="20" customHeight="1">
      <c r="A314" s="18">
        <f>ROW()</f>
        <v>314</v>
      </c>
      <c r="B314" s="26" t="str">
        <f t="shared" si="4"/>
        <v/>
      </c>
      <c r="C314" s="140"/>
      <c r="D314" s="141"/>
      <c r="E314" s="141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  <c r="BS314" s="142"/>
      <c r="BT314" s="142"/>
      <c r="BU314" s="142"/>
      <c r="BV314" s="142"/>
      <c r="BW314" s="142"/>
      <c r="BX314" s="142"/>
      <c r="BY314" s="142"/>
      <c r="BZ314" s="142"/>
      <c r="CA314" s="142"/>
      <c r="CB314" s="142"/>
      <c r="CC314" s="142"/>
      <c r="CD314" s="142"/>
      <c r="CE314" s="142"/>
      <c r="CF314" s="142"/>
      <c r="CG314" s="142"/>
      <c r="CH314" s="142"/>
      <c r="CI314" s="142"/>
      <c r="CJ314" s="142"/>
      <c r="CK314" s="142"/>
      <c r="CL314" s="142"/>
      <c r="CM314" s="142"/>
      <c r="CN314" s="142"/>
      <c r="CO314" s="142"/>
      <c r="CP314" s="142"/>
      <c r="CQ314" s="142"/>
      <c r="CR314" s="142"/>
      <c r="CS314" s="142"/>
      <c r="CT314" s="142"/>
      <c r="CU314" s="142"/>
      <c r="CV314" s="142"/>
      <c r="CW314" s="142"/>
      <c r="CX314" s="142"/>
      <c r="CY314" s="142"/>
      <c r="CZ314" s="142"/>
      <c r="DA314" s="144"/>
    </row>
    <row r="315" spans="1:105" ht="20" customHeight="1">
      <c r="A315" s="18">
        <f>ROW()</f>
        <v>315</v>
      </c>
      <c r="B315" s="26" t="str">
        <f t="shared" si="4"/>
        <v/>
      </c>
      <c r="C315" s="140"/>
      <c r="D315" s="141"/>
      <c r="E315" s="141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  <c r="BS315" s="142"/>
      <c r="BT315" s="142"/>
      <c r="BU315" s="142"/>
      <c r="BV315" s="142"/>
      <c r="BW315" s="142"/>
      <c r="BX315" s="142"/>
      <c r="BY315" s="142"/>
      <c r="BZ315" s="142"/>
      <c r="CA315" s="142"/>
      <c r="CB315" s="142"/>
      <c r="CC315" s="142"/>
      <c r="CD315" s="142"/>
      <c r="CE315" s="142"/>
      <c r="CF315" s="142"/>
      <c r="CG315" s="142"/>
      <c r="CH315" s="142"/>
      <c r="CI315" s="142"/>
      <c r="CJ315" s="142"/>
      <c r="CK315" s="142"/>
      <c r="CL315" s="142"/>
      <c r="CM315" s="142"/>
      <c r="CN315" s="142"/>
      <c r="CO315" s="142"/>
      <c r="CP315" s="142"/>
      <c r="CQ315" s="142"/>
      <c r="CR315" s="142"/>
      <c r="CS315" s="142"/>
      <c r="CT315" s="142"/>
      <c r="CU315" s="142"/>
      <c r="CV315" s="142"/>
      <c r="CW315" s="142"/>
      <c r="CX315" s="142"/>
      <c r="CY315" s="142"/>
      <c r="CZ315" s="142"/>
      <c r="DA315" s="144"/>
    </row>
    <row r="316" spans="1:105" ht="20" customHeight="1">
      <c r="A316" s="18">
        <f>ROW()</f>
        <v>316</v>
      </c>
      <c r="B316" s="26" t="str">
        <f t="shared" si="4"/>
        <v/>
      </c>
      <c r="C316" s="140"/>
      <c r="D316" s="141"/>
      <c r="E316" s="141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  <c r="BS316" s="142"/>
      <c r="BT316" s="142"/>
      <c r="BU316" s="142"/>
      <c r="BV316" s="142"/>
      <c r="BW316" s="142"/>
      <c r="BX316" s="142"/>
      <c r="BY316" s="142"/>
      <c r="BZ316" s="142"/>
      <c r="CA316" s="142"/>
      <c r="CB316" s="142"/>
      <c r="CC316" s="142"/>
      <c r="CD316" s="142"/>
      <c r="CE316" s="142"/>
      <c r="CF316" s="142"/>
      <c r="CG316" s="142"/>
      <c r="CH316" s="142"/>
      <c r="CI316" s="142"/>
      <c r="CJ316" s="142"/>
      <c r="CK316" s="142"/>
      <c r="CL316" s="142"/>
      <c r="CM316" s="142"/>
      <c r="CN316" s="142"/>
      <c r="CO316" s="142"/>
      <c r="CP316" s="142"/>
      <c r="CQ316" s="142"/>
      <c r="CR316" s="142"/>
      <c r="CS316" s="142"/>
      <c r="CT316" s="142"/>
      <c r="CU316" s="142"/>
      <c r="CV316" s="142"/>
      <c r="CW316" s="142"/>
      <c r="CX316" s="142"/>
      <c r="CY316" s="142"/>
      <c r="CZ316" s="142"/>
      <c r="DA316" s="144"/>
    </row>
    <row r="317" spans="1:105" ht="20" customHeight="1">
      <c r="A317" s="18">
        <f>ROW()</f>
        <v>317</v>
      </c>
      <c r="B317" s="26" t="str">
        <f t="shared" si="4"/>
        <v/>
      </c>
      <c r="C317" s="140"/>
      <c r="D317" s="141"/>
      <c r="E317" s="141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  <c r="BS317" s="142"/>
      <c r="BT317" s="142"/>
      <c r="BU317" s="142"/>
      <c r="BV317" s="142"/>
      <c r="BW317" s="142"/>
      <c r="BX317" s="142"/>
      <c r="BY317" s="142"/>
      <c r="BZ317" s="142"/>
      <c r="CA317" s="142"/>
      <c r="CB317" s="142"/>
      <c r="CC317" s="142"/>
      <c r="CD317" s="142"/>
      <c r="CE317" s="142"/>
      <c r="CF317" s="142"/>
      <c r="CG317" s="142"/>
      <c r="CH317" s="142"/>
      <c r="CI317" s="142"/>
      <c r="CJ317" s="142"/>
      <c r="CK317" s="142"/>
      <c r="CL317" s="142"/>
      <c r="CM317" s="142"/>
      <c r="CN317" s="142"/>
      <c r="CO317" s="142"/>
      <c r="CP317" s="142"/>
      <c r="CQ317" s="142"/>
      <c r="CR317" s="142"/>
      <c r="CS317" s="142"/>
      <c r="CT317" s="142"/>
      <c r="CU317" s="142"/>
      <c r="CV317" s="142"/>
      <c r="CW317" s="142"/>
      <c r="CX317" s="142"/>
      <c r="CY317" s="142"/>
      <c r="CZ317" s="142"/>
      <c r="DA317" s="144"/>
    </row>
    <row r="318" spans="1:105" ht="20" customHeight="1">
      <c r="A318" s="18">
        <f>ROW()</f>
        <v>318</v>
      </c>
      <c r="B318" s="26" t="str">
        <f t="shared" si="4"/>
        <v/>
      </c>
      <c r="C318" s="140"/>
      <c r="D318" s="141"/>
      <c r="E318" s="141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  <c r="BS318" s="142"/>
      <c r="BT318" s="142"/>
      <c r="BU318" s="142"/>
      <c r="BV318" s="142"/>
      <c r="BW318" s="142"/>
      <c r="BX318" s="142"/>
      <c r="BY318" s="142"/>
      <c r="BZ318" s="142"/>
      <c r="CA318" s="142"/>
      <c r="CB318" s="142"/>
      <c r="CC318" s="142"/>
      <c r="CD318" s="142"/>
      <c r="CE318" s="142"/>
      <c r="CF318" s="142"/>
      <c r="CG318" s="142"/>
      <c r="CH318" s="142"/>
      <c r="CI318" s="142"/>
      <c r="CJ318" s="142"/>
      <c r="CK318" s="142"/>
      <c r="CL318" s="142"/>
      <c r="CM318" s="142"/>
      <c r="CN318" s="142"/>
      <c r="CO318" s="142"/>
      <c r="CP318" s="142"/>
      <c r="CQ318" s="142"/>
      <c r="CR318" s="142"/>
      <c r="CS318" s="142"/>
      <c r="CT318" s="142"/>
      <c r="CU318" s="142"/>
      <c r="CV318" s="142"/>
      <c r="CW318" s="142"/>
      <c r="CX318" s="142"/>
      <c r="CY318" s="142"/>
      <c r="CZ318" s="142"/>
      <c r="DA318" s="144"/>
    </row>
    <row r="319" spans="1:105" ht="20" customHeight="1">
      <c r="A319" s="18">
        <f>ROW()</f>
        <v>319</v>
      </c>
      <c r="B319" s="26" t="str">
        <f t="shared" si="4"/>
        <v/>
      </c>
      <c r="C319" s="140"/>
      <c r="D319" s="141"/>
      <c r="E319" s="141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  <c r="BS319" s="142"/>
      <c r="BT319" s="142"/>
      <c r="BU319" s="142"/>
      <c r="BV319" s="142"/>
      <c r="BW319" s="142"/>
      <c r="BX319" s="142"/>
      <c r="BY319" s="142"/>
      <c r="BZ319" s="142"/>
      <c r="CA319" s="142"/>
      <c r="CB319" s="142"/>
      <c r="CC319" s="142"/>
      <c r="CD319" s="142"/>
      <c r="CE319" s="142"/>
      <c r="CF319" s="142"/>
      <c r="CG319" s="142"/>
      <c r="CH319" s="142"/>
      <c r="CI319" s="142"/>
      <c r="CJ319" s="142"/>
      <c r="CK319" s="142"/>
      <c r="CL319" s="142"/>
      <c r="CM319" s="142"/>
      <c r="CN319" s="142"/>
      <c r="CO319" s="142"/>
      <c r="CP319" s="142"/>
      <c r="CQ319" s="142"/>
      <c r="CR319" s="142"/>
      <c r="CS319" s="142"/>
      <c r="CT319" s="142"/>
      <c r="CU319" s="142"/>
      <c r="CV319" s="142"/>
      <c r="CW319" s="142"/>
      <c r="CX319" s="142"/>
      <c r="CY319" s="142"/>
      <c r="CZ319" s="142"/>
      <c r="DA319" s="144"/>
    </row>
    <row r="320" spans="1:105" ht="20" customHeight="1">
      <c r="A320" s="18">
        <f>ROW()</f>
        <v>320</v>
      </c>
      <c r="B320" s="26" t="str">
        <f t="shared" si="4"/>
        <v/>
      </c>
      <c r="C320" s="140"/>
      <c r="D320" s="141"/>
      <c r="E320" s="141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  <c r="BS320" s="142"/>
      <c r="BT320" s="142"/>
      <c r="BU320" s="142"/>
      <c r="BV320" s="142"/>
      <c r="BW320" s="142"/>
      <c r="BX320" s="142"/>
      <c r="BY320" s="142"/>
      <c r="BZ320" s="142"/>
      <c r="CA320" s="142"/>
      <c r="CB320" s="142"/>
      <c r="CC320" s="142"/>
      <c r="CD320" s="142"/>
      <c r="CE320" s="142"/>
      <c r="CF320" s="142"/>
      <c r="CG320" s="142"/>
      <c r="CH320" s="142"/>
      <c r="CI320" s="142"/>
      <c r="CJ320" s="142"/>
      <c r="CK320" s="142"/>
      <c r="CL320" s="142"/>
      <c r="CM320" s="142"/>
      <c r="CN320" s="142"/>
      <c r="CO320" s="142"/>
      <c r="CP320" s="142"/>
      <c r="CQ320" s="142"/>
      <c r="CR320" s="142"/>
      <c r="CS320" s="142"/>
      <c r="CT320" s="142"/>
      <c r="CU320" s="142"/>
      <c r="CV320" s="142"/>
      <c r="CW320" s="142"/>
      <c r="CX320" s="142"/>
      <c r="CY320" s="142"/>
      <c r="CZ320" s="142"/>
      <c r="DA320" s="144"/>
    </row>
    <row r="321" spans="1:105" ht="20" customHeight="1">
      <c r="A321" s="18">
        <f>ROW()</f>
        <v>321</v>
      </c>
      <c r="B321" s="26" t="str">
        <f t="shared" si="4"/>
        <v/>
      </c>
      <c r="C321" s="140"/>
      <c r="D321" s="141"/>
      <c r="E321" s="141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  <c r="BS321" s="142"/>
      <c r="BT321" s="142"/>
      <c r="BU321" s="142"/>
      <c r="BV321" s="142"/>
      <c r="BW321" s="142"/>
      <c r="BX321" s="142"/>
      <c r="BY321" s="142"/>
      <c r="BZ321" s="142"/>
      <c r="CA321" s="142"/>
      <c r="CB321" s="142"/>
      <c r="CC321" s="142"/>
      <c r="CD321" s="142"/>
      <c r="CE321" s="142"/>
      <c r="CF321" s="142"/>
      <c r="CG321" s="142"/>
      <c r="CH321" s="142"/>
      <c r="CI321" s="142"/>
      <c r="CJ321" s="142"/>
      <c r="CK321" s="142"/>
      <c r="CL321" s="142"/>
      <c r="CM321" s="142"/>
      <c r="CN321" s="142"/>
      <c r="CO321" s="142"/>
      <c r="CP321" s="142"/>
      <c r="CQ321" s="142"/>
      <c r="CR321" s="142"/>
      <c r="CS321" s="142"/>
      <c r="CT321" s="142"/>
      <c r="CU321" s="142"/>
      <c r="CV321" s="142"/>
      <c r="CW321" s="142"/>
      <c r="CX321" s="142"/>
      <c r="CY321" s="142"/>
      <c r="CZ321" s="142"/>
      <c r="DA321" s="144"/>
    </row>
    <row r="322" spans="1:105" ht="20" customHeight="1">
      <c r="A322" s="18">
        <f>ROW()</f>
        <v>322</v>
      </c>
      <c r="B322" s="26" t="str">
        <f t="shared" si="4"/>
        <v/>
      </c>
      <c r="C322" s="140"/>
      <c r="D322" s="141"/>
      <c r="E322" s="141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  <c r="BS322" s="142"/>
      <c r="BT322" s="142"/>
      <c r="BU322" s="142"/>
      <c r="BV322" s="142"/>
      <c r="BW322" s="142"/>
      <c r="BX322" s="142"/>
      <c r="BY322" s="142"/>
      <c r="BZ322" s="142"/>
      <c r="CA322" s="142"/>
      <c r="CB322" s="142"/>
      <c r="CC322" s="142"/>
      <c r="CD322" s="142"/>
      <c r="CE322" s="142"/>
      <c r="CF322" s="142"/>
      <c r="CG322" s="142"/>
      <c r="CH322" s="142"/>
      <c r="CI322" s="142"/>
      <c r="CJ322" s="142"/>
      <c r="CK322" s="142"/>
      <c r="CL322" s="142"/>
      <c r="CM322" s="142"/>
      <c r="CN322" s="142"/>
      <c r="CO322" s="142"/>
      <c r="CP322" s="142"/>
      <c r="CQ322" s="142"/>
      <c r="CR322" s="142"/>
      <c r="CS322" s="142"/>
      <c r="CT322" s="142"/>
      <c r="CU322" s="142"/>
      <c r="CV322" s="142"/>
      <c r="CW322" s="142"/>
      <c r="CX322" s="142"/>
      <c r="CY322" s="142"/>
      <c r="CZ322" s="142"/>
      <c r="DA322" s="144"/>
    </row>
    <row r="323" spans="1:105" ht="20" customHeight="1">
      <c r="A323" s="18">
        <f>ROW()</f>
        <v>323</v>
      </c>
      <c r="B323" s="26" t="str">
        <f t="shared" si="4"/>
        <v/>
      </c>
      <c r="C323" s="140"/>
      <c r="D323" s="141"/>
      <c r="E323" s="141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  <c r="BS323" s="142"/>
      <c r="BT323" s="142"/>
      <c r="BU323" s="142"/>
      <c r="BV323" s="142"/>
      <c r="BW323" s="142"/>
      <c r="BX323" s="142"/>
      <c r="BY323" s="142"/>
      <c r="BZ323" s="142"/>
      <c r="CA323" s="142"/>
      <c r="CB323" s="142"/>
      <c r="CC323" s="142"/>
      <c r="CD323" s="142"/>
      <c r="CE323" s="142"/>
      <c r="CF323" s="142"/>
      <c r="CG323" s="142"/>
      <c r="CH323" s="142"/>
      <c r="CI323" s="142"/>
      <c r="CJ323" s="142"/>
      <c r="CK323" s="142"/>
      <c r="CL323" s="142"/>
      <c r="CM323" s="142"/>
      <c r="CN323" s="142"/>
      <c r="CO323" s="142"/>
      <c r="CP323" s="142"/>
      <c r="CQ323" s="142"/>
      <c r="CR323" s="142"/>
      <c r="CS323" s="142"/>
      <c r="CT323" s="142"/>
      <c r="CU323" s="142"/>
      <c r="CV323" s="142"/>
      <c r="CW323" s="142"/>
      <c r="CX323" s="142"/>
      <c r="CY323" s="142"/>
      <c r="CZ323" s="142"/>
      <c r="DA323" s="144"/>
    </row>
    <row r="324" spans="1:105" ht="20" customHeight="1">
      <c r="A324" s="18">
        <f>ROW()</f>
        <v>324</v>
      </c>
      <c r="B324" s="26" t="str">
        <f t="shared" si="4"/>
        <v/>
      </c>
      <c r="C324" s="140"/>
      <c r="D324" s="141"/>
      <c r="E324" s="141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  <c r="BS324" s="142"/>
      <c r="BT324" s="142"/>
      <c r="BU324" s="142"/>
      <c r="BV324" s="142"/>
      <c r="BW324" s="142"/>
      <c r="BX324" s="142"/>
      <c r="BY324" s="142"/>
      <c r="BZ324" s="142"/>
      <c r="CA324" s="142"/>
      <c r="CB324" s="142"/>
      <c r="CC324" s="142"/>
      <c r="CD324" s="142"/>
      <c r="CE324" s="142"/>
      <c r="CF324" s="142"/>
      <c r="CG324" s="142"/>
      <c r="CH324" s="142"/>
      <c r="CI324" s="142"/>
      <c r="CJ324" s="142"/>
      <c r="CK324" s="142"/>
      <c r="CL324" s="142"/>
      <c r="CM324" s="142"/>
      <c r="CN324" s="142"/>
      <c r="CO324" s="142"/>
      <c r="CP324" s="142"/>
      <c r="CQ324" s="142"/>
      <c r="CR324" s="142"/>
      <c r="CS324" s="142"/>
      <c r="CT324" s="142"/>
      <c r="CU324" s="142"/>
      <c r="CV324" s="142"/>
      <c r="CW324" s="142"/>
      <c r="CX324" s="142"/>
      <c r="CY324" s="142"/>
      <c r="CZ324" s="142"/>
      <c r="DA324" s="144"/>
    </row>
    <row r="325" spans="1:105" ht="20" customHeight="1">
      <c r="A325" s="18">
        <f>ROW()</f>
        <v>325</v>
      </c>
      <c r="B325" s="26" t="str">
        <f t="shared" si="4"/>
        <v/>
      </c>
      <c r="C325" s="140"/>
      <c r="D325" s="141"/>
      <c r="E325" s="141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  <c r="BS325" s="142"/>
      <c r="BT325" s="142"/>
      <c r="BU325" s="142"/>
      <c r="BV325" s="142"/>
      <c r="BW325" s="142"/>
      <c r="BX325" s="142"/>
      <c r="BY325" s="142"/>
      <c r="BZ325" s="142"/>
      <c r="CA325" s="142"/>
      <c r="CB325" s="142"/>
      <c r="CC325" s="142"/>
      <c r="CD325" s="142"/>
      <c r="CE325" s="142"/>
      <c r="CF325" s="142"/>
      <c r="CG325" s="142"/>
      <c r="CH325" s="142"/>
      <c r="CI325" s="142"/>
      <c r="CJ325" s="142"/>
      <c r="CK325" s="142"/>
      <c r="CL325" s="142"/>
      <c r="CM325" s="142"/>
      <c r="CN325" s="142"/>
      <c r="CO325" s="142"/>
      <c r="CP325" s="142"/>
      <c r="CQ325" s="142"/>
      <c r="CR325" s="142"/>
      <c r="CS325" s="142"/>
      <c r="CT325" s="142"/>
      <c r="CU325" s="142"/>
      <c r="CV325" s="142"/>
      <c r="CW325" s="142"/>
      <c r="CX325" s="142"/>
      <c r="CY325" s="142"/>
      <c r="CZ325" s="142"/>
      <c r="DA325" s="144"/>
    </row>
    <row r="326" spans="1:105" ht="20" customHeight="1">
      <c r="A326" s="18">
        <f>ROW()</f>
        <v>326</v>
      </c>
      <c r="B326" s="26" t="str">
        <f t="shared" si="4"/>
        <v/>
      </c>
      <c r="C326" s="140"/>
      <c r="D326" s="141"/>
      <c r="E326" s="141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  <c r="BK326" s="142"/>
      <c r="BL326" s="142"/>
      <c r="BM326" s="142"/>
      <c r="BN326" s="142"/>
      <c r="BO326" s="142"/>
      <c r="BP326" s="142"/>
      <c r="BQ326" s="142"/>
      <c r="BR326" s="142"/>
      <c r="BS326" s="142"/>
      <c r="BT326" s="142"/>
      <c r="BU326" s="142"/>
      <c r="BV326" s="142"/>
      <c r="BW326" s="142"/>
      <c r="BX326" s="142"/>
      <c r="BY326" s="142"/>
      <c r="BZ326" s="142"/>
      <c r="CA326" s="142"/>
      <c r="CB326" s="142"/>
      <c r="CC326" s="142"/>
      <c r="CD326" s="142"/>
      <c r="CE326" s="142"/>
      <c r="CF326" s="142"/>
      <c r="CG326" s="142"/>
      <c r="CH326" s="142"/>
      <c r="CI326" s="142"/>
      <c r="CJ326" s="142"/>
      <c r="CK326" s="142"/>
      <c r="CL326" s="142"/>
      <c r="CM326" s="142"/>
      <c r="CN326" s="142"/>
      <c r="CO326" s="142"/>
      <c r="CP326" s="142"/>
      <c r="CQ326" s="142"/>
      <c r="CR326" s="142"/>
      <c r="CS326" s="142"/>
      <c r="CT326" s="142"/>
      <c r="CU326" s="142"/>
      <c r="CV326" s="142"/>
      <c r="CW326" s="142"/>
      <c r="CX326" s="142"/>
      <c r="CY326" s="142"/>
      <c r="CZ326" s="142"/>
      <c r="DA326" s="144"/>
    </row>
    <row r="327" spans="1:105" ht="20" customHeight="1">
      <c r="A327" s="18">
        <f>ROW()</f>
        <v>327</v>
      </c>
      <c r="B327" s="26" t="str">
        <f t="shared" si="4"/>
        <v/>
      </c>
      <c r="C327" s="140"/>
      <c r="D327" s="141"/>
      <c r="E327" s="141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  <c r="BS327" s="142"/>
      <c r="BT327" s="142"/>
      <c r="BU327" s="142"/>
      <c r="BV327" s="142"/>
      <c r="BW327" s="142"/>
      <c r="BX327" s="142"/>
      <c r="BY327" s="142"/>
      <c r="BZ327" s="142"/>
      <c r="CA327" s="142"/>
      <c r="CB327" s="142"/>
      <c r="CC327" s="142"/>
      <c r="CD327" s="142"/>
      <c r="CE327" s="142"/>
      <c r="CF327" s="142"/>
      <c r="CG327" s="142"/>
      <c r="CH327" s="142"/>
      <c r="CI327" s="142"/>
      <c r="CJ327" s="142"/>
      <c r="CK327" s="142"/>
      <c r="CL327" s="142"/>
      <c r="CM327" s="142"/>
      <c r="CN327" s="142"/>
      <c r="CO327" s="142"/>
      <c r="CP327" s="142"/>
      <c r="CQ327" s="142"/>
      <c r="CR327" s="142"/>
      <c r="CS327" s="142"/>
      <c r="CT327" s="142"/>
      <c r="CU327" s="142"/>
      <c r="CV327" s="142"/>
      <c r="CW327" s="142"/>
      <c r="CX327" s="142"/>
      <c r="CY327" s="142"/>
      <c r="CZ327" s="142"/>
      <c r="DA327" s="144"/>
    </row>
    <row r="328" spans="1:105" ht="20" customHeight="1">
      <c r="A328" s="18">
        <f>ROW()</f>
        <v>328</v>
      </c>
      <c r="B328" s="26" t="str">
        <f t="shared" si="4"/>
        <v/>
      </c>
      <c r="C328" s="140"/>
      <c r="D328" s="141"/>
      <c r="E328" s="141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  <c r="BS328" s="142"/>
      <c r="BT328" s="142"/>
      <c r="BU328" s="142"/>
      <c r="BV328" s="142"/>
      <c r="BW328" s="142"/>
      <c r="BX328" s="142"/>
      <c r="BY328" s="142"/>
      <c r="BZ328" s="142"/>
      <c r="CA328" s="142"/>
      <c r="CB328" s="142"/>
      <c r="CC328" s="142"/>
      <c r="CD328" s="142"/>
      <c r="CE328" s="142"/>
      <c r="CF328" s="142"/>
      <c r="CG328" s="142"/>
      <c r="CH328" s="142"/>
      <c r="CI328" s="142"/>
      <c r="CJ328" s="142"/>
      <c r="CK328" s="142"/>
      <c r="CL328" s="142"/>
      <c r="CM328" s="142"/>
      <c r="CN328" s="142"/>
      <c r="CO328" s="142"/>
      <c r="CP328" s="142"/>
      <c r="CQ328" s="142"/>
      <c r="CR328" s="142"/>
      <c r="CS328" s="142"/>
      <c r="CT328" s="142"/>
      <c r="CU328" s="142"/>
      <c r="CV328" s="142"/>
      <c r="CW328" s="142"/>
      <c r="CX328" s="142"/>
      <c r="CY328" s="142"/>
      <c r="CZ328" s="142"/>
      <c r="DA328" s="144"/>
    </row>
    <row r="329" spans="1:105" ht="20" customHeight="1">
      <c r="A329" s="18">
        <f>ROW()</f>
        <v>329</v>
      </c>
      <c r="B329" s="26" t="str">
        <f t="shared" si="4"/>
        <v/>
      </c>
      <c r="C329" s="140"/>
      <c r="D329" s="141"/>
      <c r="E329" s="141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  <c r="BS329" s="142"/>
      <c r="BT329" s="142"/>
      <c r="BU329" s="142"/>
      <c r="BV329" s="142"/>
      <c r="BW329" s="142"/>
      <c r="BX329" s="142"/>
      <c r="BY329" s="142"/>
      <c r="BZ329" s="142"/>
      <c r="CA329" s="142"/>
      <c r="CB329" s="142"/>
      <c r="CC329" s="142"/>
      <c r="CD329" s="142"/>
      <c r="CE329" s="142"/>
      <c r="CF329" s="142"/>
      <c r="CG329" s="142"/>
      <c r="CH329" s="142"/>
      <c r="CI329" s="142"/>
      <c r="CJ329" s="142"/>
      <c r="CK329" s="142"/>
      <c r="CL329" s="142"/>
      <c r="CM329" s="142"/>
      <c r="CN329" s="142"/>
      <c r="CO329" s="142"/>
      <c r="CP329" s="142"/>
      <c r="CQ329" s="142"/>
      <c r="CR329" s="142"/>
      <c r="CS329" s="142"/>
      <c r="CT329" s="142"/>
      <c r="CU329" s="142"/>
      <c r="CV329" s="142"/>
      <c r="CW329" s="142"/>
      <c r="CX329" s="142"/>
      <c r="CY329" s="142"/>
      <c r="CZ329" s="142"/>
      <c r="DA329" s="144"/>
    </row>
    <row r="330" spans="1:105" ht="20" customHeight="1">
      <c r="A330" s="18">
        <f>ROW()</f>
        <v>330</v>
      </c>
      <c r="B330" s="26" t="str">
        <f t="shared" si="4"/>
        <v/>
      </c>
      <c r="C330" s="140"/>
      <c r="D330" s="141"/>
      <c r="E330" s="141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  <c r="BS330" s="142"/>
      <c r="BT330" s="142"/>
      <c r="BU330" s="142"/>
      <c r="BV330" s="142"/>
      <c r="BW330" s="142"/>
      <c r="BX330" s="142"/>
      <c r="BY330" s="142"/>
      <c r="BZ330" s="142"/>
      <c r="CA330" s="142"/>
      <c r="CB330" s="142"/>
      <c r="CC330" s="142"/>
      <c r="CD330" s="142"/>
      <c r="CE330" s="142"/>
      <c r="CF330" s="142"/>
      <c r="CG330" s="142"/>
      <c r="CH330" s="142"/>
      <c r="CI330" s="142"/>
      <c r="CJ330" s="142"/>
      <c r="CK330" s="142"/>
      <c r="CL330" s="142"/>
      <c r="CM330" s="142"/>
      <c r="CN330" s="142"/>
      <c r="CO330" s="142"/>
      <c r="CP330" s="142"/>
      <c r="CQ330" s="142"/>
      <c r="CR330" s="142"/>
      <c r="CS330" s="142"/>
      <c r="CT330" s="142"/>
      <c r="CU330" s="142"/>
      <c r="CV330" s="142"/>
      <c r="CW330" s="142"/>
      <c r="CX330" s="142"/>
      <c r="CY330" s="142"/>
      <c r="CZ330" s="142"/>
      <c r="DA330" s="144"/>
    </row>
    <row r="331" spans="1:105" ht="20" customHeight="1">
      <c r="A331" s="18">
        <f>ROW()</f>
        <v>331</v>
      </c>
      <c r="B331" s="26" t="str">
        <f t="shared" si="4"/>
        <v/>
      </c>
      <c r="C331" s="140"/>
      <c r="D331" s="141"/>
      <c r="E331" s="141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  <c r="BS331" s="142"/>
      <c r="BT331" s="142"/>
      <c r="BU331" s="142"/>
      <c r="BV331" s="142"/>
      <c r="BW331" s="142"/>
      <c r="BX331" s="142"/>
      <c r="BY331" s="142"/>
      <c r="BZ331" s="142"/>
      <c r="CA331" s="142"/>
      <c r="CB331" s="142"/>
      <c r="CC331" s="142"/>
      <c r="CD331" s="142"/>
      <c r="CE331" s="142"/>
      <c r="CF331" s="142"/>
      <c r="CG331" s="142"/>
      <c r="CH331" s="142"/>
      <c r="CI331" s="142"/>
      <c r="CJ331" s="142"/>
      <c r="CK331" s="142"/>
      <c r="CL331" s="142"/>
      <c r="CM331" s="142"/>
      <c r="CN331" s="142"/>
      <c r="CO331" s="142"/>
      <c r="CP331" s="142"/>
      <c r="CQ331" s="142"/>
      <c r="CR331" s="142"/>
      <c r="CS331" s="142"/>
      <c r="CT331" s="142"/>
      <c r="CU331" s="142"/>
      <c r="CV331" s="142"/>
      <c r="CW331" s="142"/>
      <c r="CX331" s="142"/>
      <c r="CY331" s="142"/>
      <c r="CZ331" s="142"/>
      <c r="DA331" s="144"/>
    </row>
    <row r="332" spans="1:105" ht="20" customHeight="1">
      <c r="A332" s="18">
        <f>ROW()</f>
        <v>332</v>
      </c>
      <c r="B332" s="26" t="str">
        <f t="shared" si="4"/>
        <v/>
      </c>
      <c r="C332" s="140"/>
      <c r="D332" s="141"/>
      <c r="E332" s="141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  <c r="BS332" s="142"/>
      <c r="BT332" s="142"/>
      <c r="BU332" s="142"/>
      <c r="BV332" s="142"/>
      <c r="BW332" s="142"/>
      <c r="BX332" s="142"/>
      <c r="BY332" s="142"/>
      <c r="BZ332" s="142"/>
      <c r="CA332" s="142"/>
      <c r="CB332" s="142"/>
      <c r="CC332" s="142"/>
      <c r="CD332" s="142"/>
      <c r="CE332" s="142"/>
      <c r="CF332" s="142"/>
      <c r="CG332" s="142"/>
      <c r="CH332" s="142"/>
      <c r="CI332" s="142"/>
      <c r="CJ332" s="142"/>
      <c r="CK332" s="142"/>
      <c r="CL332" s="142"/>
      <c r="CM332" s="142"/>
      <c r="CN332" s="142"/>
      <c r="CO332" s="142"/>
      <c r="CP332" s="142"/>
      <c r="CQ332" s="142"/>
      <c r="CR332" s="142"/>
      <c r="CS332" s="142"/>
      <c r="CT332" s="142"/>
      <c r="CU332" s="142"/>
      <c r="CV332" s="142"/>
      <c r="CW332" s="142"/>
      <c r="CX332" s="142"/>
      <c r="CY332" s="142"/>
      <c r="CZ332" s="142"/>
      <c r="DA332" s="144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40"/>
      <c r="D333" s="141"/>
      <c r="E333" s="141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  <c r="BS333" s="142"/>
      <c r="BT333" s="142"/>
      <c r="BU333" s="142"/>
      <c r="BV333" s="142"/>
      <c r="BW333" s="142"/>
      <c r="BX333" s="142"/>
      <c r="BY333" s="142"/>
      <c r="BZ333" s="142"/>
      <c r="CA333" s="142"/>
      <c r="CB333" s="142"/>
      <c r="CC333" s="142"/>
      <c r="CD333" s="142"/>
      <c r="CE333" s="142"/>
      <c r="CF333" s="142"/>
      <c r="CG333" s="142"/>
      <c r="CH333" s="142"/>
      <c r="CI333" s="142"/>
      <c r="CJ333" s="142"/>
      <c r="CK333" s="142"/>
      <c r="CL333" s="142"/>
      <c r="CM333" s="142"/>
      <c r="CN333" s="142"/>
      <c r="CO333" s="142"/>
      <c r="CP333" s="142"/>
      <c r="CQ333" s="142"/>
      <c r="CR333" s="142"/>
      <c r="CS333" s="142"/>
      <c r="CT333" s="142"/>
      <c r="CU333" s="142"/>
      <c r="CV333" s="142"/>
      <c r="CW333" s="142"/>
      <c r="CX333" s="142"/>
      <c r="CY333" s="142"/>
      <c r="CZ333" s="142"/>
      <c r="DA333" s="144"/>
    </row>
    <row r="334" spans="1:105" ht="20" customHeight="1">
      <c r="A334" s="18">
        <f>ROW()</f>
        <v>334</v>
      </c>
      <c r="B334" s="26" t="str">
        <f t="shared" si="5"/>
        <v/>
      </c>
      <c r="C334" s="140"/>
      <c r="D334" s="141"/>
      <c r="E334" s="141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  <c r="BS334" s="142"/>
      <c r="BT334" s="142"/>
      <c r="BU334" s="142"/>
      <c r="BV334" s="142"/>
      <c r="BW334" s="142"/>
      <c r="BX334" s="142"/>
      <c r="BY334" s="142"/>
      <c r="BZ334" s="142"/>
      <c r="CA334" s="142"/>
      <c r="CB334" s="142"/>
      <c r="CC334" s="142"/>
      <c r="CD334" s="142"/>
      <c r="CE334" s="142"/>
      <c r="CF334" s="142"/>
      <c r="CG334" s="142"/>
      <c r="CH334" s="142"/>
      <c r="CI334" s="142"/>
      <c r="CJ334" s="142"/>
      <c r="CK334" s="142"/>
      <c r="CL334" s="142"/>
      <c r="CM334" s="142"/>
      <c r="CN334" s="142"/>
      <c r="CO334" s="142"/>
      <c r="CP334" s="142"/>
      <c r="CQ334" s="142"/>
      <c r="CR334" s="142"/>
      <c r="CS334" s="142"/>
      <c r="CT334" s="142"/>
      <c r="CU334" s="142"/>
      <c r="CV334" s="142"/>
      <c r="CW334" s="142"/>
      <c r="CX334" s="142"/>
      <c r="CY334" s="142"/>
      <c r="CZ334" s="142"/>
      <c r="DA334" s="144"/>
    </row>
    <row r="335" spans="1:105" ht="20" customHeight="1">
      <c r="A335" s="18">
        <f>ROW()</f>
        <v>335</v>
      </c>
      <c r="B335" s="26" t="str">
        <f t="shared" si="5"/>
        <v/>
      </c>
      <c r="C335" s="140"/>
      <c r="D335" s="141"/>
      <c r="E335" s="141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  <c r="BS335" s="142"/>
      <c r="BT335" s="142"/>
      <c r="BU335" s="142"/>
      <c r="BV335" s="142"/>
      <c r="BW335" s="142"/>
      <c r="BX335" s="142"/>
      <c r="BY335" s="142"/>
      <c r="BZ335" s="142"/>
      <c r="CA335" s="142"/>
      <c r="CB335" s="142"/>
      <c r="CC335" s="142"/>
      <c r="CD335" s="142"/>
      <c r="CE335" s="142"/>
      <c r="CF335" s="142"/>
      <c r="CG335" s="142"/>
      <c r="CH335" s="142"/>
      <c r="CI335" s="142"/>
      <c r="CJ335" s="142"/>
      <c r="CK335" s="142"/>
      <c r="CL335" s="142"/>
      <c r="CM335" s="142"/>
      <c r="CN335" s="142"/>
      <c r="CO335" s="142"/>
      <c r="CP335" s="142"/>
      <c r="CQ335" s="142"/>
      <c r="CR335" s="142"/>
      <c r="CS335" s="142"/>
      <c r="CT335" s="142"/>
      <c r="CU335" s="142"/>
      <c r="CV335" s="142"/>
      <c r="CW335" s="142"/>
      <c r="CX335" s="142"/>
      <c r="CY335" s="142"/>
      <c r="CZ335" s="142"/>
      <c r="DA335" s="144"/>
    </row>
    <row r="336" spans="1:105" ht="20" customHeight="1">
      <c r="A336" s="18">
        <f>ROW()</f>
        <v>336</v>
      </c>
      <c r="B336" s="26" t="str">
        <f t="shared" si="5"/>
        <v/>
      </c>
      <c r="C336" s="140"/>
      <c r="D336" s="141"/>
      <c r="E336" s="141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  <c r="BS336" s="142"/>
      <c r="BT336" s="142"/>
      <c r="BU336" s="142"/>
      <c r="BV336" s="142"/>
      <c r="BW336" s="142"/>
      <c r="BX336" s="142"/>
      <c r="BY336" s="142"/>
      <c r="BZ336" s="142"/>
      <c r="CA336" s="142"/>
      <c r="CB336" s="142"/>
      <c r="CC336" s="142"/>
      <c r="CD336" s="142"/>
      <c r="CE336" s="142"/>
      <c r="CF336" s="142"/>
      <c r="CG336" s="142"/>
      <c r="CH336" s="142"/>
      <c r="CI336" s="142"/>
      <c r="CJ336" s="142"/>
      <c r="CK336" s="142"/>
      <c r="CL336" s="142"/>
      <c r="CM336" s="142"/>
      <c r="CN336" s="142"/>
      <c r="CO336" s="142"/>
      <c r="CP336" s="142"/>
      <c r="CQ336" s="142"/>
      <c r="CR336" s="142"/>
      <c r="CS336" s="142"/>
      <c r="CT336" s="142"/>
      <c r="CU336" s="142"/>
      <c r="CV336" s="142"/>
      <c r="CW336" s="142"/>
      <c r="CX336" s="142"/>
      <c r="CY336" s="142"/>
      <c r="CZ336" s="142"/>
      <c r="DA336" s="144"/>
    </row>
    <row r="337" spans="1:105" ht="20" customHeight="1">
      <c r="A337" s="18">
        <f>ROW()</f>
        <v>337</v>
      </c>
      <c r="B337" s="26" t="str">
        <f t="shared" si="5"/>
        <v/>
      </c>
      <c r="C337" s="140"/>
      <c r="D337" s="141"/>
      <c r="E337" s="141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  <c r="BS337" s="142"/>
      <c r="BT337" s="142"/>
      <c r="BU337" s="142"/>
      <c r="BV337" s="142"/>
      <c r="BW337" s="142"/>
      <c r="BX337" s="142"/>
      <c r="BY337" s="142"/>
      <c r="BZ337" s="142"/>
      <c r="CA337" s="142"/>
      <c r="CB337" s="142"/>
      <c r="CC337" s="142"/>
      <c r="CD337" s="142"/>
      <c r="CE337" s="142"/>
      <c r="CF337" s="142"/>
      <c r="CG337" s="142"/>
      <c r="CH337" s="142"/>
      <c r="CI337" s="142"/>
      <c r="CJ337" s="142"/>
      <c r="CK337" s="142"/>
      <c r="CL337" s="142"/>
      <c r="CM337" s="142"/>
      <c r="CN337" s="142"/>
      <c r="CO337" s="142"/>
      <c r="CP337" s="142"/>
      <c r="CQ337" s="142"/>
      <c r="CR337" s="142"/>
      <c r="CS337" s="142"/>
      <c r="CT337" s="142"/>
      <c r="CU337" s="142"/>
      <c r="CV337" s="142"/>
      <c r="CW337" s="142"/>
      <c r="CX337" s="142"/>
      <c r="CY337" s="142"/>
      <c r="CZ337" s="142"/>
      <c r="DA337" s="144"/>
    </row>
    <row r="338" spans="1:105" ht="20" customHeight="1">
      <c r="A338" s="18">
        <f>ROW()</f>
        <v>338</v>
      </c>
      <c r="B338" s="26" t="str">
        <f t="shared" si="5"/>
        <v/>
      </c>
      <c r="C338" s="140"/>
      <c r="D338" s="141"/>
      <c r="E338" s="141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  <c r="BS338" s="142"/>
      <c r="BT338" s="142"/>
      <c r="BU338" s="142"/>
      <c r="BV338" s="142"/>
      <c r="BW338" s="142"/>
      <c r="BX338" s="142"/>
      <c r="BY338" s="142"/>
      <c r="BZ338" s="142"/>
      <c r="CA338" s="142"/>
      <c r="CB338" s="142"/>
      <c r="CC338" s="142"/>
      <c r="CD338" s="142"/>
      <c r="CE338" s="142"/>
      <c r="CF338" s="142"/>
      <c r="CG338" s="142"/>
      <c r="CH338" s="142"/>
      <c r="CI338" s="142"/>
      <c r="CJ338" s="142"/>
      <c r="CK338" s="142"/>
      <c r="CL338" s="142"/>
      <c r="CM338" s="142"/>
      <c r="CN338" s="142"/>
      <c r="CO338" s="142"/>
      <c r="CP338" s="142"/>
      <c r="CQ338" s="142"/>
      <c r="CR338" s="142"/>
      <c r="CS338" s="142"/>
      <c r="CT338" s="142"/>
      <c r="CU338" s="142"/>
      <c r="CV338" s="142"/>
      <c r="CW338" s="142"/>
      <c r="CX338" s="142"/>
      <c r="CY338" s="142"/>
      <c r="CZ338" s="142"/>
      <c r="DA338" s="144"/>
    </row>
    <row r="339" spans="1:105" ht="20" customHeight="1">
      <c r="A339" s="18">
        <f>ROW()</f>
        <v>339</v>
      </c>
      <c r="B339" s="26" t="str">
        <f t="shared" si="5"/>
        <v/>
      </c>
      <c r="C339" s="140"/>
      <c r="D339" s="141"/>
      <c r="E339" s="141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  <c r="BS339" s="142"/>
      <c r="BT339" s="142"/>
      <c r="BU339" s="142"/>
      <c r="BV339" s="142"/>
      <c r="BW339" s="142"/>
      <c r="BX339" s="142"/>
      <c r="BY339" s="142"/>
      <c r="BZ339" s="142"/>
      <c r="CA339" s="142"/>
      <c r="CB339" s="142"/>
      <c r="CC339" s="142"/>
      <c r="CD339" s="142"/>
      <c r="CE339" s="142"/>
      <c r="CF339" s="142"/>
      <c r="CG339" s="142"/>
      <c r="CH339" s="142"/>
      <c r="CI339" s="142"/>
      <c r="CJ339" s="142"/>
      <c r="CK339" s="142"/>
      <c r="CL339" s="142"/>
      <c r="CM339" s="142"/>
      <c r="CN339" s="142"/>
      <c r="CO339" s="142"/>
      <c r="CP339" s="142"/>
      <c r="CQ339" s="142"/>
      <c r="CR339" s="142"/>
      <c r="CS339" s="142"/>
      <c r="CT339" s="142"/>
      <c r="CU339" s="142"/>
      <c r="CV339" s="142"/>
      <c r="CW339" s="142"/>
      <c r="CX339" s="142"/>
      <c r="CY339" s="142"/>
      <c r="CZ339" s="142"/>
      <c r="DA339" s="144"/>
    </row>
    <row r="340" spans="1:105" ht="20" customHeight="1">
      <c r="A340" s="18">
        <f>ROW()</f>
        <v>340</v>
      </c>
      <c r="B340" s="26" t="str">
        <f t="shared" si="5"/>
        <v/>
      </c>
      <c r="C340" s="140"/>
      <c r="D340" s="141"/>
      <c r="E340" s="141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  <c r="BS340" s="142"/>
      <c r="BT340" s="142"/>
      <c r="BU340" s="142"/>
      <c r="BV340" s="142"/>
      <c r="BW340" s="142"/>
      <c r="BX340" s="142"/>
      <c r="BY340" s="142"/>
      <c r="BZ340" s="142"/>
      <c r="CA340" s="142"/>
      <c r="CB340" s="142"/>
      <c r="CC340" s="142"/>
      <c r="CD340" s="142"/>
      <c r="CE340" s="142"/>
      <c r="CF340" s="142"/>
      <c r="CG340" s="142"/>
      <c r="CH340" s="142"/>
      <c r="CI340" s="142"/>
      <c r="CJ340" s="142"/>
      <c r="CK340" s="142"/>
      <c r="CL340" s="142"/>
      <c r="CM340" s="142"/>
      <c r="CN340" s="142"/>
      <c r="CO340" s="142"/>
      <c r="CP340" s="142"/>
      <c r="CQ340" s="142"/>
      <c r="CR340" s="142"/>
      <c r="CS340" s="142"/>
      <c r="CT340" s="142"/>
      <c r="CU340" s="142"/>
      <c r="CV340" s="142"/>
      <c r="CW340" s="142"/>
      <c r="CX340" s="142"/>
      <c r="CY340" s="142"/>
      <c r="CZ340" s="142"/>
      <c r="DA340" s="144"/>
    </row>
    <row r="341" spans="1:105" ht="20" customHeight="1">
      <c r="A341" s="18">
        <f>ROW()</f>
        <v>341</v>
      </c>
      <c r="B341" s="26" t="str">
        <f t="shared" si="5"/>
        <v/>
      </c>
      <c r="C341" s="140"/>
      <c r="D341" s="141"/>
      <c r="E341" s="141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  <c r="BS341" s="142"/>
      <c r="BT341" s="142"/>
      <c r="BU341" s="142"/>
      <c r="BV341" s="142"/>
      <c r="BW341" s="142"/>
      <c r="BX341" s="142"/>
      <c r="BY341" s="142"/>
      <c r="BZ341" s="142"/>
      <c r="CA341" s="142"/>
      <c r="CB341" s="142"/>
      <c r="CC341" s="142"/>
      <c r="CD341" s="142"/>
      <c r="CE341" s="142"/>
      <c r="CF341" s="142"/>
      <c r="CG341" s="142"/>
      <c r="CH341" s="142"/>
      <c r="CI341" s="142"/>
      <c r="CJ341" s="142"/>
      <c r="CK341" s="142"/>
      <c r="CL341" s="142"/>
      <c r="CM341" s="142"/>
      <c r="CN341" s="142"/>
      <c r="CO341" s="142"/>
      <c r="CP341" s="142"/>
      <c r="CQ341" s="142"/>
      <c r="CR341" s="142"/>
      <c r="CS341" s="142"/>
      <c r="CT341" s="142"/>
      <c r="CU341" s="142"/>
      <c r="CV341" s="142"/>
      <c r="CW341" s="142"/>
      <c r="CX341" s="142"/>
      <c r="CY341" s="142"/>
      <c r="CZ341" s="142"/>
      <c r="DA341" s="144"/>
    </row>
    <row r="342" spans="1:105" ht="20" customHeight="1">
      <c r="A342" s="18">
        <f>ROW()</f>
        <v>342</v>
      </c>
      <c r="B342" s="26" t="str">
        <f t="shared" si="5"/>
        <v/>
      </c>
      <c r="C342" s="140"/>
      <c r="D342" s="141"/>
      <c r="E342" s="141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  <c r="BS342" s="142"/>
      <c r="BT342" s="142"/>
      <c r="BU342" s="142"/>
      <c r="BV342" s="142"/>
      <c r="BW342" s="142"/>
      <c r="BX342" s="142"/>
      <c r="BY342" s="142"/>
      <c r="BZ342" s="142"/>
      <c r="CA342" s="142"/>
      <c r="CB342" s="142"/>
      <c r="CC342" s="142"/>
      <c r="CD342" s="142"/>
      <c r="CE342" s="142"/>
      <c r="CF342" s="142"/>
      <c r="CG342" s="142"/>
      <c r="CH342" s="142"/>
      <c r="CI342" s="142"/>
      <c r="CJ342" s="142"/>
      <c r="CK342" s="142"/>
      <c r="CL342" s="142"/>
      <c r="CM342" s="142"/>
      <c r="CN342" s="142"/>
      <c r="CO342" s="142"/>
      <c r="CP342" s="142"/>
      <c r="CQ342" s="142"/>
      <c r="CR342" s="142"/>
      <c r="CS342" s="142"/>
      <c r="CT342" s="142"/>
      <c r="CU342" s="142"/>
      <c r="CV342" s="142"/>
      <c r="CW342" s="142"/>
      <c r="CX342" s="142"/>
      <c r="CY342" s="142"/>
      <c r="CZ342" s="142"/>
      <c r="DA342" s="144"/>
    </row>
    <row r="343" spans="1:105" ht="20" customHeight="1">
      <c r="A343" s="18">
        <f>ROW()</f>
        <v>343</v>
      </c>
      <c r="B343" s="26" t="str">
        <f t="shared" si="5"/>
        <v/>
      </c>
      <c r="C343" s="140"/>
      <c r="D343" s="141"/>
      <c r="E343" s="141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  <c r="BK343" s="142"/>
      <c r="BL343" s="142"/>
      <c r="BM343" s="142"/>
      <c r="BN343" s="142"/>
      <c r="BO343" s="142"/>
      <c r="BP343" s="142"/>
      <c r="BQ343" s="142"/>
      <c r="BR343" s="142"/>
      <c r="BS343" s="142"/>
      <c r="BT343" s="142"/>
      <c r="BU343" s="142"/>
      <c r="BV343" s="142"/>
      <c r="BW343" s="142"/>
      <c r="BX343" s="142"/>
      <c r="BY343" s="142"/>
      <c r="BZ343" s="142"/>
      <c r="CA343" s="142"/>
      <c r="CB343" s="142"/>
      <c r="CC343" s="142"/>
      <c r="CD343" s="142"/>
      <c r="CE343" s="142"/>
      <c r="CF343" s="142"/>
      <c r="CG343" s="142"/>
      <c r="CH343" s="142"/>
      <c r="CI343" s="142"/>
      <c r="CJ343" s="142"/>
      <c r="CK343" s="142"/>
      <c r="CL343" s="142"/>
      <c r="CM343" s="142"/>
      <c r="CN343" s="142"/>
      <c r="CO343" s="142"/>
      <c r="CP343" s="142"/>
      <c r="CQ343" s="142"/>
      <c r="CR343" s="142"/>
      <c r="CS343" s="142"/>
      <c r="CT343" s="142"/>
      <c r="CU343" s="142"/>
      <c r="CV343" s="142"/>
      <c r="CW343" s="142"/>
      <c r="CX343" s="142"/>
      <c r="CY343" s="142"/>
      <c r="CZ343" s="142"/>
      <c r="DA343" s="144"/>
    </row>
    <row r="344" spans="1:105" ht="20" customHeight="1">
      <c r="A344" s="18">
        <f>ROW()</f>
        <v>344</v>
      </c>
      <c r="B344" s="26" t="str">
        <f t="shared" si="5"/>
        <v/>
      </c>
      <c r="C344" s="140"/>
      <c r="D344" s="141"/>
      <c r="E344" s="141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  <c r="BS344" s="142"/>
      <c r="BT344" s="142"/>
      <c r="BU344" s="142"/>
      <c r="BV344" s="142"/>
      <c r="BW344" s="142"/>
      <c r="BX344" s="142"/>
      <c r="BY344" s="142"/>
      <c r="BZ344" s="142"/>
      <c r="CA344" s="142"/>
      <c r="CB344" s="142"/>
      <c r="CC344" s="142"/>
      <c r="CD344" s="142"/>
      <c r="CE344" s="142"/>
      <c r="CF344" s="142"/>
      <c r="CG344" s="142"/>
      <c r="CH344" s="142"/>
      <c r="CI344" s="142"/>
      <c r="CJ344" s="142"/>
      <c r="CK344" s="142"/>
      <c r="CL344" s="142"/>
      <c r="CM344" s="142"/>
      <c r="CN344" s="142"/>
      <c r="CO344" s="142"/>
      <c r="CP344" s="142"/>
      <c r="CQ344" s="142"/>
      <c r="CR344" s="142"/>
      <c r="CS344" s="142"/>
      <c r="CT344" s="142"/>
      <c r="CU344" s="142"/>
      <c r="CV344" s="142"/>
      <c r="CW344" s="142"/>
      <c r="CX344" s="142"/>
      <c r="CY344" s="142"/>
      <c r="CZ344" s="142"/>
      <c r="DA344" s="144"/>
    </row>
    <row r="345" spans="1:105" ht="20" customHeight="1">
      <c r="A345" s="18">
        <f>ROW()</f>
        <v>345</v>
      </c>
      <c r="B345" s="26" t="str">
        <f t="shared" si="5"/>
        <v/>
      </c>
      <c r="C345" s="140"/>
      <c r="D345" s="141"/>
      <c r="E345" s="141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  <c r="BS345" s="142"/>
      <c r="BT345" s="142"/>
      <c r="BU345" s="142"/>
      <c r="BV345" s="142"/>
      <c r="BW345" s="142"/>
      <c r="BX345" s="142"/>
      <c r="BY345" s="142"/>
      <c r="BZ345" s="142"/>
      <c r="CA345" s="142"/>
      <c r="CB345" s="142"/>
      <c r="CC345" s="142"/>
      <c r="CD345" s="142"/>
      <c r="CE345" s="142"/>
      <c r="CF345" s="142"/>
      <c r="CG345" s="142"/>
      <c r="CH345" s="142"/>
      <c r="CI345" s="142"/>
      <c r="CJ345" s="142"/>
      <c r="CK345" s="142"/>
      <c r="CL345" s="142"/>
      <c r="CM345" s="142"/>
      <c r="CN345" s="142"/>
      <c r="CO345" s="142"/>
      <c r="CP345" s="142"/>
      <c r="CQ345" s="142"/>
      <c r="CR345" s="142"/>
      <c r="CS345" s="142"/>
      <c r="CT345" s="142"/>
      <c r="CU345" s="142"/>
      <c r="CV345" s="142"/>
      <c r="CW345" s="142"/>
      <c r="CX345" s="142"/>
      <c r="CY345" s="142"/>
      <c r="CZ345" s="142"/>
      <c r="DA345" s="144"/>
    </row>
    <row r="346" spans="1:105" ht="20" customHeight="1">
      <c r="A346" s="18">
        <f>ROW()</f>
        <v>346</v>
      </c>
      <c r="B346" s="26" t="str">
        <f t="shared" si="5"/>
        <v/>
      </c>
      <c r="C346" s="140"/>
      <c r="D346" s="141"/>
      <c r="E346" s="141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  <c r="BS346" s="142"/>
      <c r="BT346" s="142"/>
      <c r="BU346" s="142"/>
      <c r="BV346" s="142"/>
      <c r="BW346" s="142"/>
      <c r="BX346" s="142"/>
      <c r="BY346" s="142"/>
      <c r="BZ346" s="142"/>
      <c r="CA346" s="142"/>
      <c r="CB346" s="142"/>
      <c r="CC346" s="142"/>
      <c r="CD346" s="142"/>
      <c r="CE346" s="142"/>
      <c r="CF346" s="142"/>
      <c r="CG346" s="142"/>
      <c r="CH346" s="142"/>
      <c r="CI346" s="142"/>
      <c r="CJ346" s="142"/>
      <c r="CK346" s="142"/>
      <c r="CL346" s="142"/>
      <c r="CM346" s="142"/>
      <c r="CN346" s="142"/>
      <c r="CO346" s="142"/>
      <c r="CP346" s="142"/>
      <c r="CQ346" s="142"/>
      <c r="CR346" s="142"/>
      <c r="CS346" s="142"/>
      <c r="CT346" s="142"/>
      <c r="CU346" s="142"/>
      <c r="CV346" s="142"/>
      <c r="CW346" s="142"/>
      <c r="CX346" s="142"/>
      <c r="CY346" s="142"/>
      <c r="CZ346" s="142"/>
      <c r="DA346" s="144"/>
    </row>
    <row r="347" spans="1:105" ht="20" customHeight="1">
      <c r="A347" s="18">
        <f>ROW()</f>
        <v>347</v>
      </c>
      <c r="B347" s="26" t="str">
        <f t="shared" si="5"/>
        <v/>
      </c>
      <c r="C347" s="140"/>
      <c r="D347" s="141"/>
      <c r="E347" s="141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  <c r="BS347" s="142"/>
      <c r="BT347" s="142"/>
      <c r="BU347" s="142"/>
      <c r="BV347" s="142"/>
      <c r="BW347" s="142"/>
      <c r="BX347" s="142"/>
      <c r="BY347" s="142"/>
      <c r="BZ347" s="142"/>
      <c r="CA347" s="142"/>
      <c r="CB347" s="142"/>
      <c r="CC347" s="142"/>
      <c r="CD347" s="142"/>
      <c r="CE347" s="142"/>
      <c r="CF347" s="142"/>
      <c r="CG347" s="142"/>
      <c r="CH347" s="142"/>
      <c r="CI347" s="142"/>
      <c r="CJ347" s="142"/>
      <c r="CK347" s="142"/>
      <c r="CL347" s="142"/>
      <c r="CM347" s="142"/>
      <c r="CN347" s="142"/>
      <c r="CO347" s="142"/>
      <c r="CP347" s="142"/>
      <c r="CQ347" s="142"/>
      <c r="CR347" s="142"/>
      <c r="CS347" s="142"/>
      <c r="CT347" s="142"/>
      <c r="CU347" s="142"/>
      <c r="CV347" s="142"/>
      <c r="CW347" s="142"/>
      <c r="CX347" s="142"/>
      <c r="CY347" s="142"/>
      <c r="CZ347" s="142"/>
      <c r="DA347" s="144"/>
    </row>
    <row r="348" spans="1:105" ht="20" customHeight="1">
      <c r="A348" s="18">
        <f>ROW()</f>
        <v>348</v>
      </c>
      <c r="B348" s="26" t="str">
        <f t="shared" si="5"/>
        <v/>
      </c>
      <c r="C348" s="140"/>
      <c r="D348" s="141"/>
      <c r="E348" s="141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  <c r="BS348" s="142"/>
      <c r="BT348" s="142"/>
      <c r="BU348" s="142"/>
      <c r="BV348" s="142"/>
      <c r="BW348" s="142"/>
      <c r="BX348" s="142"/>
      <c r="BY348" s="142"/>
      <c r="BZ348" s="142"/>
      <c r="CA348" s="142"/>
      <c r="CB348" s="142"/>
      <c r="CC348" s="142"/>
      <c r="CD348" s="142"/>
      <c r="CE348" s="142"/>
      <c r="CF348" s="142"/>
      <c r="CG348" s="142"/>
      <c r="CH348" s="142"/>
      <c r="CI348" s="142"/>
      <c r="CJ348" s="142"/>
      <c r="CK348" s="142"/>
      <c r="CL348" s="142"/>
      <c r="CM348" s="142"/>
      <c r="CN348" s="142"/>
      <c r="CO348" s="142"/>
      <c r="CP348" s="142"/>
      <c r="CQ348" s="142"/>
      <c r="CR348" s="142"/>
      <c r="CS348" s="142"/>
      <c r="CT348" s="142"/>
      <c r="CU348" s="142"/>
      <c r="CV348" s="142"/>
      <c r="CW348" s="142"/>
      <c r="CX348" s="142"/>
      <c r="CY348" s="142"/>
      <c r="CZ348" s="142"/>
      <c r="DA348" s="144"/>
    </row>
    <row r="349" spans="1:105" ht="20" customHeight="1">
      <c r="A349" s="18">
        <f>ROW()</f>
        <v>349</v>
      </c>
      <c r="B349" s="26" t="str">
        <f t="shared" si="5"/>
        <v/>
      </c>
      <c r="C349" s="140"/>
      <c r="D349" s="141"/>
      <c r="E349" s="141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  <c r="BS349" s="142"/>
      <c r="BT349" s="142"/>
      <c r="BU349" s="142"/>
      <c r="BV349" s="142"/>
      <c r="BW349" s="142"/>
      <c r="BX349" s="142"/>
      <c r="BY349" s="142"/>
      <c r="BZ349" s="142"/>
      <c r="CA349" s="142"/>
      <c r="CB349" s="142"/>
      <c r="CC349" s="142"/>
      <c r="CD349" s="142"/>
      <c r="CE349" s="142"/>
      <c r="CF349" s="142"/>
      <c r="CG349" s="142"/>
      <c r="CH349" s="142"/>
      <c r="CI349" s="142"/>
      <c r="CJ349" s="142"/>
      <c r="CK349" s="142"/>
      <c r="CL349" s="142"/>
      <c r="CM349" s="142"/>
      <c r="CN349" s="142"/>
      <c r="CO349" s="142"/>
      <c r="CP349" s="142"/>
      <c r="CQ349" s="142"/>
      <c r="CR349" s="142"/>
      <c r="CS349" s="142"/>
      <c r="CT349" s="142"/>
      <c r="CU349" s="142"/>
      <c r="CV349" s="142"/>
      <c r="CW349" s="142"/>
      <c r="CX349" s="142"/>
      <c r="CY349" s="142"/>
      <c r="CZ349" s="142"/>
      <c r="DA349" s="144"/>
    </row>
    <row r="350" spans="1:105" ht="20" customHeight="1">
      <c r="A350" s="18">
        <f>ROW()</f>
        <v>350</v>
      </c>
      <c r="B350" s="26" t="str">
        <f t="shared" si="5"/>
        <v/>
      </c>
      <c r="C350" s="140"/>
      <c r="D350" s="141"/>
      <c r="E350" s="141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  <c r="BS350" s="142"/>
      <c r="BT350" s="142"/>
      <c r="BU350" s="142"/>
      <c r="BV350" s="142"/>
      <c r="BW350" s="142"/>
      <c r="BX350" s="142"/>
      <c r="BY350" s="142"/>
      <c r="BZ350" s="142"/>
      <c r="CA350" s="142"/>
      <c r="CB350" s="142"/>
      <c r="CC350" s="142"/>
      <c r="CD350" s="142"/>
      <c r="CE350" s="142"/>
      <c r="CF350" s="142"/>
      <c r="CG350" s="142"/>
      <c r="CH350" s="142"/>
      <c r="CI350" s="142"/>
      <c r="CJ350" s="142"/>
      <c r="CK350" s="142"/>
      <c r="CL350" s="142"/>
      <c r="CM350" s="142"/>
      <c r="CN350" s="142"/>
      <c r="CO350" s="142"/>
      <c r="CP350" s="142"/>
      <c r="CQ350" s="142"/>
      <c r="CR350" s="142"/>
      <c r="CS350" s="142"/>
      <c r="CT350" s="142"/>
      <c r="CU350" s="142"/>
      <c r="CV350" s="142"/>
      <c r="CW350" s="142"/>
      <c r="CX350" s="142"/>
      <c r="CY350" s="142"/>
      <c r="CZ350" s="142"/>
      <c r="DA350" s="144"/>
    </row>
    <row r="351" spans="1:105" ht="20" customHeight="1">
      <c r="A351" s="18">
        <f>ROW()</f>
        <v>351</v>
      </c>
      <c r="B351" s="26" t="str">
        <f t="shared" si="5"/>
        <v/>
      </c>
      <c r="C351" s="140"/>
      <c r="D351" s="141"/>
      <c r="E351" s="141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  <c r="BS351" s="142"/>
      <c r="BT351" s="142"/>
      <c r="BU351" s="142"/>
      <c r="BV351" s="142"/>
      <c r="BW351" s="142"/>
      <c r="BX351" s="142"/>
      <c r="BY351" s="142"/>
      <c r="BZ351" s="142"/>
      <c r="CA351" s="142"/>
      <c r="CB351" s="142"/>
      <c r="CC351" s="142"/>
      <c r="CD351" s="142"/>
      <c r="CE351" s="142"/>
      <c r="CF351" s="142"/>
      <c r="CG351" s="142"/>
      <c r="CH351" s="142"/>
      <c r="CI351" s="142"/>
      <c r="CJ351" s="142"/>
      <c r="CK351" s="142"/>
      <c r="CL351" s="142"/>
      <c r="CM351" s="142"/>
      <c r="CN351" s="142"/>
      <c r="CO351" s="142"/>
      <c r="CP351" s="142"/>
      <c r="CQ351" s="142"/>
      <c r="CR351" s="142"/>
      <c r="CS351" s="142"/>
      <c r="CT351" s="142"/>
      <c r="CU351" s="142"/>
      <c r="CV351" s="142"/>
      <c r="CW351" s="142"/>
      <c r="CX351" s="142"/>
      <c r="CY351" s="142"/>
      <c r="CZ351" s="142"/>
      <c r="DA351" s="144"/>
    </row>
    <row r="352" spans="1:105" ht="20" customHeight="1">
      <c r="A352" s="18">
        <f>ROW()</f>
        <v>352</v>
      </c>
      <c r="B352" s="26" t="str">
        <f t="shared" si="5"/>
        <v/>
      </c>
      <c r="C352" s="140"/>
      <c r="D352" s="141"/>
      <c r="E352" s="141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  <c r="BS352" s="142"/>
      <c r="BT352" s="142"/>
      <c r="BU352" s="142"/>
      <c r="BV352" s="142"/>
      <c r="BW352" s="142"/>
      <c r="BX352" s="142"/>
      <c r="BY352" s="142"/>
      <c r="BZ352" s="142"/>
      <c r="CA352" s="142"/>
      <c r="CB352" s="142"/>
      <c r="CC352" s="142"/>
      <c r="CD352" s="142"/>
      <c r="CE352" s="142"/>
      <c r="CF352" s="142"/>
      <c r="CG352" s="142"/>
      <c r="CH352" s="142"/>
      <c r="CI352" s="142"/>
      <c r="CJ352" s="142"/>
      <c r="CK352" s="142"/>
      <c r="CL352" s="142"/>
      <c r="CM352" s="142"/>
      <c r="CN352" s="142"/>
      <c r="CO352" s="142"/>
      <c r="CP352" s="142"/>
      <c r="CQ352" s="142"/>
      <c r="CR352" s="142"/>
      <c r="CS352" s="142"/>
      <c r="CT352" s="142"/>
      <c r="CU352" s="142"/>
      <c r="CV352" s="142"/>
      <c r="CW352" s="142"/>
      <c r="CX352" s="142"/>
      <c r="CY352" s="142"/>
      <c r="CZ352" s="142"/>
      <c r="DA352" s="144"/>
    </row>
    <row r="353" spans="1:105" ht="20" customHeight="1">
      <c r="A353" s="18">
        <f>ROW()</f>
        <v>353</v>
      </c>
      <c r="B353" s="26" t="str">
        <f t="shared" si="5"/>
        <v/>
      </c>
      <c r="C353" s="140"/>
      <c r="D353" s="141"/>
      <c r="E353" s="141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  <c r="BS353" s="142"/>
      <c r="BT353" s="142"/>
      <c r="BU353" s="142"/>
      <c r="BV353" s="142"/>
      <c r="BW353" s="142"/>
      <c r="BX353" s="142"/>
      <c r="BY353" s="142"/>
      <c r="BZ353" s="142"/>
      <c r="CA353" s="142"/>
      <c r="CB353" s="142"/>
      <c r="CC353" s="142"/>
      <c r="CD353" s="142"/>
      <c r="CE353" s="142"/>
      <c r="CF353" s="142"/>
      <c r="CG353" s="142"/>
      <c r="CH353" s="142"/>
      <c r="CI353" s="142"/>
      <c r="CJ353" s="142"/>
      <c r="CK353" s="142"/>
      <c r="CL353" s="142"/>
      <c r="CM353" s="142"/>
      <c r="CN353" s="142"/>
      <c r="CO353" s="142"/>
      <c r="CP353" s="142"/>
      <c r="CQ353" s="142"/>
      <c r="CR353" s="142"/>
      <c r="CS353" s="142"/>
      <c r="CT353" s="142"/>
      <c r="CU353" s="142"/>
      <c r="CV353" s="142"/>
      <c r="CW353" s="142"/>
      <c r="CX353" s="142"/>
      <c r="CY353" s="142"/>
      <c r="CZ353" s="142"/>
      <c r="DA353" s="144"/>
    </row>
    <row r="354" spans="1:105" ht="20" customHeight="1">
      <c r="A354" s="18">
        <f>ROW()</f>
        <v>354</v>
      </c>
      <c r="B354" s="26" t="str">
        <f t="shared" si="5"/>
        <v/>
      </c>
      <c r="C354" s="140"/>
      <c r="D354" s="141"/>
      <c r="E354" s="141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  <c r="BS354" s="142"/>
      <c r="BT354" s="142"/>
      <c r="BU354" s="142"/>
      <c r="BV354" s="142"/>
      <c r="BW354" s="142"/>
      <c r="BX354" s="142"/>
      <c r="BY354" s="142"/>
      <c r="BZ354" s="142"/>
      <c r="CA354" s="142"/>
      <c r="CB354" s="142"/>
      <c r="CC354" s="142"/>
      <c r="CD354" s="142"/>
      <c r="CE354" s="142"/>
      <c r="CF354" s="142"/>
      <c r="CG354" s="142"/>
      <c r="CH354" s="142"/>
      <c r="CI354" s="142"/>
      <c r="CJ354" s="142"/>
      <c r="CK354" s="142"/>
      <c r="CL354" s="142"/>
      <c r="CM354" s="142"/>
      <c r="CN354" s="142"/>
      <c r="CO354" s="142"/>
      <c r="CP354" s="142"/>
      <c r="CQ354" s="142"/>
      <c r="CR354" s="142"/>
      <c r="CS354" s="142"/>
      <c r="CT354" s="142"/>
      <c r="CU354" s="142"/>
      <c r="CV354" s="142"/>
      <c r="CW354" s="142"/>
      <c r="CX354" s="142"/>
      <c r="CY354" s="142"/>
      <c r="CZ354" s="142"/>
      <c r="DA354" s="144"/>
    </row>
    <row r="355" spans="1:105" ht="20" customHeight="1">
      <c r="A355" s="18">
        <f>ROW()</f>
        <v>355</v>
      </c>
      <c r="B355" s="26" t="str">
        <f t="shared" si="5"/>
        <v/>
      </c>
      <c r="C355" s="140"/>
      <c r="D355" s="141"/>
      <c r="E355" s="141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  <c r="BS355" s="142"/>
      <c r="BT355" s="142"/>
      <c r="BU355" s="142"/>
      <c r="BV355" s="142"/>
      <c r="BW355" s="142"/>
      <c r="BX355" s="142"/>
      <c r="BY355" s="142"/>
      <c r="BZ355" s="142"/>
      <c r="CA355" s="142"/>
      <c r="CB355" s="142"/>
      <c r="CC355" s="142"/>
      <c r="CD355" s="142"/>
      <c r="CE355" s="142"/>
      <c r="CF355" s="142"/>
      <c r="CG355" s="142"/>
      <c r="CH355" s="142"/>
      <c r="CI355" s="142"/>
      <c r="CJ355" s="142"/>
      <c r="CK355" s="142"/>
      <c r="CL355" s="142"/>
      <c r="CM355" s="142"/>
      <c r="CN355" s="142"/>
      <c r="CO355" s="142"/>
      <c r="CP355" s="142"/>
      <c r="CQ355" s="142"/>
      <c r="CR355" s="142"/>
      <c r="CS355" s="142"/>
      <c r="CT355" s="142"/>
      <c r="CU355" s="142"/>
      <c r="CV355" s="142"/>
      <c r="CW355" s="142"/>
      <c r="CX355" s="142"/>
      <c r="CY355" s="142"/>
      <c r="CZ355" s="142"/>
      <c r="DA355" s="144"/>
    </row>
    <row r="356" spans="1:105" ht="20" customHeight="1">
      <c r="A356" s="18">
        <f>ROW()</f>
        <v>356</v>
      </c>
      <c r="B356" s="26" t="str">
        <f t="shared" si="5"/>
        <v/>
      </c>
      <c r="C356" s="140"/>
      <c r="D356" s="141"/>
      <c r="E356" s="141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  <c r="BS356" s="142"/>
      <c r="BT356" s="142"/>
      <c r="BU356" s="142"/>
      <c r="BV356" s="142"/>
      <c r="BW356" s="142"/>
      <c r="BX356" s="142"/>
      <c r="BY356" s="142"/>
      <c r="BZ356" s="142"/>
      <c r="CA356" s="142"/>
      <c r="CB356" s="142"/>
      <c r="CC356" s="142"/>
      <c r="CD356" s="142"/>
      <c r="CE356" s="142"/>
      <c r="CF356" s="142"/>
      <c r="CG356" s="142"/>
      <c r="CH356" s="142"/>
      <c r="CI356" s="142"/>
      <c r="CJ356" s="142"/>
      <c r="CK356" s="142"/>
      <c r="CL356" s="142"/>
      <c r="CM356" s="142"/>
      <c r="CN356" s="142"/>
      <c r="CO356" s="142"/>
      <c r="CP356" s="142"/>
      <c r="CQ356" s="142"/>
      <c r="CR356" s="142"/>
      <c r="CS356" s="142"/>
      <c r="CT356" s="142"/>
      <c r="CU356" s="142"/>
      <c r="CV356" s="142"/>
      <c r="CW356" s="142"/>
      <c r="CX356" s="142"/>
      <c r="CY356" s="142"/>
      <c r="CZ356" s="142"/>
      <c r="DA356" s="144"/>
    </row>
    <row r="357" spans="1:105" ht="20" customHeight="1">
      <c r="A357" s="18">
        <f>ROW()</f>
        <v>357</v>
      </c>
      <c r="B357" s="26" t="str">
        <f t="shared" si="5"/>
        <v/>
      </c>
      <c r="C357" s="140"/>
      <c r="D357" s="141"/>
      <c r="E357" s="141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  <c r="BS357" s="142"/>
      <c r="BT357" s="142"/>
      <c r="BU357" s="142"/>
      <c r="BV357" s="142"/>
      <c r="BW357" s="142"/>
      <c r="BX357" s="142"/>
      <c r="BY357" s="142"/>
      <c r="BZ357" s="142"/>
      <c r="CA357" s="142"/>
      <c r="CB357" s="142"/>
      <c r="CC357" s="142"/>
      <c r="CD357" s="142"/>
      <c r="CE357" s="142"/>
      <c r="CF357" s="142"/>
      <c r="CG357" s="142"/>
      <c r="CH357" s="142"/>
      <c r="CI357" s="142"/>
      <c r="CJ357" s="142"/>
      <c r="CK357" s="142"/>
      <c r="CL357" s="142"/>
      <c r="CM357" s="142"/>
      <c r="CN357" s="142"/>
      <c r="CO357" s="142"/>
      <c r="CP357" s="142"/>
      <c r="CQ357" s="142"/>
      <c r="CR357" s="142"/>
      <c r="CS357" s="142"/>
      <c r="CT357" s="142"/>
      <c r="CU357" s="142"/>
      <c r="CV357" s="142"/>
      <c r="CW357" s="142"/>
      <c r="CX357" s="142"/>
      <c r="CY357" s="142"/>
      <c r="CZ357" s="142"/>
      <c r="DA357" s="144"/>
    </row>
    <row r="358" spans="1:105" ht="20" customHeight="1">
      <c r="A358" s="18">
        <f>ROW()</f>
        <v>358</v>
      </c>
      <c r="B358" s="26" t="str">
        <f t="shared" si="5"/>
        <v/>
      </c>
      <c r="C358" s="140"/>
      <c r="D358" s="141"/>
      <c r="E358" s="141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  <c r="BS358" s="142"/>
      <c r="BT358" s="142"/>
      <c r="BU358" s="142"/>
      <c r="BV358" s="142"/>
      <c r="BW358" s="142"/>
      <c r="BX358" s="142"/>
      <c r="BY358" s="142"/>
      <c r="BZ358" s="142"/>
      <c r="CA358" s="142"/>
      <c r="CB358" s="142"/>
      <c r="CC358" s="142"/>
      <c r="CD358" s="142"/>
      <c r="CE358" s="142"/>
      <c r="CF358" s="142"/>
      <c r="CG358" s="142"/>
      <c r="CH358" s="142"/>
      <c r="CI358" s="142"/>
      <c r="CJ358" s="142"/>
      <c r="CK358" s="142"/>
      <c r="CL358" s="142"/>
      <c r="CM358" s="142"/>
      <c r="CN358" s="142"/>
      <c r="CO358" s="142"/>
      <c r="CP358" s="142"/>
      <c r="CQ358" s="142"/>
      <c r="CR358" s="142"/>
      <c r="CS358" s="142"/>
      <c r="CT358" s="142"/>
      <c r="CU358" s="142"/>
      <c r="CV358" s="142"/>
      <c r="CW358" s="142"/>
      <c r="CX358" s="142"/>
      <c r="CY358" s="142"/>
      <c r="CZ358" s="142"/>
      <c r="DA358" s="144"/>
    </row>
    <row r="359" spans="1:105" ht="20" customHeight="1">
      <c r="A359" s="18">
        <f>ROW()</f>
        <v>359</v>
      </c>
      <c r="B359" s="26" t="str">
        <f t="shared" si="5"/>
        <v/>
      </c>
      <c r="C359" s="140"/>
      <c r="D359" s="141"/>
      <c r="E359" s="141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  <c r="BS359" s="142"/>
      <c r="BT359" s="142"/>
      <c r="BU359" s="142"/>
      <c r="BV359" s="142"/>
      <c r="BW359" s="142"/>
      <c r="BX359" s="142"/>
      <c r="BY359" s="142"/>
      <c r="BZ359" s="142"/>
      <c r="CA359" s="142"/>
      <c r="CB359" s="142"/>
      <c r="CC359" s="142"/>
      <c r="CD359" s="142"/>
      <c r="CE359" s="142"/>
      <c r="CF359" s="142"/>
      <c r="CG359" s="142"/>
      <c r="CH359" s="142"/>
      <c r="CI359" s="142"/>
      <c r="CJ359" s="142"/>
      <c r="CK359" s="142"/>
      <c r="CL359" s="142"/>
      <c r="CM359" s="142"/>
      <c r="CN359" s="142"/>
      <c r="CO359" s="142"/>
      <c r="CP359" s="142"/>
      <c r="CQ359" s="142"/>
      <c r="CR359" s="142"/>
      <c r="CS359" s="142"/>
      <c r="CT359" s="142"/>
      <c r="CU359" s="142"/>
      <c r="CV359" s="142"/>
      <c r="CW359" s="142"/>
      <c r="CX359" s="142"/>
      <c r="CY359" s="142"/>
      <c r="CZ359" s="142"/>
      <c r="DA359" s="144"/>
    </row>
    <row r="360" spans="1:105" ht="20" customHeight="1">
      <c r="A360" s="18">
        <f>ROW()</f>
        <v>360</v>
      </c>
      <c r="B360" s="26" t="str">
        <f t="shared" si="5"/>
        <v/>
      </c>
      <c r="C360" s="140"/>
      <c r="D360" s="141"/>
      <c r="E360" s="141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  <c r="BK360" s="142"/>
      <c r="BL360" s="142"/>
      <c r="BM360" s="142"/>
      <c r="BN360" s="142"/>
      <c r="BO360" s="142"/>
      <c r="BP360" s="142"/>
      <c r="BQ360" s="142"/>
      <c r="BR360" s="142"/>
      <c r="BS360" s="142"/>
      <c r="BT360" s="142"/>
      <c r="BU360" s="142"/>
      <c r="BV360" s="142"/>
      <c r="BW360" s="142"/>
      <c r="BX360" s="142"/>
      <c r="BY360" s="142"/>
      <c r="BZ360" s="142"/>
      <c r="CA360" s="142"/>
      <c r="CB360" s="142"/>
      <c r="CC360" s="142"/>
      <c r="CD360" s="142"/>
      <c r="CE360" s="142"/>
      <c r="CF360" s="142"/>
      <c r="CG360" s="142"/>
      <c r="CH360" s="142"/>
      <c r="CI360" s="142"/>
      <c r="CJ360" s="142"/>
      <c r="CK360" s="142"/>
      <c r="CL360" s="142"/>
      <c r="CM360" s="142"/>
      <c r="CN360" s="142"/>
      <c r="CO360" s="142"/>
      <c r="CP360" s="142"/>
      <c r="CQ360" s="142"/>
      <c r="CR360" s="142"/>
      <c r="CS360" s="142"/>
      <c r="CT360" s="142"/>
      <c r="CU360" s="142"/>
      <c r="CV360" s="142"/>
      <c r="CW360" s="142"/>
      <c r="CX360" s="142"/>
      <c r="CY360" s="142"/>
      <c r="CZ360" s="142"/>
      <c r="DA360" s="144"/>
    </row>
    <row r="361" spans="1:105" ht="20" customHeight="1">
      <c r="A361" s="18">
        <f>ROW()</f>
        <v>361</v>
      </c>
      <c r="B361" s="26" t="str">
        <f t="shared" si="5"/>
        <v/>
      </c>
      <c r="C361" s="140"/>
      <c r="D361" s="141"/>
      <c r="E361" s="141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  <c r="BS361" s="142"/>
      <c r="BT361" s="142"/>
      <c r="BU361" s="142"/>
      <c r="BV361" s="142"/>
      <c r="BW361" s="142"/>
      <c r="BX361" s="142"/>
      <c r="BY361" s="142"/>
      <c r="BZ361" s="142"/>
      <c r="CA361" s="142"/>
      <c r="CB361" s="142"/>
      <c r="CC361" s="142"/>
      <c r="CD361" s="142"/>
      <c r="CE361" s="142"/>
      <c r="CF361" s="142"/>
      <c r="CG361" s="142"/>
      <c r="CH361" s="142"/>
      <c r="CI361" s="142"/>
      <c r="CJ361" s="142"/>
      <c r="CK361" s="142"/>
      <c r="CL361" s="142"/>
      <c r="CM361" s="142"/>
      <c r="CN361" s="142"/>
      <c r="CO361" s="142"/>
      <c r="CP361" s="142"/>
      <c r="CQ361" s="142"/>
      <c r="CR361" s="142"/>
      <c r="CS361" s="142"/>
      <c r="CT361" s="142"/>
      <c r="CU361" s="142"/>
      <c r="CV361" s="142"/>
      <c r="CW361" s="142"/>
      <c r="CX361" s="142"/>
      <c r="CY361" s="142"/>
      <c r="CZ361" s="142"/>
      <c r="DA361" s="144"/>
    </row>
    <row r="362" spans="1:105" ht="20" customHeight="1">
      <c r="A362" s="18">
        <f>ROW()</f>
        <v>362</v>
      </c>
      <c r="B362" s="26" t="str">
        <f t="shared" si="5"/>
        <v/>
      </c>
      <c r="C362" s="140"/>
      <c r="D362" s="141"/>
      <c r="E362" s="141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  <c r="BS362" s="142"/>
      <c r="BT362" s="142"/>
      <c r="BU362" s="142"/>
      <c r="BV362" s="142"/>
      <c r="BW362" s="142"/>
      <c r="BX362" s="142"/>
      <c r="BY362" s="142"/>
      <c r="BZ362" s="142"/>
      <c r="CA362" s="142"/>
      <c r="CB362" s="142"/>
      <c r="CC362" s="142"/>
      <c r="CD362" s="142"/>
      <c r="CE362" s="142"/>
      <c r="CF362" s="142"/>
      <c r="CG362" s="142"/>
      <c r="CH362" s="142"/>
      <c r="CI362" s="142"/>
      <c r="CJ362" s="142"/>
      <c r="CK362" s="142"/>
      <c r="CL362" s="142"/>
      <c r="CM362" s="142"/>
      <c r="CN362" s="142"/>
      <c r="CO362" s="142"/>
      <c r="CP362" s="142"/>
      <c r="CQ362" s="142"/>
      <c r="CR362" s="142"/>
      <c r="CS362" s="142"/>
      <c r="CT362" s="142"/>
      <c r="CU362" s="142"/>
      <c r="CV362" s="142"/>
      <c r="CW362" s="142"/>
      <c r="CX362" s="142"/>
      <c r="CY362" s="142"/>
      <c r="CZ362" s="142"/>
      <c r="DA362" s="144"/>
    </row>
    <row r="363" spans="1:105" ht="20" customHeight="1">
      <c r="A363" s="18">
        <f>ROW()</f>
        <v>363</v>
      </c>
      <c r="B363" s="26" t="str">
        <f t="shared" si="5"/>
        <v/>
      </c>
      <c r="C363" s="140"/>
      <c r="D363" s="141"/>
      <c r="E363" s="141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  <c r="BS363" s="142"/>
      <c r="BT363" s="142"/>
      <c r="BU363" s="142"/>
      <c r="BV363" s="142"/>
      <c r="BW363" s="142"/>
      <c r="BX363" s="142"/>
      <c r="BY363" s="142"/>
      <c r="BZ363" s="142"/>
      <c r="CA363" s="142"/>
      <c r="CB363" s="142"/>
      <c r="CC363" s="142"/>
      <c r="CD363" s="142"/>
      <c r="CE363" s="142"/>
      <c r="CF363" s="142"/>
      <c r="CG363" s="142"/>
      <c r="CH363" s="142"/>
      <c r="CI363" s="142"/>
      <c r="CJ363" s="142"/>
      <c r="CK363" s="142"/>
      <c r="CL363" s="142"/>
      <c r="CM363" s="142"/>
      <c r="CN363" s="142"/>
      <c r="CO363" s="142"/>
      <c r="CP363" s="142"/>
      <c r="CQ363" s="142"/>
      <c r="CR363" s="142"/>
      <c r="CS363" s="142"/>
      <c r="CT363" s="142"/>
      <c r="CU363" s="142"/>
      <c r="CV363" s="142"/>
      <c r="CW363" s="142"/>
      <c r="CX363" s="142"/>
      <c r="CY363" s="142"/>
      <c r="CZ363" s="142"/>
      <c r="DA363" s="144"/>
    </row>
    <row r="364" spans="1:105" ht="20" customHeight="1">
      <c r="A364" s="18">
        <f>ROW()</f>
        <v>364</v>
      </c>
      <c r="B364" s="26" t="str">
        <f t="shared" si="5"/>
        <v/>
      </c>
      <c r="C364" s="140"/>
      <c r="D364" s="141"/>
      <c r="E364" s="141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  <c r="BS364" s="142"/>
      <c r="BT364" s="142"/>
      <c r="BU364" s="142"/>
      <c r="BV364" s="142"/>
      <c r="BW364" s="142"/>
      <c r="BX364" s="142"/>
      <c r="BY364" s="142"/>
      <c r="BZ364" s="142"/>
      <c r="CA364" s="142"/>
      <c r="CB364" s="142"/>
      <c r="CC364" s="142"/>
      <c r="CD364" s="142"/>
      <c r="CE364" s="142"/>
      <c r="CF364" s="142"/>
      <c r="CG364" s="142"/>
      <c r="CH364" s="142"/>
      <c r="CI364" s="142"/>
      <c r="CJ364" s="142"/>
      <c r="CK364" s="142"/>
      <c r="CL364" s="142"/>
      <c r="CM364" s="142"/>
      <c r="CN364" s="142"/>
      <c r="CO364" s="142"/>
      <c r="CP364" s="142"/>
      <c r="CQ364" s="142"/>
      <c r="CR364" s="142"/>
      <c r="CS364" s="142"/>
      <c r="CT364" s="142"/>
      <c r="CU364" s="142"/>
      <c r="CV364" s="142"/>
      <c r="CW364" s="142"/>
      <c r="CX364" s="142"/>
      <c r="CY364" s="142"/>
      <c r="CZ364" s="142"/>
      <c r="DA364" s="144"/>
    </row>
    <row r="365" spans="1:105" ht="20" customHeight="1">
      <c r="A365" s="18">
        <f>ROW()</f>
        <v>365</v>
      </c>
      <c r="B365" s="26" t="str">
        <f t="shared" si="5"/>
        <v/>
      </c>
      <c r="C365" s="140"/>
      <c r="D365" s="141"/>
      <c r="E365" s="141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  <c r="BS365" s="142"/>
      <c r="BT365" s="142"/>
      <c r="BU365" s="142"/>
      <c r="BV365" s="142"/>
      <c r="BW365" s="142"/>
      <c r="BX365" s="142"/>
      <c r="BY365" s="142"/>
      <c r="BZ365" s="142"/>
      <c r="CA365" s="142"/>
      <c r="CB365" s="142"/>
      <c r="CC365" s="142"/>
      <c r="CD365" s="142"/>
      <c r="CE365" s="142"/>
      <c r="CF365" s="142"/>
      <c r="CG365" s="142"/>
      <c r="CH365" s="142"/>
      <c r="CI365" s="142"/>
      <c r="CJ365" s="142"/>
      <c r="CK365" s="142"/>
      <c r="CL365" s="142"/>
      <c r="CM365" s="142"/>
      <c r="CN365" s="142"/>
      <c r="CO365" s="142"/>
      <c r="CP365" s="142"/>
      <c r="CQ365" s="142"/>
      <c r="CR365" s="142"/>
      <c r="CS365" s="142"/>
      <c r="CT365" s="142"/>
      <c r="CU365" s="142"/>
      <c r="CV365" s="142"/>
      <c r="CW365" s="142"/>
      <c r="CX365" s="142"/>
      <c r="CY365" s="142"/>
      <c r="CZ365" s="142"/>
      <c r="DA365" s="144"/>
    </row>
    <row r="366" spans="1:105" ht="20" customHeight="1">
      <c r="A366" s="18">
        <f>ROW()</f>
        <v>366</v>
      </c>
      <c r="B366" s="26" t="str">
        <f t="shared" si="5"/>
        <v/>
      </c>
      <c r="C366" s="140"/>
      <c r="D366" s="141"/>
      <c r="E366" s="141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  <c r="BS366" s="142"/>
      <c r="BT366" s="142"/>
      <c r="BU366" s="142"/>
      <c r="BV366" s="142"/>
      <c r="BW366" s="142"/>
      <c r="BX366" s="142"/>
      <c r="BY366" s="142"/>
      <c r="BZ366" s="142"/>
      <c r="CA366" s="142"/>
      <c r="CB366" s="142"/>
      <c r="CC366" s="142"/>
      <c r="CD366" s="142"/>
      <c r="CE366" s="142"/>
      <c r="CF366" s="142"/>
      <c r="CG366" s="142"/>
      <c r="CH366" s="142"/>
      <c r="CI366" s="142"/>
      <c r="CJ366" s="142"/>
      <c r="CK366" s="142"/>
      <c r="CL366" s="142"/>
      <c r="CM366" s="142"/>
      <c r="CN366" s="142"/>
      <c r="CO366" s="142"/>
      <c r="CP366" s="142"/>
      <c r="CQ366" s="142"/>
      <c r="CR366" s="142"/>
      <c r="CS366" s="142"/>
      <c r="CT366" s="142"/>
      <c r="CU366" s="142"/>
      <c r="CV366" s="142"/>
      <c r="CW366" s="142"/>
      <c r="CX366" s="142"/>
      <c r="CY366" s="142"/>
      <c r="CZ366" s="142"/>
      <c r="DA366" s="144"/>
    </row>
    <row r="367" spans="1:105" ht="20" customHeight="1">
      <c r="A367" s="18">
        <f>ROW()</f>
        <v>367</v>
      </c>
      <c r="B367" s="26" t="str">
        <f t="shared" si="5"/>
        <v/>
      </c>
      <c r="C367" s="140"/>
      <c r="D367" s="141"/>
      <c r="E367" s="141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50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  <c r="BS367" s="142"/>
      <c r="BT367" s="142"/>
      <c r="BU367" s="142"/>
      <c r="BV367" s="142"/>
      <c r="BW367" s="142"/>
      <c r="BX367" s="142"/>
      <c r="BY367" s="142"/>
      <c r="BZ367" s="142"/>
      <c r="CA367" s="142"/>
      <c r="CB367" s="142"/>
      <c r="CC367" s="142"/>
      <c r="CD367" s="142"/>
      <c r="CE367" s="142"/>
      <c r="CF367" s="142"/>
      <c r="CG367" s="142"/>
      <c r="CH367" s="142"/>
      <c r="CI367" s="142"/>
      <c r="CJ367" s="142"/>
      <c r="CK367" s="142"/>
      <c r="CL367" s="142"/>
      <c r="CM367" s="142"/>
      <c r="CN367" s="142"/>
      <c r="CO367" s="142"/>
      <c r="CP367" s="142"/>
      <c r="CQ367" s="142"/>
      <c r="CR367" s="142"/>
      <c r="CS367" s="142"/>
      <c r="CT367" s="142"/>
      <c r="CU367" s="142"/>
      <c r="CV367" s="142"/>
      <c r="CW367" s="142"/>
      <c r="CX367" s="142"/>
      <c r="CY367" s="142"/>
      <c r="CZ367" s="142"/>
      <c r="DA367" s="144"/>
    </row>
    <row r="368" spans="1:105" ht="20" customHeight="1">
      <c r="A368" s="18">
        <f>ROW()</f>
        <v>368</v>
      </c>
      <c r="B368" s="26" t="str">
        <f t="shared" si="5"/>
        <v/>
      </c>
      <c r="C368" s="140"/>
      <c r="D368" s="141"/>
      <c r="E368" s="141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  <c r="BS368" s="142"/>
      <c r="BT368" s="142"/>
      <c r="BU368" s="142"/>
      <c r="BV368" s="142"/>
      <c r="BW368" s="142"/>
      <c r="BX368" s="142"/>
      <c r="BY368" s="142"/>
      <c r="BZ368" s="142"/>
      <c r="CA368" s="142"/>
      <c r="CB368" s="142"/>
      <c r="CC368" s="142"/>
      <c r="CD368" s="142"/>
      <c r="CE368" s="142"/>
      <c r="CF368" s="142"/>
      <c r="CG368" s="142"/>
      <c r="CH368" s="142"/>
      <c r="CI368" s="142"/>
      <c r="CJ368" s="142"/>
      <c r="CK368" s="142"/>
      <c r="CL368" s="142"/>
      <c r="CM368" s="142"/>
      <c r="CN368" s="142"/>
      <c r="CO368" s="142"/>
      <c r="CP368" s="142"/>
      <c r="CQ368" s="142"/>
      <c r="CR368" s="142"/>
      <c r="CS368" s="142"/>
      <c r="CT368" s="142"/>
      <c r="CU368" s="142"/>
      <c r="CV368" s="142"/>
      <c r="CW368" s="142"/>
      <c r="CX368" s="142"/>
      <c r="CY368" s="142"/>
      <c r="CZ368" s="142"/>
      <c r="DA368" s="144"/>
    </row>
    <row r="369" spans="1:105" ht="20" customHeight="1">
      <c r="A369" s="18">
        <f>ROW()</f>
        <v>369</v>
      </c>
      <c r="B369" s="26" t="str">
        <f t="shared" si="5"/>
        <v/>
      </c>
      <c r="C369" s="140"/>
      <c r="D369" s="141"/>
      <c r="E369" s="141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  <c r="BS369" s="142"/>
      <c r="BT369" s="142"/>
      <c r="BU369" s="142"/>
      <c r="BV369" s="142"/>
      <c r="BW369" s="142"/>
      <c r="BX369" s="142"/>
      <c r="BY369" s="142"/>
      <c r="BZ369" s="142"/>
      <c r="CA369" s="142"/>
      <c r="CB369" s="142"/>
      <c r="CC369" s="142"/>
      <c r="CD369" s="142"/>
      <c r="CE369" s="142"/>
      <c r="CF369" s="142"/>
      <c r="CG369" s="142"/>
      <c r="CH369" s="142"/>
      <c r="CI369" s="142"/>
      <c r="CJ369" s="142"/>
      <c r="CK369" s="142"/>
      <c r="CL369" s="142"/>
      <c r="CM369" s="142"/>
      <c r="CN369" s="142"/>
      <c r="CO369" s="142"/>
      <c r="CP369" s="142"/>
      <c r="CQ369" s="142"/>
      <c r="CR369" s="142"/>
      <c r="CS369" s="142"/>
      <c r="CT369" s="142"/>
      <c r="CU369" s="142"/>
      <c r="CV369" s="142"/>
      <c r="CW369" s="142"/>
      <c r="CX369" s="142"/>
      <c r="CY369" s="142"/>
      <c r="CZ369" s="142"/>
      <c r="DA369" s="144"/>
    </row>
    <row r="370" spans="1:105" ht="20" customHeight="1">
      <c r="A370" s="18">
        <f>ROW()</f>
        <v>370</v>
      </c>
      <c r="B370" s="26" t="str">
        <f t="shared" si="5"/>
        <v/>
      </c>
      <c r="C370" s="140"/>
      <c r="D370" s="141"/>
      <c r="E370" s="141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  <c r="BS370" s="142"/>
      <c r="BT370" s="142"/>
      <c r="BU370" s="142"/>
      <c r="BV370" s="142"/>
      <c r="BW370" s="142"/>
      <c r="BX370" s="142"/>
      <c r="BY370" s="142"/>
      <c r="BZ370" s="142"/>
      <c r="CA370" s="142"/>
      <c r="CB370" s="142"/>
      <c r="CC370" s="142"/>
      <c r="CD370" s="142"/>
      <c r="CE370" s="142"/>
      <c r="CF370" s="142"/>
      <c r="CG370" s="142"/>
      <c r="CH370" s="142"/>
      <c r="CI370" s="142"/>
      <c r="CJ370" s="142"/>
      <c r="CK370" s="142"/>
      <c r="CL370" s="142"/>
      <c r="CM370" s="142"/>
      <c r="CN370" s="142"/>
      <c r="CO370" s="142"/>
      <c r="CP370" s="142"/>
      <c r="CQ370" s="142"/>
      <c r="CR370" s="142"/>
      <c r="CS370" s="142"/>
      <c r="CT370" s="142"/>
      <c r="CU370" s="142"/>
      <c r="CV370" s="142"/>
      <c r="CW370" s="142"/>
      <c r="CX370" s="142"/>
      <c r="CY370" s="142"/>
      <c r="CZ370" s="142"/>
      <c r="DA370" s="144"/>
    </row>
    <row r="371" spans="1:105" ht="20" customHeight="1">
      <c r="A371" s="18">
        <f>ROW()</f>
        <v>371</v>
      </c>
      <c r="B371" s="26" t="str">
        <f t="shared" si="5"/>
        <v/>
      </c>
      <c r="C371" s="140"/>
      <c r="D371" s="141"/>
      <c r="E371" s="141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  <c r="BS371" s="142"/>
      <c r="BT371" s="142"/>
      <c r="BU371" s="142"/>
      <c r="BV371" s="142"/>
      <c r="BW371" s="142"/>
      <c r="BX371" s="142"/>
      <c r="BY371" s="142"/>
      <c r="BZ371" s="142"/>
      <c r="CA371" s="142"/>
      <c r="CB371" s="142"/>
      <c r="CC371" s="142"/>
      <c r="CD371" s="142"/>
      <c r="CE371" s="142"/>
      <c r="CF371" s="142"/>
      <c r="CG371" s="142"/>
      <c r="CH371" s="142"/>
      <c r="CI371" s="142"/>
      <c r="CJ371" s="142"/>
      <c r="CK371" s="142"/>
      <c r="CL371" s="142"/>
      <c r="CM371" s="142"/>
      <c r="CN371" s="142"/>
      <c r="CO371" s="142"/>
      <c r="CP371" s="142"/>
      <c r="CQ371" s="142"/>
      <c r="CR371" s="142"/>
      <c r="CS371" s="142"/>
      <c r="CT371" s="142"/>
      <c r="CU371" s="142"/>
      <c r="CV371" s="142"/>
      <c r="CW371" s="142"/>
      <c r="CX371" s="142"/>
      <c r="CY371" s="142"/>
      <c r="CZ371" s="142"/>
      <c r="DA371" s="144"/>
    </row>
    <row r="372" spans="1:105" ht="20" customHeight="1">
      <c r="A372" s="18">
        <f>ROW()</f>
        <v>372</v>
      </c>
      <c r="B372" s="26" t="str">
        <f t="shared" si="5"/>
        <v/>
      </c>
      <c r="C372" s="140"/>
      <c r="D372" s="141"/>
      <c r="E372" s="141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  <c r="BS372" s="142"/>
      <c r="BT372" s="142"/>
      <c r="BU372" s="142"/>
      <c r="BV372" s="142"/>
      <c r="BW372" s="142"/>
      <c r="BX372" s="142"/>
      <c r="BY372" s="142"/>
      <c r="BZ372" s="142"/>
      <c r="CA372" s="142"/>
      <c r="CB372" s="142"/>
      <c r="CC372" s="142"/>
      <c r="CD372" s="142"/>
      <c r="CE372" s="142"/>
      <c r="CF372" s="142"/>
      <c r="CG372" s="142"/>
      <c r="CH372" s="142"/>
      <c r="CI372" s="142"/>
      <c r="CJ372" s="142"/>
      <c r="CK372" s="142"/>
      <c r="CL372" s="142"/>
      <c r="CM372" s="142"/>
      <c r="CN372" s="142"/>
      <c r="CO372" s="142"/>
      <c r="CP372" s="142"/>
      <c r="CQ372" s="142"/>
      <c r="CR372" s="142"/>
      <c r="CS372" s="142"/>
      <c r="CT372" s="142"/>
      <c r="CU372" s="142"/>
      <c r="CV372" s="142"/>
      <c r="CW372" s="142"/>
      <c r="CX372" s="142"/>
      <c r="CY372" s="142"/>
      <c r="CZ372" s="142"/>
      <c r="DA372" s="144"/>
    </row>
    <row r="373" spans="1:105" ht="20" customHeight="1">
      <c r="A373" s="18">
        <f>ROW()</f>
        <v>373</v>
      </c>
      <c r="B373" s="26" t="str">
        <f t="shared" si="5"/>
        <v/>
      </c>
      <c r="C373" s="140"/>
      <c r="D373" s="141"/>
      <c r="E373" s="141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  <c r="BS373" s="142"/>
      <c r="BT373" s="142"/>
      <c r="BU373" s="142"/>
      <c r="BV373" s="142"/>
      <c r="BW373" s="142"/>
      <c r="BX373" s="142"/>
      <c r="BY373" s="142"/>
      <c r="BZ373" s="142"/>
      <c r="CA373" s="142"/>
      <c r="CB373" s="142"/>
      <c r="CC373" s="142"/>
      <c r="CD373" s="142"/>
      <c r="CE373" s="142"/>
      <c r="CF373" s="142"/>
      <c r="CG373" s="142"/>
      <c r="CH373" s="142"/>
      <c r="CI373" s="142"/>
      <c r="CJ373" s="142"/>
      <c r="CK373" s="142"/>
      <c r="CL373" s="142"/>
      <c r="CM373" s="142"/>
      <c r="CN373" s="142"/>
      <c r="CO373" s="142"/>
      <c r="CP373" s="142"/>
      <c r="CQ373" s="142"/>
      <c r="CR373" s="142"/>
      <c r="CS373" s="142"/>
      <c r="CT373" s="142"/>
      <c r="CU373" s="142"/>
      <c r="CV373" s="142"/>
      <c r="CW373" s="142"/>
      <c r="CX373" s="142"/>
      <c r="CY373" s="142"/>
      <c r="CZ373" s="142"/>
      <c r="DA373" s="144"/>
    </row>
    <row r="374" spans="1:105" ht="20" customHeight="1">
      <c r="A374" s="18">
        <f>ROW()</f>
        <v>374</v>
      </c>
      <c r="B374" s="26" t="str">
        <f t="shared" si="5"/>
        <v/>
      </c>
      <c r="C374" s="140"/>
      <c r="D374" s="141"/>
      <c r="E374" s="141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  <c r="BS374" s="142"/>
      <c r="BT374" s="142"/>
      <c r="BU374" s="142"/>
      <c r="BV374" s="142"/>
      <c r="BW374" s="142"/>
      <c r="BX374" s="142"/>
      <c r="BY374" s="142"/>
      <c r="BZ374" s="142"/>
      <c r="CA374" s="142"/>
      <c r="CB374" s="142"/>
      <c r="CC374" s="142"/>
      <c r="CD374" s="142"/>
      <c r="CE374" s="142"/>
      <c r="CF374" s="142"/>
      <c r="CG374" s="142"/>
      <c r="CH374" s="142"/>
      <c r="CI374" s="142"/>
      <c r="CJ374" s="142"/>
      <c r="CK374" s="142"/>
      <c r="CL374" s="142"/>
      <c r="CM374" s="142"/>
      <c r="CN374" s="142"/>
      <c r="CO374" s="142"/>
      <c r="CP374" s="142"/>
      <c r="CQ374" s="142"/>
      <c r="CR374" s="142"/>
      <c r="CS374" s="142"/>
      <c r="CT374" s="142"/>
      <c r="CU374" s="142"/>
      <c r="CV374" s="142"/>
      <c r="CW374" s="142"/>
      <c r="CX374" s="142"/>
      <c r="CY374" s="142"/>
      <c r="CZ374" s="142"/>
      <c r="DA374" s="144"/>
    </row>
    <row r="375" spans="1:105" ht="20" customHeight="1">
      <c r="A375" s="18">
        <f>ROW()</f>
        <v>375</v>
      </c>
      <c r="B375" s="26" t="str">
        <f t="shared" si="5"/>
        <v/>
      </c>
      <c r="C375" s="140"/>
      <c r="D375" s="141"/>
      <c r="E375" s="141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  <c r="BS375" s="142"/>
      <c r="BT375" s="142"/>
      <c r="BU375" s="142"/>
      <c r="BV375" s="142"/>
      <c r="BW375" s="142"/>
      <c r="BX375" s="142"/>
      <c r="BY375" s="142"/>
      <c r="BZ375" s="142"/>
      <c r="CA375" s="142"/>
      <c r="CB375" s="142"/>
      <c r="CC375" s="142"/>
      <c r="CD375" s="142"/>
      <c r="CE375" s="142"/>
      <c r="CF375" s="142"/>
      <c r="CG375" s="142"/>
      <c r="CH375" s="142"/>
      <c r="CI375" s="142"/>
      <c r="CJ375" s="142"/>
      <c r="CK375" s="142"/>
      <c r="CL375" s="142"/>
      <c r="CM375" s="142"/>
      <c r="CN375" s="142"/>
      <c r="CO375" s="142"/>
      <c r="CP375" s="142"/>
      <c r="CQ375" s="142"/>
      <c r="CR375" s="142"/>
      <c r="CS375" s="142"/>
      <c r="CT375" s="142"/>
      <c r="CU375" s="142"/>
      <c r="CV375" s="142"/>
      <c r="CW375" s="142"/>
      <c r="CX375" s="142"/>
      <c r="CY375" s="142"/>
      <c r="CZ375" s="142"/>
      <c r="DA375" s="144"/>
    </row>
    <row r="376" spans="1:105" ht="20" customHeight="1">
      <c r="A376" s="18">
        <f>ROW()</f>
        <v>376</v>
      </c>
      <c r="B376" s="26" t="str">
        <f t="shared" si="5"/>
        <v/>
      </c>
      <c r="C376" s="140"/>
      <c r="D376" s="141"/>
      <c r="E376" s="141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  <c r="BS376" s="142"/>
      <c r="BT376" s="142"/>
      <c r="BU376" s="142"/>
      <c r="BV376" s="142"/>
      <c r="BW376" s="142"/>
      <c r="BX376" s="142"/>
      <c r="BY376" s="142"/>
      <c r="BZ376" s="142"/>
      <c r="CA376" s="142"/>
      <c r="CB376" s="142"/>
      <c r="CC376" s="142"/>
      <c r="CD376" s="142"/>
      <c r="CE376" s="142"/>
      <c r="CF376" s="142"/>
      <c r="CG376" s="142"/>
      <c r="CH376" s="142"/>
      <c r="CI376" s="142"/>
      <c r="CJ376" s="142"/>
      <c r="CK376" s="142"/>
      <c r="CL376" s="142"/>
      <c r="CM376" s="142"/>
      <c r="CN376" s="142"/>
      <c r="CO376" s="142"/>
      <c r="CP376" s="142"/>
      <c r="CQ376" s="142"/>
      <c r="CR376" s="142"/>
      <c r="CS376" s="142"/>
      <c r="CT376" s="142"/>
      <c r="CU376" s="142"/>
      <c r="CV376" s="142"/>
      <c r="CW376" s="142"/>
      <c r="CX376" s="142"/>
      <c r="CY376" s="142"/>
      <c r="CZ376" s="142"/>
      <c r="DA376" s="144"/>
    </row>
    <row r="377" spans="1:105" ht="20" customHeight="1">
      <c r="A377" s="18">
        <f>ROW()</f>
        <v>377</v>
      </c>
      <c r="B377" s="26" t="str">
        <f t="shared" si="5"/>
        <v/>
      </c>
      <c r="C377" s="140"/>
      <c r="D377" s="141"/>
      <c r="E377" s="141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  <c r="BK377" s="142"/>
      <c r="BL377" s="142"/>
      <c r="BM377" s="142"/>
      <c r="BN377" s="142"/>
      <c r="BO377" s="142"/>
      <c r="BP377" s="142"/>
      <c r="BQ377" s="142"/>
      <c r="BR377" s="142"/>
      <c r="BS377" s="142"/>
      <c r="BT377" s="142"/>
      <c r="BU377" s="142"/>
      <c r="BV377" s="142"/>
      <c r="BW377" s="142"/>
      <c r="BX377" s="142"/>
      <c r="BY377" s="142"/>
      <c r="BZ377" s="142"/>
      <c r="CA377" s="142"/>
      <c r="CB377" s="142"/>
      <c r="CC377" s="142"/>
      <c r="CD377" s="142"/>
      <c r="CE377" s="142"/>
      <c r="CF377" s="142"/>
      <c r="CG377" s="142"/>
      <c r="CH377" s="142"/>
      <c r="CI377" s="142"/>
      <c r="CJ377" s="142"/>
      <c r="CK377" s="142"/>
      <c r="CL377" s="142"/>
      <c r="CM377" s="142"/>
      <c r="CN377" s="142"/>
      <c r="CO377" s="142"/>
      <c r="CP377" s="142"/>
      <c r="CQ377" s="142"/>
      <c r="CR377" s="142"/>
      <c r="CS377" s="142"/>
      <c r="CT377" s="142"/>
      <c r="CU377" s="142"/>
      <c r="CV377" s="142"/>
      <c r="CW377" s="142"/>
      <c r="CX377" s="142"/>
      <c r="CY377" s="142"/>
      <c r="CZ377" s="142"/>
      <c r="DA377" s="144"/>
    </row>
    <row r="378" spans="1:105" ht="20" customHeight="1">
      <c r="A378" s="18">
        <f>ROW()</f>
        <v>378</v>
      </c>
      <c r="B378" s="26" t="str">
        <f t="shared" si="5"/>
        <v/>
      </c>
      <c r="C378" s="140"/>
      <c r="D378" s="141"/>
      <c r="E378" s="141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  <c r="BS378" s="142"/>
      <c r="BT378" s="142"/>
      <c r="BU378" s="142"/>
      <c r="BV378" s="142"/>
      <c r="BW378" s="142"/>
      <c r="BX378" s="142"/>
      <c r="BY378" s="142"/>
      <c r="BZ378" s="142"/>
      <c r="CA378" s="142"/>
      <c r="CB378" s="142"/>
      <c r="CC378" s="142"/>
      <c r="CD378" s="142"/>
      <c r="CE378" s="142"/>
      <c r="CF378" s="142"/>
      <c r="CG378" s="142"/>
      <c r="CH378" s="142"/>
      <c r="CI378" s="142"/>
      <c r="CJ378" s="142"/>
      <c r="CK378" s="142"/>
      <c r="CL378" s="142"/>
      <c r="CM378" s="142"/>
      <c r="CN378" s="142"/>
      <c r="CO378" s="142"/>
      <c r="CP378" s="142"/>
      <c r="CQ378" s="142"/>
      <c r="CR378" s="142"/>
      <c r="CS378" s="142"/>
      <c r="CT378" s="142"/>
      <c r="CU378" s="142"/>
      <c r="CV378" s="142"/>
      <c r="CW378" s="142"/>
      <c r="CX378" s="142"/>
      <c r="CY378" s="142"/>
      <c r="CZ378" s="142"/>
      <c r="DA378" s="144"/>
    </row>
    <row r="379" spans="1:105" ht="20" customHeight="1">
      <c r="A379" s="18">
        <f>ROW()</f>
        <v>379</v>
      </c>
      <c r="B379" s="26" t="str">
        <f t="shared" si="5"/>
        <v/>
      </c>
      <c r="C379" s="140"/>
      <c r="D379" s="141"/>
      <c r="E379" s="141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  <c r="BS379" s="142"/>
      <c r="BT379" s="142"/>
      <c r="BU379" s="142"/>
      <c r="BV379" s="142"/>
      <c r="BW379" s="142"/>
      <c r="BX379" s="142"/>
      <c r="BY379" s="142"/>
      <c r="BZ379" s="142"/>
      <c r="CA379" s="142"/>
      <c r="CB379" s="142"/>
      <c r="CC379" s="142"/>
      <c r="CD379" s="142"/>
      <c r="CE379" s="142"/>
      <c r="CF379" s="142"/>
      <c r="CG379" s="142"/>
      <c r="CH379" s="142"/>
      <c r="CI379" s="142"/>
      <c r="CJ379" s="142"/>
      <c r="CK379" s="142"/>
      <c r="CL379" s="142"/>
      <c r="CM379" s="142"/>
      <c r="CN379" s="142"/>
      <c r="CO379" s="142"/>
      <c r="CP379" s="142"/>
      <c r="CQ379" s="142"/>
      <c r="CR379" s="142"/>
      <c r="CS379" s="142"/>
      <c r="CT379" s="142"/>
      <c r="CU379" s="142"/>
      <c r="CV379" s="142"/>
      <c r="CW379" s="142"/>
      <c r="CX379" s="142"/>
      <c r="CY379" s="142"/>
      <c r="CZ379" s="142"/>
      <c r="DA379" s="144"/>
    </row>
    <row r="380" spans="1:105" ht="20" customHeight="1">
      <c r="A380" s="18">
        <f>ROW()</f>
        <v>380</v>
      </c>
      <c r="B380" s="26" t="str">
        <f t="shared" si="5"/>
        <v/>
      </c>
      <c r="C380" s="140"/>
      <c r="D380" s="141"/>
      <c r="E380" s="141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  <c r="BS380" s="142"/>
      <c r="BT380" s="142"/>
      <c r="BU380" s="142"/>
      <c r="BV380" s="142"/>
      <c r="BW380" s="142"/>
      <c r="BX380" s="142"/>
      <c r="BY380" s="142"/>
      <c r="BZ380" s="142"/>
      <c r="CA380" s="142"/>
      <c r="CB380" s="142"/>
      <c r="CC380" s="142"/>
      <c r="CD380" s="142"/>
      <c r="CE380" s="142"/>
      <c r="CF380" s="142"/>
      <c r="CG380" s="142"/>
      <c r="CH380" s="142"/>
      <c r="CI380" s="142"/>
      <c r="CJ380" s="142"/>
      <c r="CK380" s="142"/>
      <c r="CL380" s="142"/>
      <c r="CM380" s="142"/>
      <c r="CN380" s="142"/>
      <c r="CO380" s="142"/>
      <c r="CP380" s="142"/>
      <c r="CQ380" s="142"/>
      <c r="CR380" s="142"/>
      <c r="CS380" s="142"/>
      <c r="CT380" s="142"/>
      <c r="CU380" s="142"/>
      <c r="CV380" s="142"/>
      <c r="CW380" s="142"/>
      <c r="CX380" s="142"/>
      <c r="CY380" s="142"/>
      <c r="CZ380" s="142"/>
      <c r="DA380" s="144"/>
    </row>
    <row r="381" spans="1:105" ht="20" customHeight="1">
      <c r="A381" s="18">
        <f>ROW()</f>
        <v>381</v>
      </c>
      <c r="B381" s="26" t="str">
        <f t="shared" si="5"/>
        <v/>
      </c>
      <c r="C381" s="140"/>
      <c r="D381" s="141"/>
      <c r="E381" s="141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  <c r="BS381" s="142"/>
      <c r="BT381" s="142"/>
      <c r="BU381" s="142"/>
      <c r="BV381" s="142"/>
      <c r="BW381" s="142"/>
      <c r="BX381" s="142"/>
      <c r="BY381" s="142"/>
      <c r="BZ381" s="142"/>
      <c r="CA381" s="142"/>
      <c r="CB381" s="142"/>
      <c r="CC381" s="142"/>
      <c r="CD381" s="142"/>
      <c r="CE381" s="142"/>
      <c r="CF381" s="142"/>
      <c r="CG381" s="142"/>
      <c r="CH381" s="142"/>
      <c r="CI381" s="142"/>
      <c r="CJ381" s="142"/>
      <c r="CK381" s="142"/>
      <c r="CL381" s="142"/>
      <c r="CM381" s="142"/>
      <c r="CN381" s="142"/>
      <c r="CO381" s="142"/>
      <c r="CP381" s="142"/>
      <c r="CQ381" s="142"/>
      <c r="CR381" s="142"/>
      <c r="CS381" s="142"/>
      <c r="CT381" s="142"/>
      <c r="CU381" s="142"/>
      <c r="CV381" s="142"/>
      <c r="CW381" s="142"/>
      <c r="CX381" s="142"/>
      <c r="CY381" s="142"/>
      <c r="CZ381" s="142"/>
      <c r="DA381" s="144"/>
    </row>
    <row r="382" spans="1:105" ht="20" customHeight="1">
      <c r="A382" s="18">
        <f>ROW()</f>
        <v>382</v>
      </c>
      <c r="B382" s="26" t="str">
        <f t="shared" si="5"/>
        <v/>
      </c>
      <c r="C382" s="140"/>
      <c r="D382" s="141"/>
      <c r="E382" s="141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  <c r="BS382" s="142"/>
      <c r="BT382" s="142"/>
      <c r="BU382" s="142"/>
      <c r="BV382" s="142"/>
      <c r="BW382" s="142"/>
      <c r="BX382" s="142"/>
      <c r="BY382" s="142"/>
      <c r="BZ382" s="142"/>
      <c r="CA382" s="142"/>
      <c r="CB382" s="142"/>
      <c r="CC382" s="142"/>
      <c r="CD382" s="142"/>
      <c r="CE382" s="142"/>
      <c r="CF382" s="142"/>
      <c r="CG382" s="142"/>
      <c r="CH382" s="142"/>
      <c r="CI382" s="142"/>
      <c r="CJ382" s="142"/>
      <c r="CK382" s="142"/>
      <c r="CL382" s="142"/>
      <c r="CM382" s="142"/>
      <c r="CN382" s="142"/>
      <c r="CO382" s="142"/>
      <c r="CP382" s="142"/>
      <c r="CQ382" s="142"/>
      <c r="CR382" s="142"/>
      <c r="CS382" s="142"/>
      <c r="CT382" s="142"/>
      <c r="CU382" s="142"/>
      <c r="CV382" s="142"/>
      <c r="CW382" s="142"/>
      <c r="CX382" s="142"/>
      <c r="CY382" s="142"/>
      <c r="CZ382" s="142"/>
      <c r="DA382" s="144"/>
    </row>
    <row r="383" spans="1:105" ht="20" customHeight="1">
      <c r="A383" s="18">
        <f>ROW()</f>
        <v>383</v>
      </c>
      <c r="B383" s="26" t="str">
        <f t="shared" si="5"/>
        <v/>
      </c>
      <c r="C383" s="140"/>
      <c r="D383" s="141"/>
      <c r="E383" s="141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  <c r="BS383" s="142"/>
      <c r="BT383" s="142"/>
      <c r="BU383" s="142"/>
      <c r="BV383" s="142"/>
      <c r="BW383" s="142"/>
      <c r="BX383" s="142"/>
      <c r="BY383" s="142"/>
      <c r="BZ383" s="142"/>
      <c r="CA383" s="142"/>
      <c r="CB383" s="142"/>
      <c r="CC383" s="142"/>
      <c r="CD383" s="142"/>
      <c r="CE383" s="142"/>
      <c r="CF383" s="142"/>
      <c r="CG383" s="142"/>
      <c r="CH383" s="142"/>
      <c r="CI383" s="142"/>
      <c r="CJ383" s="142"/>
      <c r="CK383" s="142"/>
      <c r="CL383" s="142"/>
      <c r="CM383" s="142"/>
      <c r="CN383" s="142"/>
      <c r="CO383" s="142"/>
      <c r="CP383" s="142"/>
      <c r="CQ383" s="142"/>
      <c r="CR383" s="142"/>
      <c r="CS383" s="142"/>
      <c r="CT383" s="142"/>
      <c r="CU383" s="142"/>
      <c r="CV383" s="142"/>
      <c r="CW383" s="142"/>
      <c r="CX383" s="142"/>
      <c r="CY383" s="142"/>
      <c r="CZ383" s="142"/>
      <c r="DA383" s="144"/>
    </row>
    <row r="384" spans="1:105" ht="20" customHeight="1">
      <c r="A384" s="18">
        <f>ROW()</f>
        <v>384</v>
      </c>
      <c r="B384" s="26" t="str">
        <f t="shared" si="5"/>
        <v/>
      </c>
      <c r="C384" s="140"/>
      <c r="D384" s="141"/>
      <c r="E384" s="141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  <c r="BS384" s="142"/>
      <c r="BT384" s="142"/>
      <c r="BU384" s="142"/>
      <c r="BV384" s="142"/>
      <c r="BW384" s="142"/>
      <c r="BX384" s="142"/>
      <c r="BY384" s="142"/>
      <c r="BZ384" s="142"/>
      <c r="CA384" s="142"/>
      <c r="CB384" s="142"/>
      <c r="CC384" s="142"/>
      <c r="CD384" s="142"/>
      <c r="CE384" s="142"/>
      <c r="CF384" s="142"/>
      <c r="CG384" s="142"/>
      <c r="CH384" s="142"/>
      <c r="CI384" s="142"/>
      <c r="CJ384" s="142"/>
      <c r="CK384" s="142"/>
      <c r="CL384" s="142"/>
      <c r="CM384" s="142"/>
      <c r="CN384" s="142"/>
      <c r="CO384" s="142"/>
      <c r="CP384" s="142"/>
      <c r="CQ384" s="142"/>
      <c r="CR384" s="142"/>
      <c r="CS384" s="142"/>
      <c r="CT384" s="142"/>
      <c r="CU384" s="142"/>
      <c r="CV384" s="142"/>
      <c r="CW384" s="142"/>
      <c r="CX384" s="142"/>
      <c r="CY384" s="142"/>
      <c r="CZ384" s="142"/>
      <c r="DA384" s="144"/>
    </row>
    <row r="385" spans="1:105" ht="20" customHeight="1">
      <c r="A385" s="18">
        <f>ROW()</f>
        <v>385</v>
      </c>
      <c r="B385" s="26" t="str">
        <f t="shared" si="5"/>
        <v/>
      </c>
      <c r="C385" s="140"/>
      <c r="D385" s="141"/>
      <c r="E385" s="141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  <c r="BS385" s="142"/>
      <c r="BT385" s="142"/>
      <c r="BU385" s="142"/>
      <c r="BV385" s="142"/>
      <c r="BW385" s="142"/>
      <c r="BX385" s="142"/>
      <c r="BY385" s="142"/>
      <c r="BZ385" s="142"/>
      <c r="CA385" s="142"/>
      <c r="CB385" s="142"/>
      <c r="CC385" s="142"/>
      <c r="CD385" s="142"/>
      <c r="CE385" s="142"/>
      <c r="CF385" s="142"/>
      <c r="CG385" s="142"/>
      <c r="CH385" s="142"/>
      <c r="CI385" s="142"/>
      <c r="CJ385" s="142"/>
      <c r="CK385" s="142"/>
      <c r="CL385" s="142"/>
      <c r="CM385" s="142"/>
      <c r="CN385" s="142"/>
      <c r="CO385" s="142"/>
      <c r="CP385" s="142"/>
      <c r="CQ385" s="142"/>
      <c r="CR385" s="142"/>
      <c r="CS385" s="142"/>
      <c r="CT385" s="142"/>
      <c r="CU385" s="142"/>
      <c r="CV385" s="142"/>
      <c r="CW385" s="142"/>
      <c r="CX385" s="142"/>
      <c r="CY385" s="142"/>
      <c r="CZ385" s="142"/>
      <c r="DA385" s="144"/>
    </row>
    <row r="386" spans="1:105" ht="20" customHeight="1">
      <c r="A386" s="18">
        <f>ROW()</f>
        <v>386</v>
      </c>
      <c r="B386" s="26" t="str">
        <f t="shared" si="5"/>
        <v/>
      </c>
      <c r="C386" s="140"/>
      <c r="D386" s="141"/>
      <c r="E386" s="141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  <c r="BS386" s="142"/>
      <c r="BT386" s="142"/>
      <c r="BU386" s="142"/>
      <c r="BV386" s="142"/>
      <c r="BW386" s="142"/>
      <c r="BX386" s="142"/>
      <c r="BY386" s="142"/>
      <c r="BZ386" s="142"/>
      <c r="CA386" s="142"/>
      <c r="CB386" s="142"/>
      <c r="CC386" s="142"/>
      <c r="CD386" s="142"/>
      <c r="CE386" s="142"/>
      <c r="CF386" s="142"/>
      <c r="CG386" s="142"/>
      <c r="CH386" s="142"/>
      <c r="CI386" s="142"/>
      <c r="CJ386" s="142"/>
      <c r="CK386" s="142"/>
      <c r="CL386" s="142"/>
      <c r="CM386" s="142"/>
      <c r="CN386" s="142"/>
      <c r="CO386" s="142"/>
      <c r="CP386" s="142"/>
      <c r="CQ386" s="142"/>
      <c r="CR386" s="142"/>
      <c r="CS386" s="142"/>
      <c r="CT386" s="142"/>
      <c r="CU386" s="142"/>
      <c r="CV386" s="142"/>
      <c r="CW386" s="142"/>
      <c r="CX386" s="142"/>
      <c r="CY386" s="142"/>
      <c r="CZ386" s="142"/>
      <c r="DA386" s="144"/>
    </row>
    <row r="387" spans="1:105" ht="20" customHeight="1">
      <c r="A387" s="18">
        <f>ROW()</f>
        <v>387</v>
      </c>
      <c r="B387" s="26" t="str">
        <f t="shared" si="5"/>
        <v/>
      </c>
      <c r="C387" s="140"/>
      <c r="D387" s="141"/>
      <c r="E387" s="141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  <c r="BS387" s="142"/>
      <c r="BT387" s="142"/>
      <c r="BU387" s="142"/>
      <c r="BV387" s="142"/>
      <c r="BW387" s="142"/>
      <c r="BX387" s="142"/>
      <c r="BY387" s="142"/>
      <c r="BZ387" s="142"/>
      <c r="CA387" s="142"/>
      <c r="CB387" s="142"/>
      <c r="CC387" s="142"/>
      <c r="CD387" s="142"/>
      <c r="CE387" s="142"/>
      <c r="CF387" s="142"/>
      <c r="CG387" s="142"/>
      <c r="CH387" s="142"/>
      <c r="CI387" s="142"/>
      <c r="CJ387" s="142"/>
      <c r="CK387" s="142"/>
      <c r="CL387" s="142"/>
      <c r="CM387" s="142"/>
      <c r="CN387" s="142"/>
      <c r="CO387" s="142"/>
      <c r="CP387" s="142"/>
      <c r="CQ387" s="142"/>
      <c r="CR387" s="142"/>
      <c r="CS387" s="142"/>
      <c r="CT387" s="142"/>
      <c r="CU387" s="142"/>
      <c r="CV387" s="142"/>
      <c r="CW387" s="142"/>
      <c r="CX387" s="142"/>
      <c r="CY387" s="142"/>
      <c r="CZ387" s="142"/>
      <c r="DA387" s="144"/>
    </row>
    <row r="388" spans="1:105" ht="20" customHeight="1">
      <c r="A388" s="18">
        <f>ROW()</f>
        <v>388</v>
      </c>
      <c r="B388" s="26" t="str">
        <f t="shared" si="5"/>
        <v/>
      </c>
      <c r="C388" s="140"/>
      <c r="D388" s="141"/>
      <c r="E388" s="141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  <c r="BS388" s="142"/>
      <c r="BT388" s="142"/>
      <c r="BU388" s="142"/>
      <c r="BV388" s="142"/>
      <c r="BW388" s="142"/>
      <c r="BX388" s="142"/>
      <c r="BY388" s="142"/>
      <c r="BZ388" s="142"/>
      <c r="CA388" s="142"/>
      <c r="CB388" s="142"/>
      <c r="CC388" s="142"/>
      <c r="CD388" s="142"/>
      <c r="CE388" s="142"/>
      <c r="CF388" s="142"/>
      <c r="CG388" s="142"/>
      <c r="CH388" s="142"/>
      <c r="CI388" s="142"/>
      <c r="CJ388" s="142"/>
      <c r="CK388" s="142"/>
      <c r="CL388" s="142"/>
      <c r="CM388" s="142"/>
      <c r="CN388" s="142"/>
      <c r="CO388" s="142"/>
      <c r="CP388" s="142"/>
      <c r="CQ388" s="142"/>
      <c r="CR388" s="142"/>
      <c r="CS388" s="142"/>
      <c r="CT388" s="142"/>
      <c r="CU388" s="142"/>
      <c r="CV388" s="142"/>
      <c r="CW388" s="142"/>
      <c r="CX388" s="142"/>
      <c r="CY388" s="142"/>
      <c r="CZ388" s="142"/>
      <c r="DA388" s="144"/>
    </row>
    <row r="389" spans="1:105" ht="20" customHeight="1">
      <c r="A389" s="18">
        <f>ROW()</f>
        <v>389</v>
      </c>
      <c r="B389" s="26" t="str">
        <f t="shared" si="5"/>
        <v/>
      </c>
      <c r="C389" s="140"/>
      <c r="D389" s="141"/>
      <c r="E389" s="141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  <c r="BS389" s="142"/>
      <c r="BT389" s="142"/>
      <c r="BU389" s="142"/>
      <c r="BV389" s="142"/>
      <c r="BW389" s="142"/>
      <c r="BX389" s="142"/>
      <c r="BY389" s="142"/>
      <c r="BZ389" s="142"/>
      <c r="CA389" s="142"/>
      <c r="CB389" s="142"/>
      <c r="CC389" s="142"/>
      <c r="CD389" s="142"/>
      <c r="CE389" s="142"/>
      <c r="CF389" s="142"/>
      <c r="CG389" s="142"/>
      <c r="CH389" s="142"/>
      <c r="CI389" s="142"/>
      <c r="CJ389" s="142"/>
      <c r="CK389" s="142"/>
      <c r="CL389" s="142"/>
      <c r="CM389" s="142"/>
      <c r="CN389" s="142"/>
      <c r="CO389" s="142"/>
      <c r="CP389" s="142"/>
      <c r="CQ389" s="142"/>
      <c r="CR389" s="142"/>
      <c r="CS389" s="142"/>
      <c r="CT389" s="142"/>
      <c r="CU389" s="142"/>
      <c r="CV389" s="142"/>
      <c r="CW389" s="142"/>
      <c r="CX389" s="142"/>
      <c r="CY389" s="142"/>
      <c r="CZ389" s="142"/>
      <c r="DA389" s="144"/>
    </row>
    <row r="390" spans="1:105" ht="20" customHeight="1">
      <c r="A390" s="18">
        <f>ROW()</f>
        <v>390</v>
      </c>
      <c r="B390" s="26" t="str">
        <f t="shared" si="5"/>
        <v/>
      </c>
      <c r="C390" s="140"/>
      <c r="D390" s="141"/>
      <c r="E390" s="141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  <c r="BS390" s="142"/>
      <c r="BT390" s="142"/>
      <c r="BU390" s="142"/>
      <c r="BV390" s="142"/>
      <c r="BW390" s="142"/>
      <c r="BX390" s="142"/>
      <c r="BY390" s="142"/>
      <c r="BZ390" s="142"/>
      <c r="CA390" s="142"/>
      <c r="CB390" s="142"/>
      <c r="CC390" s="142"/>
      <c r="CD390" s="142"/>
      <c r="CE390" s="142"/>
      <c r="CF390" s="142"/>
      <c r="CG390" s="142"/>
      <c r="CH390" s="142"/>
      <c r="CI390" s="142"/>
      <c r="CJ390" s="142"/>
      <c r="CK390" s="142"/>
      <c r="CL390" s="142"/>
      <c r="CM390" s="142"/>
      <c r="CN390" s="142"/>
      <c r="CO390" s="142"/>
      <c r="CP390" s="142"/>
      <c r="CQ390" s="142"/>
      <c r="CR390" s="142"/>
      <c r="CS390" s="142"/>
      <c r="CT390" s="142"/>
      <c r="CU390" s="142"/>
      <c r="CV390" s="142"/>
      <c r="CW390" s="142"/>
      <c r="CX390" s="142"/>
      <c r="CY390" s="142"/>
      <c r="CZ390" s="142"/>
      <c r="DA390" s="144"/>
    </row>
    <row r="391" spans="1:105" ht="20" customHeight="1">
      <c r="A391" s="18">
        <f>ROW()</f>
        <v>391</v>
      </c>
      <c r="B391" s="26" t="str">
        <f t="shared" si="5"/>
        <v/>
      </c>
      <c r="C391" s="140"/>
      <c r="D391" s="141"/>
      <c r="E391" s="141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  <c r="BS391" s="142"/>
      <c r="BT391" s="142"/>
      <c r="BU391" s="142"/>
      <c r="BV391" s="142"/>
      <c r="BW391" s="142"/>
      <c r="BX391" s="142"/>
      <c r="BY391" s="142"/>
      <c r="BZ391" s="142"/>
      <c r="CA391" s="142"/>
      <c r="CB391" s="142"/>
      <c r="CC391" s="142"/>
      <c r="CD391" s="142"/>
      <c r="CE391" s="142"/>
      <c r="CF391" s="142"/>
      <c r="CG391" s="142"/>
      <c r="CH391" s="142"/>
      <c r="CI391" s="142"/>
      <c r="CJ391" s="142"/>
      <c r="CK391" s="142"/>
      <c r="CL391" s="142"/>
      <c r="CM391" s="142"/>
      <c r="CN391" s="142"/>
      <c r="CO391" s="142"/>
      <c r="CP391" s="142"/>
      <c r="CQ391" s="142"/>
      <c r="CR391" s="142"/>
      <c r="CS391" s="142"/>
      <c r="CT391" s="142"/>
      <c r="CU391" s="142"/>
      <c r="CV391" s="142"/>
      <c r="CW391" s="142"/>
      <c r="CX391" s="142"/>
      <c r="CY391" s="142"/>
      <c r="CZ391" s="142"/>
      <c r="DA391" s="144"/>
    </row>
    <row r="392" spans="1:105" ht="20" customHeight="1">
      <c r="A392" s="18">
        <f>ROW()</f>
        <v>392</v>
      </c>
      <c r="B392" s="26" t="str">
        <f t="shared" si="5"/>
        <v/>
      </c>
      <c r="C392" s="140"/>
      <c r="D392" s="141"/>
      <c r="E392" s="141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  <c r="BS392" s="142"/>
      <c r="BT392" s="142"/>
      <c r="BU392" s="142"/>
      <c r="BV392" s="142"/>
      <c r="BW392" s="142"/>
      <c r="BX392" s="142"/>
      <c r="BY392" s="142"/>
      <c r="BZ392" s="142"/>
      <c r="CA392" s="142"/>
      <c r="CB392" s="142"/>
      <c r="CC392" s="142"/>
      <c r="CD392" s="142"/>
      <c r="CE392" s="142"/>
      <c r="CF392" s="142"/>
      <c r="CG392" s="142"/>
      <c r="CH392" s="142"/>
      <c r="CI392" s="142"/>
      <c r="CJ392" s="142"/>
      <c r="CK392" s="142"/>
      <c r="CL392" s="142"/>
      <c r="CM392" s="142"/>
      <c r="CN392" s="142"/>
      <c r="CO392" s="142"/>
      <c r="CP392" s="142"/>
      <c r="CQ392" s="142"/>
      <c r="CR392" s="142"/>
      <c r="CS392" s="142"/>
      <c r="CT392" s="142"/>
      <c r="CU392" s="142"/>
      <c r="CV392" s="142"/>
      <c r="CW392" s="142"/>
      <c r="CX392" s="142"/>
      <c r="CY392" s="142"/>
      <c r="CZ392" s="142"/>
      <c r="DA392" s="144"/>
    </row>
    <row r="393" spans="1:105" ht="20" customHeight="1">
      <c r="A393" s="18">
        <f>ROW()</f>
        <v>393</v>
      </c>
      <c r="B393" s="26" t="str">
        <f t="shared" si="5"/>
        <v/>
      </c>
      <c r="C393" s="140"/>
      <c r="D393" s="141"/>
      <c r="E393" s="141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  <c r="BS393" s="142"/>
      <c r="BT393" s="142"/>
      <c r="BU393" s="142"/>
      <c r="BV393" s="142"/>
      <c r="BW393" s="142"/>
      <c r="BX393" s="142"/>
      <c r="BY393" s="142"/>
      <c r="BZ393" s="142"/>
      <c r="CA393" s="142"/>
      <c r="CB393" s="142"/>
      <c r="CC393" s="142"/>
      <c r="CD393" s="142"/>
      <c r="CE393" s="142"/>
      <c r="CF393" s="142"/>
      <c r="CG393" s="142"/>
      <c r="CH393" s="142"/>
      <c r="CI393" s="142"/>
      <c r="CJ393" s="142"/>
      <c r="CK393" s="142"/>
      <c r="CL393" s="142"/>
      <c r="CM393" s="142"/>
      <c r="CN393" s="142"/>
      <c r="CO393" s="142"/>
      <c r="CP393" s="142"/>
      <c r="CQ393" s="142"/>
      <c r="CR393" s="142"/>
      <c r="CS393" s="142"/>
      <c r="CT393" s="142"/>
      <c r="CU393" s="142"/>
      <c r="CV393" s="142"/>
      <c r="CW393" s="142"/>
      <c r="CX393" s="142"/>
      <c r="CY393" s="142"/>
      <c r="CZ393" s="142"/>
      <c r="DA393" s="144"/>
    </row>
    <row r="394" spans="1:105" ht="20" customHeight="1">
      <c r="A394" s="18">
        <f>ROW()</f>
        <v>394</v>
      </c>
      <c r="B394" s="26" t="str">
        <f t="shared" si="5"/>
        <v/>
      </c>
      <c r="C394" s="140"/>
      <c r="D394" s="141"/>
      <c r="E394" s="141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  <c r="BK394" s="142"/>
      <c r="BL394" s="142"/>
      <c r="BM394" s="142"/>
      <c r="BN394" s="142"/>
      <c r="BO394" s="142"/>
      <c r="BP394" s="142"/>
      <c r="BQ394" s="142"/>
      <c r="BR394" s="142"/>
      <c r="BS394" s="142"/>
      <c r="BT394" s="142"/>
      <c r="BU394" s="142"/>
      <c r="BV394" s="142"/>
      <c r="BW394" s="142"/>
      <c r="BX394" s="142"/>
      <c r="BY394" s="142"/>
      <c r="BZ394" s="142"/>
      <c r="CA394" s="142"/>
      <c r="CB394" s="142"/>
      <c r="CC394" s="142"/>
      <c r="CD394" s="142"/>
      <c r="CE394" s="142"/>
      <c r="CF394" s="142"/>
      <c r="CG394" s="142"/>
      <c r="CH394" s="142"/>
      <c r="CI394" s="142"/>
      <c r="CJ394" s="142"/>
      <c r="CK394" s="142"/>
      <c r="CL394" s="142"/>
      <c r="CM394" s="142"/>
      <c r="CN394" s="142"/>
      <c r="CO394" s="142"/>
      <c r="CP394" s="142"/>
      <c r="CQ394" s="142"/>
      <c r="CR394" s="142"/>
      <c r="CS394" s="142"/>
      <c r="CT394" s="142"/>
      <c r="CU394" s="142"/>
      <c r="CV394" s="142"/>
      <c r="CW394" s="142"/>
      <c r="CX394" s="142"/>
      <c r="CY394" s="142"/>
      <c r="CZ394" s="142"/>
      <c r="DA394" s="144"/>
    </row>
    <row r="395" spans="1:105" ht="20" customHeight="1">
      <c r="A395" s="18">
        <f>ROW()</f>
        <v>395</v>
      </c>
      <c r="B395" s="26" t="str">
        <f t="shared" si="5"/>
        <v/>
      </c>
      <c r="C395" s="140"/>
      <c r="D395" s="141"/>
      <c r="E395" s="141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  <c r="BS395" s="142"/>
      <c r="BT395" s="142"/>
      <c r="BU395" s="142"/>
      <c r="BV395" s="142"/>
      <c r="BW395" s="142"/>
      <c r="BX395" s="142"/>
      <c r="BY395" s="142"/>
      <c r="BZ395" s="142"/>
      <c r="CA395" s="142"/>
      <c r="CB395" s="142"/>
      <c r="CC395" s="142"/>
      <c r="CD395" s="142"/>
      <c r="CE395" s="142"/>
      <c r="CF395" s="142"/>
      <c r="CG395" s="142"/>
      <c r="CH395" s="142"/>
      <c r="CI395" s="142"/>
      <c r="CJ395" s="142"/>
      <c r="CK395" s="142"/>
      <c r="CL395" s="142"/>
      <c r="CM395" s="142"/>
      <c r="CN395" s="142"/>
      <c r="CO395" s="142"/>
      <c r="CP395" s="142"/>
      <c r="CQ395" s="142"/>
      <c r="CR395" s="142"/>
      <c r="CS395" s="142"/>
      <c r="CT395" s="142"/>
      <c r="CU395" s="142"/>
      <c r="CV395" s="142"/>
      <c r="CW395" s="142"/>
      <c r="CX395" s="142"/>
      <c r="CY395" s="142"/>
      <c r="CZ395" s="142"/>
      <c r="DA395" s="144"/>
    </row>
    <row r="396" spans="1:105" ht="20" customHeight="1">
      <c r="A396" s="18">
        <f>ROW()</f>
        <v>396</v>
      </c>
      <c r="B396" s="26" t="str">
        <f t="shared" si="5"/>
        <v/>
      </c>
      <c r="C396" s="140"/>
      <c r="D396" s="141"/>
      <c r="E396" s="141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  <c r="BS396" s="142"/>
      <c r="BT396" s="142"/>
      <c r="BU396" s="142"/>
      <c r="BV396" s="142"/>
      <c r="BW396" s="142"/>
      <c r="BX396" s="142"/>
      <c r="BY396" s="142"/>
      <c r="BZ396" s="142"/>
      <c r="CA396" s="142"/>
      <c r="CB396" s="142"/>
      <c r="CC396" s="142"/>
      <c r="CD396" s="142"/>
      <c r="CE396" s="142"/>
      <c r="CF396" s="142"/>
      <c r="CG396" s="142"/>
      <c r="CH396" s="142"/>
      <c r="CI396" s="142"/>
      <c r="CJ396" s="142"/>
      <c r="CK396" s="142"/>
      <c r="CL396" s="142"/>
      <c r="CM396" s="142"/>
      <c r="CN396" s="142"/>
      <c r="CO396" s="142"/>
      <c r="CP396" s="142"/>
      <c r="CQ396" s="142"/>
      <c r="CR396" s="142"/>
      <c r="CS396" s="142"/>
      <c r="CT396" s="142"/>
      <c r="CU396" s="142"/>
      <c r="CV396" s="142"/>
      <c r="CW396" s="142"/>
      <c r="CX396" s="142"/>
      <c r="CY396" s="142"/>
      <c r="CZ396" s="142"/>
      <c r="DA396" s="144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40"/>
      <c r="D397" s="141"/>
      <c r="E397" s="141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  <c r="BS397" s="142"/>
      <c r="BT397" s="142"/>
      <c r="BU397" s="142"/>
      <c r="BV397" s="142"/>
      <c r="BW397" s="142"/>
      <c r="BX397" s="142"/>
      <c r="BY397" s="142"/>
      <c r="BZ397" s="142"/>
      <c r="CA397" s="142"/>
      <c r="CB397" s="142"/>
      <c r="CC397" s="142"/>
      <c r="CD397" s="142"/>
      <c r="CE397" s="142"/>
      <c r="CF397" s="142"/>
      <c r="CG397" s="142"/>
      <c r="CH397" s="142"/>
      <c r="CI397" s="142"/>
      <c r="CJ397" s="142"/>
      <c r="CK397" s="142"/>
      <c r="CL397" s="142"/>
      <c r="CM397" s="142"/>
      <c r="CN397" s="142"/>
      <c r="CO397" s="142"/>
      <c r="CP397" s="142"/>
      <c r="CQ397" s="142"/>
      <c r="CR397" s="142"/>
      <c r="CS397" s="142"/>
      <c r="CT397" s="142"/>
      <c r="CU397" s="142"/>
      <c r="CV397" s="142"/>
      <c r="CW397" s="142"/>
      <c r="CX397" s="142"/>
      <c r="CY397" s="142"/>
      <c r="CZ397" s="142"/>
      <c r="DA397" s="144"/>
    </row>
    <row r="398" spans="1:105" ht="20" customHeight="1">
      <c r="A398" s="18">
        <f>ROW()</f>
        <v>398</v>
      </c>
      <c r="B398" s="26" t="str">
        <f t="shared" si="6"/>
        <v/>
      </c>
      <c r="C398" s="140"/>
      <c r="D398" s="141"/>
      <c r="E398" s="141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  <c r="BS398" s="142"/>
      <c r="BT398" s="142"/>
      <c r="BU398" s="142"/>
      <c r="BV398" s="142"/>
      <c r="BW398" s="142"/>
      <c r="BX398" s="142"/>
      <c r="BY398" s="142"/>
      <c r="BZ398" s="142"/>
      <c r="CA398" s="142"/>
      <c r="CB398" s="142"/>
      <c r="CC398" s="142"/>
      <c r="CD398" s="142"/>
      <c r="CE398" s="142"/>
      <c r="CF398" s="142"/>
      <c r="CG398" s="142"/>
      <c r="CH398" s="142"/>
      <c r="CI398" s="142"/>
      <c r="CJ398" s="142"/>
      <c r="CK398" s="142"/>
      <c r="CL398" s="142"/>
      <c r="CM398" s="142"/>
      <c r="CN398" s="142"/>
      <c r="CO398" s="142"/>
      <c r="CP398" s="142"/>
      <c r="CQ398" s="142"/>
      <c r="CR398" s="142"/>
      <c r="CS398" s="142"/>
      <c r="CT398" s="142"/>
      <c r="CU398" s="142"/>
      <c r="CV398" s="142"/>
      <c r="CW398" s="142"/>
      <c r="CX398" s="142"/>
      <c r="CY398" s="142"/>
      <c r="CZ398" s="142"/>
      <c r="DA398" s="144"/>
    </row>
    <row r="399" spans="1:105" ht="20" customHeight="1">
      <c r="A399" s="18">
        <f>ROW()</f>
        <v>399</v>
      </c>
      <c r="B399" s="26" t="str">
        <f t="shared" si="6"/>
        <v/>
      </c>
      <c r="C399" s="140"/>
      <c r="D399" s="141"/>
      <c r="E399" s="141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  <c r="BS399" s="142"/>
      <c r="BT399" s="142"/>
      <c r="BU399" s="142"/>
      <c r="BV399" s="142"/>
      <c r="BW399" s="142"/>
      <c r="BX399" s="142"/>
      <c r="BY399" s="142"/>
      <c r="BZ399" s="142"/>
      <c r="CA399" s="142"/>
      <c r="CB399" s="142"/>
      <c r="CC399" s="142"/>
      <c r="CD399" s="142"/>
      <c r="CE399" s="142"/>
      <c r="CF399" s="142"/>
      <c r="CG399" s="142"/>
      <c r="CH399" s="142"/>
      <c r="CI399" s="142"/>
      <c r="CJ399" s="142"/>
      <c r="CK399" s="142"/>
      <c r="CL399" s="142"/>
      <c r="CM399" s="142"/>
      <c r="CN399" s="142"/>
      <c r="CO399" s="142"/>
      <c r="CP399" s="142"/>
      <c r="CQ399" s="142"/>
      <c r="CR399" s="142"/>
      <c r="CS399" s="142"/>
      <c r="CT399" s="142"/>
      <c r="CU399" s="142"/>
      <c r="CV399" s="142"/>
      <c r="CW399" s="142"/>
      <c r="CX399" s="142"/>
      <c r="CY399" s="142"/>
      <c r="CZ399" s="142"/>
      <c r="DA399" s="144"/>
    </row>
    <row r="400" spans="1:105" ht="20" customHeight="1">
      <c r="A400" s="18">
        <f>ROW()</f>
        <v>400</v>
      </c>
      <c r="B400" s="26" t="str">
        <f t="shared" si="6"/>
        <v/>
      </c>
      <c r="C400" s="140"/>
      <c r="D400" s="141"/>
      <c r="E400" s="141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  <c r="BS400" s="142"/>
      <c r="BT400" s="142"/>
      <c r="BU400" s="142"/>
      <c r="BV400" s="142"/>
      <c r="BW400" s="142"/>
      <c r="BX400" s="142"/>
      <c r="BY400" s="142"/>
      <c r="BZ400" s="142"/>
      <c r="CA400" s="142"/>
      <c r="CB400" s="142"/>
      <c r="CC400" s="142"/>
      <c r="CD400" s="142"/>
      <c r="CE400" s="142"/>
      <c r="CF400" s="142"/>
      <c r="CG400" s="142"/>
      <c r="CH400" s="142"/>
      <c r="CI400" s="142"/>
      <c r="CJ400" s="142"/>
      <c r="CK400" s="142"/>
      <c r="CL400" s="142"/>
      <c r="CM400" s="142"/>
      <c r="CN400" s="142"/>
      <c r="CO400" s="142"/>
      <c r="CP400" s="142"/>
      <c r="CQ400" s="142"/>
      <c r="CR400" s="142"/>
      <c r="CS400" s="142"/>
      <c r="CT400" s="142"/>
      <c r="CU400" s="142"/>
      <c r="CV400" s="142"/>
      <c r="CW400" s="142"/>
      <c r="CX400" s="142"/>
      <c r="CY400" s="142"/>
      <c r="CZ400" s="142"/>
      <c r="DA400" s="144"/>
    </row>
    <row r="401" spans="1:105" ht="20" customHeight="1">
      <c r="A401" s="18">
        <f>ROW()</f>
        <v>401</v>
      </c>
      <c r="B401" s="26" t="str">
        <f t="shared" si="6"/>
        <v/>
      </c>
      <c r="C401" s="140"/>
      <c r="D401" s="141"/>
      <c r="E401" s="141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  <c r="BS401" s="142"/>
      <c r="BT401" s="142"/>
      <c r="BU401" s="142"/>
      <c r="BV401" s="142"/>
      <c r="BW401" s="142"/>
      <c r="BX401" s="142"/>
      <c r="BY401" s="142"/>
      <c r="BZ401" s="142"/>
      <c r="CA401" s="142"/>
      <c r="CB401" s="142"/>
      <c r="CC401" s="142"/>
      <c r="CD401" s="142"/>
      <c r="CE401" s="142"/>
      <c r="CF401" s="142"/>
      <c r="CG401" s="142"/>
      <c r="CH401" s="142"/>
      <c r="CI401" s="142"/>
      <c r="CJ401" s="142"/>
      <c r="CK401" s="142"/>
      <c r="CL401" s="142"/>
      <c r="CM401" s="142"/>
      <c r="CN401" s="142"/>
      <c r="CO401" s="142"/>
      <c r="CP401" s="142"/>
      <c r="CQ401" s="142"/>
      <c r="CR401" s="142"/>
      <c r="CS401" s="142"/>
      <c r="CT401" s="142"/>
      <c r="CU401" s="142"/>
      <c r="CV401" s="142"/>
      <c r="CW401" s="142"/>
      <c r="CX401" s="142"/>
      <c r="CY401" s="142"/>
      <c r="CZ401" s="142"/>
      <c r="DA401" s="144"/>
    </row>
    <row r="402" spans="1:105" ht="20" customHeight="1">
      <c r="A402" s="18">
        <f>ROW()</f>
        <v>402</v>
      </c>
      <c r="B402" s="26" t="str">
        <f t="shared" si="6"/>
        <v/>
      </c>
      <c r="C402" s="140"/>
      <c r="D402" s="141"/>
      <c r="E402" s="141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  <c r="BS402" s="142"/>
      <c r="BT402" s="142"/>
      <c r="BU402" s="142"/>
      <c r="BV402" s="142"/>
      <c r="BW402" s="142"/>
      <c r="BX402" s="142"/>
      <c r="BY402" s="142"/>
      <c r="BZ402" s="142"/>
      <c r="CA402" s="142"/>
      <c r="CB402" s="142"/>
      <c r="CC402" s="142"/>
      <c r="CD402" s="142"/>
      <c r="CE402" s="142"/>
      <c r="CF402" s="142"/>
      <c r="CG402" s="142"/>
      <c r="CH402" s="142"/>
      <c r="CI402" s="142"/>
      <c r="CJ402" s="142"/>
      <c r="CK402" s="142"/>
      <c r="CL402" s="142"/>
      <c r="CM402" s="142"/>
      <c r="CN402" s="142"/>
      <c r="CO402" s="142"/>
      <c r="CP402" s="142"/>
      <c r="CQ402" s="142"/>
      <c r="CR402" s="142"/>
      <c r="CS402" s="142"/>
      <c r="CT402" s="142"/>
      <c r="CU402" s="142"/>
      <c r="CV402" s="142"/>
      <c r="CW402" s="142"/>
      <c r="CX402" s="142"/>
      <c r="CY402" s="142"/>
      <c r="CZ402" s="142"/>
      <c r="DA402" s="144"/>
    </row>
    <row r="403" spans="1:105" ht="20" customHeight="1">
      <c r="A403" s="18">
        <f>ROW()</f>
        <v>403</v>
      </c>
      <c r="B403" s="26" t="str">
        <f t="shared" si="6"/>
        <v/>
      </c>
      <c r="C403" s="140"/>
      <c r="D403" s="141"/>
      <c r="E403" s="141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  <c r="BS403" s="142"/>
      <c r="BT403" s="142"/>
      <c r="BU403" s="142"/>
      <c r="BV403" s="142"/>
      <c r="BW403" s="142"/>
      <c r="BX403" s="142"/>
      <c r="BY403" s="142"/>
      <c r="BZ403" s="142"/>
      <c r="CA403" s="142"/>
      <c r="CB403" s="142"/>
      <c r="CC403" s="142"/>
      <c r="CD403" s="142"/>
      <c r="CE403" s="142"/>
      <c r="CF403" s="142"/>
      <c r="CG403" s="142"/>
      <c r="CH403" s="142"/>
      <c r="CI403" s="142"/>
      <c r="CJ403" s="142"/>
      <c r="CK403" s="142"/>
      <c r="CL403" s="142"/>
      <c r="CM403" s="142"/>
      <c r="CN403" s="142"/>
      <c r="CO403" s="142"/>
      <c r="CP403" s="142"/>
      <c r="CQ403" s="142"/>
      <c r="CR403" s="142"/>
      <c r="CS403" s="142"/>
      <c r="CT403" s="142"/>
      <c r="CU403" s="142"/>
      <c r="CV403" s="142"/>
      <c r="CW403" s="142"/>
      <c r="CX403" s="142"/>
      <c r="CY403" s="142"/>
      <c r="CZ403" s="142"/>
      <c r="DA403" s="144"/>
    </row>
    <row r="404" spans="1:105" ht="20" customHeight="1">
      <c r="A404" s="18">
        <f>ROW()</f>
        <v>404</v>
      </c>
      <c r="B404" s="26" t="str">
        <f t="shared" si="6"/>
        <v/>
      </c>
      <c r="C404" s="140"/>
      <c r="D404" s="141"/>
      <c r="E404" s="141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  <c r="BS404" s="142"/>
      <c r="BT404" s="142"/>
      <c r="BU404" s="142"/>
      <c r="BV404" s="142"/>
      <c r="BW404" s="142"/>
      <c r="BX404" s="142"/>
      <c r="BY404" s="142"/>
      <c r="BZ404" s="142"/>
      <c r="CA404" s="142"/>
      <c r="CB404" s="142"/>
      <c r="CC404" s="142"/>
      <c r="CD404" s="142"/>
      <c r="CE404" s="142"/>
      <c r="CF404" s="142"/>
      <c r="CG404" s="142"/>
      <c r="CH404" s="142"/>
      <c r="CI404" s="142"/>
      <c r="CJ404" s="142"/>
      <c r="CK404" s="142"/>
      <c r="CL404" s="142"/>
      <c r="CM404" s="142"/>
      <c r="CN404" s="142"/>
      <c r="CO404" s="142"/>
      <c r="CP404" s="142"/>
      <c r="CQ404" s="142"/>
      <c r="CR404" s="142"/>
      <c r="CS404" s="142"/>
      <c r="CT404" s="142"/>
      <c r="CU404" s="142"/>
      <c r="CV404" s="142"/>
      <c r="CW404" s="142"/>
      <c r="CX404" s="142"/>
      <c r="CY404" s="142"/>
      <c r="CZ404" s="142"/>
      <c r="DA404" s="144"/>
    </row>
    <row r="405" spans="1:105" ht="20" customHeight="1">
      <c r="A405" s="18">
        <f>ROW()</f>
        <v>405</v>
      </c>
      <c r="B405" s="26" t="str">
        <f t="shared" si="6"/>
        <v/>
      </c>
      <c r="C405" s="140"/>
      <c r="D405" s="141"/>
      <c r="E405" s="141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  <c r="BS405" s="142"/>
      <c r="BT405" s="142"/>
      <c r="BU405" s="142"/>
      <c r="BV405" s="142"/>
      <c r="BW405" s="142"/>
      <c r="BX405" s="142"/>
      <c r="BY405" s="142"/>
      <c r="BZ405" s="142"/>
      <c r="CA405" s="142"/>
      <c r="CB405" s="142"/>
      <c r="CC405" s="142"/>
      <c r="CD405" s="142"/>
      <c r="CE405" s="142"/>
      <c r="CF405" s="142"/>
      <c r="CG405" s="142"/>
      <c r="CH405" s="142"/>
      <c r="CI405" s="142"/>
      <c r="CJ405" s="142"/>
      <c r="CK405" s="142"/>
      <c r="CL405" s="142"/>
      <c r="CM405" s="142"/>
      <c r="CN405" s="142"/>
      <c r="CO405" s="142"/>
      <c r="CP405" s="142"/>
      <c r="CQ405" s="142"/>
      <c r="CR405" s="142"/>
      <c r="CS405" s="142"/>
      <c r="CT405" s="142"/>
      <c r="CU405" s="142"/>
      <c r="CV405" s="142"/>
      <c r="CW405" s="142"/>
      <c r="CX405" s="142"/>
      <c r="CY405" s="142"/>
      <c r="CZ405" s="142"/>
      <c r="DA405" s="144"/>
    </row>
    <row r="406" spans="1:105" ht="20" customHeight="1">
      <c r="A406" s="18">
        <f>ROW()</f>
        <v>406</v>
      </c>
      <c r="B406" s="26" t="str">
        <f t="shared" si="6"/>
        <v/>
      </c>
      <c r="C406" s="140"/>
      <c r="D406" s="141"/>
      <c r="E406" s="141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  <c r="BS406" s="142"/>
      <c r="BT406" s="142"/>
      <c r="BU406" s="142"/>
      <c r="BV406" s="142"/>
      <c r="BW406" s="142"/>
      <c r="BX406" s="142"/>
      <c r="BY406" s="142"/>
      <c r="BZ406" s="142"/>
      <c r="CA406" s="142"/>
      <c r="CB406" s="142"/>
      <c r="CC406" s="142"/>
      <c r="CD406" s="142"/>
      <c r="CE406" s="142"/>
      <c r="CF406" s="142"/>
      <c r="CG406" s="142"/>
      <c r="CH406" s="142"/>
      <c r="CI406" s="142"/>
      <c r="CJ406" s="142"/>
      <c r="CK406" s="142"/>
      <c r="CL406" s="142"/>
      <c r="CM406" s="142"/>
      <c r="CN406" s="142"/>
      <c r="CO406" s="142"/>
      <c r="CP406" s="142"/>
      <c r="CQ406" s="142"/>
      <c r="CR406" s="142"/>
      <c r="CS406" s="142"/>
      <c r="CT406" s="142"/>
      <c r="CU406" s="142"/>
      <c r="CV406" s="142"/>
      <c r="CW406" s="142"/>
      <c r="CX406" s="142"/>
      <c r="CY406" s="142"/>
      <c r="CZ406" s="142"/>
      <c r="DA406" s="144"/>
    </row>
    <row r="407" spans="1:105" ht="20" customHeight="1">
      <c r="A407" s="18">
        <f>ROW()</f>
        <v>407</v>
      </c>
      <c r="B407" s="26" t="str">
        <f t="shared" si="6"/>
        <v/>
      </c>
      <c r="C407" s="140"/>
      <c r="D407" s="141"/>
      <c r="E407" s="141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  <c r="BS407" s="142"/>
      <c r="BT407" s="142"/>
      <c r="BU407" s="142"/>
      <c r="BV407" s="142"/>
      <c r="BW407" s="142"/>
      <c r="BX407" s="142"/>
      <c r="BY407" s="142"/>
      <c r="BZ407" s="142"/>
      <c r="CA407" s="142"/>
      <c r="CB407" s="142"/>
      <c r="CC407" s="142"/>
      <c r="CD407" s="142"/>
      <c r="CE407" s="142"/>
      <c r="CF407" s="142"/>
      <c r="CG407" s="142"/>
      <c r="CH407" s="142"/>
      <c r="CI407" s="142"/>
      <c r="CJ407" s="142"/>
      <c r="CK407" s="142"/>
      <c r="CL407" s="142"/>
      <c r="CM407" s="142"/>
      <c r="CN407" s="142"/>
      <c r="CO407" s="142"/>
      <c r="CP407" s="142"/>
      <c r="CQ407" s="142"/>
      <c r="CR407" s="142"/>
      <c r="CS407" s="142"/>
      <c r="CT407" s="142"/>
      <c r="CU407" s="142"/>
      <c r="CV407" s="142"/>
      <c r="CW407" s="142"/>
      <c r="CX407" s="142"/>
      <c r="CY407" s="142"/>
      <c r="CZ407" s="142"/>
      <c r="DA407" s="144"/>
    </row>
    <row r="408" spans="1:105" ht="20" customHeight="1">
      <c r="A408" s="18">
        <f>ROW()</f>
        <v>408</v>
      </c>
      <c r="B408" s="26" t="str">
        <f t="shared" si="6"/>
        <v/>
      </c>
      <c r="C408" s="140"/>
      <c r="D408" s="141"/>
      <c r="E408" s="141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  <c r="BS408" s="142"/>
      <c r="BT408" s="142"/>
      <c r="BU408" s="142"/>
      <c r="BV408" s="142"/>
      <c r="BW408" s="142"/>
      <c r="BX408" s="142"/>
      <c r="BY408" s="142"/>
      <c r="BZ408" s="142"/>
      <c r="CA408" s="142"/>
      <c r="CB408" s="142"/>
      <c r="CC408" s="142"/>
      <c r="CD408" s="142"/>
      <c r="CE408" s="142"/>
      <c r="CF408" s="142"/>
      <c r="CG408" s="142"/>
      <c r="CH408" s="142"/>
      <c r="CI408" s="142"/>
      <c r="CJ408" s="142"/>
      <c r="CK408" s="142"/>
      <c r="CL408" s="142"/>
      <c r="CM408" s="142"/>
      <c r="CN408" s="142"/>
      <c r="CO408" s="142"/>
      <c r="CP408" s="142"/>
      <c r="CQ408" s="142"/>
      <c r="CR408" s="142"/>
      <c r="CS408" s="142"/>
      <c r="CT408" s="142"/>
      <c r="CU408" s="142"/>
      <c r="CV408" s="142"/>
      <c r="CW408" s="142"/>
      <c r="CX408" s="142"/>
      <c r="CY408" s="142"/>
      <c r="CZ408" s="142"/>
      <c r="DA408" s="144"/>
    </row>
    <row r="409" spans="1:105" ht="20" customHeight="1">
      <c r="A409" s="18">
        <f>ROW()</f>
        <v>409</v>
      </c>
      <c r="B409" s="26" t="str">
        <f t="shared" si="6"/>
        <v/>
      </c>
      <c r="C409" s="140"/>
      <c r="D409" s="141"/>
      <c r="E409" s="141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  <c r="BS409" s="142"/>
      <c r="BT409" s="142"/>
      <c r="BU409" s="142"/>
      <c r="BV409" s="142"/>
      <c r="BW409" s="142"/>
      <c r="BX409" s="142"/>
      <c r="BY409" s="142"/>
      <c r="BZ409" s="142"/>
      <c r="CA409" s="142"/>
      <c r="CB409" s="142"/>
      <c r="CC409" s="142"/>
      <c r="CD409" s="142"/>
      <c r="CE409" s="142"/>
      <c r="CF409" s="142"/>
      <c r="CG409" s="142"/>
      <c r="CH409" s="142"/>
      <c r="CI409" s="142"/>
      <c r="CJ409" s="142"/>
      <c r="CK409" s="142"/>
      <c r="CL409" s="142"/>
      <c r="CM409" s="142"/>
      <c r="CN409" s="142"/>
      <c r="CO409" s="142"/>
      <c r="CP409" s="142"/>
      <c r="CQ409" s="142"/>
      <c r="CR409" s="142"/>
      <c r="CS409" s="142"/>
      <c r="CT409" s="142"/>
      <c r="CU409" s="142"/>
      <c r="CV409" s="142"/>
      <c r="CW409" s="142"/>
      <c r="CX409" s="142"/>
      <c r="CY409" s="142"/>
      <c r="CZ409" s="142"/>
      <c r="DA409" s="144"/>
    </row>
    <row r="410" spans="1:105" ht="20" customHeight="1">
      <c r="A410" s="18">
        <f>ROW()</f>
        <v>410</v>
      </c>
      <c r="B410" s="26" t="str">
        <f t="shared" si="6"/>
        <v/>
      </c>
      <c r="C410" s="140"/>
      <c r="D410" s="141"/>
      <c r="E410" s="141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  <c r="BS410" s="142"/>
      <c r="BT410" s="142"/>
      <c r="BU410" s="142"/>
      <c r="BV410" s="142"/>
      <c r="BW410" s="142"/>
      <c r="BX410" s="142"/>
      <c r="BY410" s="142"/>
      <c r="BZ410" s="142"/>
      <c r="CA410" s="142"/>
      <c r="CB410" s="142"/>
      <c r="CC410" s="142"/>
      <c r="CD410" s="142"/>
      <c r="CE410" s="142"/>
      <c r="CF410" s="142"/>
      <c r="CG410" s="142"/>
      <c r="CH410" s="142"/>
      <c r="CI410" s="142"/>
      <c r="CJ410" s="142"/>
      <c r="CK410" s="142"/>
      <c r="CL410" s="142"/>
      <c r="CM410" s="142"/>
      <c r="CN410" s="142"/>
      <c r="CO410" s="142"/>
      <c r="CP410" s="142"/>
      <c r="CQ410" s="142"/>
      <c r="CR410" s="142"/>
      <c r="CS410" s="142"/>
      <c r="CT410" s="142"/>
      <c r="CU410" s="142"/>
      <c r="CV410" s="142"/>
      <c r="CW410" s="142"/>
      <c r="CX410" s="142"/>
      <c r="CY410" s="142"/>
      <c r="CZ410" s="142"/>
      <c r="DA410" s="144"/>
    </row>
    <row r="411" spans="1:105" ht="20" customHeight="1">
      <c r="A411" s="18">
        <f>ROW()</f>
        <v>411</v>
      </c>
      <c r="B411" s="26" t="str">
        <f t="shared" si="6"/>
        <v/>
      </c>
      <c r="C411" s="140"/>
      <c r="D411" s="141"/>
      <c r="E411" s="141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  <c r="BK411" s="142"/>
      <c r="BL411" s="142"/>
      <c r="BM411" s="142"/>
      <c r="BN411" s="142"/>
      <c r="BO411" s="142"/>
      <c r="BP411" s="142"/>
      <c r="BQ411" s="142"/>
      <c r="BR411" s="142"/>
      <c r="BS411" s="142"/>
      <c r="BT411" s="142"/>
      <c r="BU411" s="142"/>
      <c r="BV411" s="142"/>
      <c r="BW411" s="142"/>
      <c r="BX411" s="142"/>
      <c r="BY411" s="142"/>
      <c r="BZ411" s="142"/>
      <c r="CA411" s="142"/>
      <c r="CB411" s="142"/>
      <c r="CC411" s="142"/>
      <c r="CD411" s="142"/>
      <c r="CE411" s="142"/>
      <c r="CF411" s="142"/>
      <c r="CG411" s="142"/>
      <c r="CH411" s="142"/>
      <c r="CI411" s="142"/>
      <c r="CJ411" s="142"/>
      <c r="CK411" s="142"/>
      <c r="CL411" s="142"/>
      <c r="CM411" s="142"/>
      <c r="CN411" s="142"/>
      <c r="CO411" s="142"/>
      <c r="CP411" s="142"/>
      <c r="CQ411" s="142"/>
      <c r="CR411" s="142"/>
      <c r="CS411" s="142"/>
      <c r="CT411" s="142"/>
      <c r="CU411" s="142"/>
      <c r="CV411" s="142"/>
      <c r="CW411" s="142"/>
      <c r="CX411" s="142"/>
      <c r="CY411" s="142"/>
      <c r="CZ411" s="142"/>
      <c r="DA411" s="144"/>
    </row>
    <row r="412" spans="1:105" ht="20" customHeight="1">
      <c r="A412" s="18">
        <f>ROW()</f>
        <v>412</v>
      </c>
      <c r="B412" s="26" t="str">
        <f t="shared" si="6"/>
        <v/>
      </c>
      <c r="C412" s="140"/>
      <c r="D412" s="141"/>
      <c r="E412" s="141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  <c r="BS412" s="142"/>
      <c r="BT412" s="142"/>
      <c r="BU412" s="142"/>
      <c r="BV412" s="142"/>
      <c r="BW412" s="142"/>
      <c r="BX412" s="142"/>
      <c r="BY412" s="142"/>
      <c r="BZ412" s="142"/>
      <c r="CA412" s="142"/>
      <c r="CB412" s="142"/>
      <c r="CC412" s="142"/>
      <c r="CD412" s="142"/>
      <c r="CE412" s="142"/>
      <c r="CF412" s="142"/>
      <c r="CG412" s="142"/>
      <c r="CH412" s="142"/>
      <c r="CI412" s="142"/>
      <c r="CJ412" s="142"/>
      <c r="CK412" s="142"/>
      <c r="CL412" s="142"/>
      <c r="CM412" s="142"/>
      <c r="CN412" s="142"/>
      <c r="CO412" s="142"/>
      <c r="CP412" s="142"/>
      <c r="CQ412" s="142"/>
      <c r="CR412" s="142"/>
      <c r="CS412" s="142"/>
      <c r="CT412" s="142"/>
      <c r="CU412" s="142"/>
      <c r="CV412" s="142"/>
      <c r="CW412" s="142"/>
      <c r="CX412" s="142"/>
      <c r="CY412" s="142"/>
      <c r="CZ412" s="142"/>
      <c r="DA412" s="144"/>
    </row>
    <row r="413" spans="1:105" ht="20" customHeight="1">
      <c r="A413" s="18">
        <f>ROW()</f>
        <v>413</v>
      </c>
      <c r="B413" s="26" t="str">
        <f t="shared" si="6"/>
        <v/>
      </c>
      <c r="C413" s="140"/>
      <c r="D413" s="141"/>
      <c r="E413" s="141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4"/>
    </row>
    <row r="414" spans="1:105" ht="20" customHeight="1">
      <c r="A414" s="18">
        <f>ROW()</f>
        <v>414</v>
      </c>
      <c r="B414" s="26" t="str">
        <f t="shared" si="6"/>
        <v/>
      </c>
      <c r="C414" s="140"/>
      <c r="D414" s="141"/>
      <c r="E414" s="141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  <c r="BS414" s="142"/>
      <c r="BT414" s="142"/>
      <c r="BU414" s="142"/>
      <c r="BV414" s="142"/>
      <c r="BW414" s="142"/>
      <c r="BX414" s="142"/>
      <c r="BY414" s="142"/>
      <c r="BZ414" s="142"/>
      <c r="CA414" s="142"/>
      <c r="CB414" s="142"/>
      <c r="CC414" s="142"/>
      <c r="CD414" s="142"/>
      <c r="CE414" s="142"/>
      <c r="CF414" s="142"/>
      <c r="CG414" s="142"/>
      <c r="CH414" s="142"/>
      <c r="CI414" s="142"/>
      <c r="CJ414" s="142"/>
      <c r="CK414" s="142"/>
      <c r="CL414" s="142"/>
      <c r="CM414" s="142"/>
      <c r="CN414" s="142"/>
      <c r="CO414" s="142"/>
      <c r="CP414" s="142"/>
      <c r="CQ414" s="142"/>
      <c r="CR414" s="142"/>
      <c r="CS414" s="142"/>
      <c r="CT414" s="142"/>
      <c r="CU414" s="142"/>
      <c r="CV414" s="142"/>
      <c r="CW414" s="142"/>
      <c r="CX414" s="142"/>
      <c r="CY414" s="142"/>
      <c r="CZ414" s="142"/>
      <c r="DA414" s="144"/>
    </row>
    <row r="415" spans="1:105" ht="20" customHeight="1">
      <c r="A415" s="18">
        <f>ROW()</f>
        <v>415</v>
      </c>
      <c r="B415" s="26" t="str">
        <f t="shared" si="6"/>
        <v/>
      </c>
      <c r="C415" s="140"/>
      <c r="D415" s="141"/>
      <c r="E415" s="141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  <c r="BS415" s="142"/>
      <c r="BT415" s="142"/>
      <c r="BU415" s="142"/>
      <c r="BV415" s="142"/>
      <c r="BW415" s="142"/>
      <c r="BX415" s="142"/>
      <c r="BY415" s="142"/>
      <c r="BZ415" s="142"/>
      <c r="CA415" s="142"/>
      <c r="CB415" s="142"/>
      <c r="CC415" s="142"/>
      <c r="CD415" s="142"/>
      <c r="CE415" s="142"/>
      <c r="CF415" s="142"/>
      <c r="CG415" s="142"/>
      <c r="CH415" s="142"/>
      <c r="CI415" s="142"/>
      <c r="CJ415" s="142"/>
      <c r="CK415" s="142"/>
      <c r="CL415" s="142"/>
      <c r="CM415" s="142"/>
      <c r="CN415" s="142"/>
      <c r="CO415" s="142"/>
      <c r="CP415" s="142"/>
      <c r="CQ415" s="142"/>
      <c r="CR415" s="142"/>
      <c r="CS415" s="142"/>
      <c r="CT415" s="142"/>
      <c r="CU415" s="142"/>
      <c r="CV415" s="142"/>
      <c r="CW415" s="142"/>
      <c r="CX415" s="142"/>
      <c r="CY415" s="142"/>
      <c r="CZ415" s="142"/>
      <c r="DA415" s="144"/>
    </row>
    <row r="416" spans="1:105" ht="20" customHeight="1">
      <c r="A416" s="18">
        <f>ROW()</f>
        <v>416</v>
      </c>
      <c r="B416" s="26" t="str">
        <f t="shared" si="6"/>
        <v/>
      </c>
      <c r="C416" s="140"/>
      <c r="D416" s="141"/>
      <c r="E416" s="141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  <c r="BS416" s="142"/>
      <c r="BT416" s="142"/>
      <c r="BU416" s="142"/>
      <c r="BV416" s="142"/>
      <c r="BW416" s="142"/>
      <c r="BX416" s="142"/>
      <c r="BY416" s="142"/>
      <c r="BZ416" s="142"/>
      <c r="CA416" s="142"/>
      <c r="CB416" s="142"/>
      <c r="CC416" s="142"/>
      <c r="CD416" s="142"/>
      <c r="CE416" s="142"/>
      <c r="CF416" s="142"/>
      <c r="CG416" s="142"/>
      <c r="CH416" s="142"/>
      <c r="CI416" s="142"/>
      <c r="CJ416" s="142"/>
      <c r="CK416" s="142"/>
      <c r="CL416" s="142"/>
      <c r="CM416" s="142"/>
      <c r="CN416" s="142"/>
      <c r="CO416" s="142"/>
      <c r="CP416" s="142"/>
      <c r="CQ416" s="142"/>
      <c r="CR416" s="142"/>
      <c r="CS416" s="142"/>
      <c r="CT416" s="142"/>
      <c r="CU416" s="142"/>
      <c r="CV416" s="142"/>
      <c r="CW416" s="142"/>
      <c r="CX416" s="142"/>
      <c r="CY416" s="142"/>
      <c r="CZ416" s="142"/>
      <c r="DA416" s="144"/>
    </row>
    <row r="417" spans="1:105" ht="20" customHeight="1">
      <c r="A417" s="18">
        <f>ROW()</f>
        <v>417</v>
      </c>
      <c r="B417" s="26" t="str">
        <f t="shared" si="6"/>
        <v/>
      </c>
      <c r="C417" s="140"/>
      <c r="D417" s="141"/>
      <c r="E417" s="141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  <c r="BS417" s="142"/>
      <c r="BT417" s="142"/>
      <c r="BU417" s="142"/>
      <c r="BV417" s="142"/>
      <c r="BW417" s="142"/>
      <c r="BX417" s="142"/>
      <c r="BY417" s="142"/>
      <c r="BZ417" s="142"/>
      <c r="CA417" s="142"/>
      <c r="CB417" s="142"/>
      <c r="CC417" s="142"/>
      <c r="CD417" s="142"/>
      <c r="CE417" s="142"/>
      <c r="CF417" s="142"/>
      <c r="CG417" s="142"/>
      <c r="CH417" s="142"/>
      <c r="CI417" s="142"/>
      <c r="CJ417" s="142"/>
      <c r="CK417" s="142"/>
      <c r="CL417" s="142"/>
      <c r="CM417" s="142"/>
      <c r="CN417" s="142"/>
      <c r="CO417" s="142"/>
      <c r="CP417" s="142"/>
      <c r="CQ417" s="142"/>
      <c r="CR417" s="142"/>
      <c r="CS417" s="142"/>
      <c r="CT417" s="142"/>
      <c r="CU417" s="142"/>
      <c r="CV417" s="142"/>
      <c r="CW417" s="142"/>
      <c r="CX417" s="142"/>
      <c r="CY417" s="142"/>
      <c r="CZ417" s="142"/>
      <c r="DA417" s="144"/>
    </row>
    <row r="418" spans="1:105" ht="20" customHeight="1">
      <c r="A418" s="18">
        <f>ROW()</f>
        <v>418</v>
      </c>
      <c r="B418" s="26" t="str">
        <f t="shared" si="6"/>
        <v/>
      </c>
      <c r="C418" s="140"/>
      <c r="D418" s="141"/>
      <c r="E418" s="141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  <c r="BS418" s="142"/>
      <c r="BT418" s="142"/>
      <c r="BU418" s="142"/>
      <c r="BV418" s="142"/>
      <c r="BW418" s="142"/>
      <c r="BX418" s="142"/>
      <c r="BY418" s="142"/>
      <c r="BZ418" s="142"/>
      <c r="CA418" s="142"/>
      <c r="CB418" s="142"/>
      <c r="CC418" s="142"/>
      <c r="CD418" s="142"/>
      <c r="CE418" s="142"/>
      <c r="CF418" s="142"/>
      <c r="CG418" s="142"/>
      <c r="CH418" s="142"/>
      <c r="CI418" s="142"/>
      <c r="CJ418" s="142"/>
      <c r="CK418" s="142"/>
      <c r="CL418" s="142"/>
      <c r="CM418" s="142"/>
      <c r="CN418" s="142"/>
      <c r="CO418" s="142"/>
      <c r="CP418" s="142"/>
      <c r="CQ418" s="142"/>
      <c r="CR418" s="142"/>
      <c r="CS418" s="142"/>
      <c r="CT418" s="142"/>
      <c r="CU418" s="142"/>
      <c r="CV418" s="142"/>
      <c r="CW418" s="142"/>
      <c r="CX418" s="142"/>
      <c r="CY418" s="142"/>
      <c r="CZ418" s="142"/>
      <c r="DA418" s="144"/>
    </row>
    <row r="419" spans="1:105" ht="20" customHeight="1">
      <c r="A419" s="18">
        <f>ROW()</f>
        <v>419</v>
      </c>
      <c r="B419" s="26" t="str">
        <f t="shared" si="6"/>
        <v/>
      </c>
      <c r="C419" s="140"/>
      <c r="D419" s="141"/>
      <c r="E419" s="141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  <c r="BS419" s="142"/>
      <c r="BT419" s="142"/>
      <c r="BU419" s="142"/>
      <c r="BV419" s="142"/>
      <c r="BW419" s="142"/>
      <c r="BX419" s="142"/>
      <c r="BY419" s="142"/>
      <c r="BZ419" s="142"/>
      <c r="CA419" s="142"/>
      <c r="CB419" s="142"/>
      <c r="CC419" s="142"/>
      <c r="CD419" s="142"/>
      <c r="CE419" s="142"/>
      <c r="CF419" s="142"/>
      <c r="CG419" s="142"/>
      <c r="CH419" s="142"/>
      <c r="CI419" s="142"/>
      <c r="CJ419" s="142"/>
      <c r="CK419" s="142"/>
      <c r="CL419" s="142"/>
      <c r="CM419" s="142"/>
      <c r="CN419" s="142"/>
      <c r="CO419" s="142"/>
      <c r="CP419" s="142"/>
      <c r="CQ419" s="142"/>
      <c r="CR419" s="142"/>
      <c r="CS419" s="142"/>
      <c r="CT419" s="142"/>
      <c r="CU419" s="142"/>
      <c r="CV419" s="142"/>
      <c r="CW419" s="142"/>
      <c r="CX419" s="142"/>
      <c r="CY419" s="142"/>
      <c r="CZ419" s="142"/>
      <c r="DA419" s="144"/>
    </row>
    <row r="420" spans="1:105" ht="20" customHeight="1">
      <c r="A420" s="18">
        <f>ROW()</f>
        <v>420</v>
      </c>
      <c r="B420" s="26" t="str">
        <f t="shared" si="6"/>
        <v/>
      </c>
      <c r="C420" s="140"/>
      <c r="D420" s="141"/>
      <c r="E420" s="141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  <c r="BS420" s="142"/>
      <c r="BT420" s="142"/>
      <c r="BU420" s="142"/>
      <c r="BV420" s="142"/>
      <c r="BW420" s="142"/>
      <c r="BX420" s="142"/>
      <c r="BY420" s="142"/>
      <c r="BZ420" s="142"/>
      <c r="CA420" s="142"/>
      <c r="CB420" s="142"/>
      <c r="CC420" s="142"/>
      <c r="CD420" s="142"/>
      <c r="CE420" s="142"/>
      <c r="CF420" s="142"/>
      <c r="CG420" s="142"/>
      <c r="CH420" s="142"/>
      <c r="CI420" s="142"/>
      <c r="CJ420" s="142"/>
      <c r="CK420" s="142"/>
      <c r="CL420" s="142"/>
      <c r="CM420" s="142"/>
      <c r="CN420" s="142"/>
      <c r="CO420" s="142"/>
      <c r="CP420" s="142"/>
      <c r="CQ420" s="142"/>
      <c r="CR420" s="142"/>
      <c r="CS420" s="142"/>
      <c r="CT420" s="142"/>
      <c r="CU420" s="142"/>
      <c r="CV420" s="142"/>
      <c r="CW420" s="142"/>
      <c r="CX420" s="142"/>
      <c r="CY420" s="142"/>
      <c r="CZ420" s="142"/>
      <c r="DA420" s="144"/>
    </row>
    <row r="421" spans="1:105" ht="20" customHeight="1">
      <c r="A421" s="18">
        <f>ROW()</f>
        <v>421</v>
      </c>
      <c r="B421" s="26" t="str">
        <f t="shared" si="6"/>
        <v/>
      </c>
      <c r="C421" s="140"/>
      <c r="D421" s="141"/>
      <c r="E421" s="141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  <c r="BS421" s="142"/>
      <c r="BT421" s="142"/>
      <c r="BU421" s="142"/>
      <c r="BV421" s="142"/>
      <c r="BW421" s="142"/>
      <c r="BX421" s="142"/>
      <c r="BY421" s="142"/>
      <c r="BZ421" s="142"/>
      <c r="CA421" s="142"/>
      <c r="CB421" s="142"/>
      <c r="CC421" s="142"/>
      <c r="CD421" s="142"/>
      <c r="CE421" s="142"/>
      <c r="CF421" s="142"/>
      <c r="CG421" s="142"/>
      <c r="CH421" s="142"/>
      <c r="CI421" s="142"/>
      <c r="CJ421" s="142"/>
      <c r="CK421" s="142"/>
      <c r="CL421" s="142"/>
      <c r="CM421" s="142"/>
      <c r="CN421" s="142"/>
      <c r="CO421" s="142"/>
      <c r="CP421" s="142"/>
      <c r="CQ421" s="142"/>
      <c r="CR421" s="142"/>
      <c r="CS421" s="142"/>
      <c r="CT421" s="142"/>
      <c r="CU421" s="142"/>
      <c r="CV421" s="142"/>
      <c r="CW421" s="142"/>
      <c r="CX421" s="142"/>
      <c r="CY421" s="142"/>
      <c r="CZ421" s="142"/>
      <c r="DA421" s="144"/>
    </row>
    <row r="422" spans="1:105" ht="20" customHeight="1">
      <c r="A422" s="18">
        <f>ROW()</f>
        <v>422</v>
      </c>
      <c r="B422" s="26" t="str">
        <f t="shared" si="6"/>
        <v/>
      </c>
      <c r="C422" s="140"/>
      <c r="D422" s="141"/>
      <c r="E422" s="141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  <c r="BS422" s="142"/>
      <c r="BT422" s="142"/>
      <c r="BU422" s="142"/>
      <c r="BV422" s="142"/>
      <c r="BW422" s="142"/>
      <c r="BX422" s="142"/>
      <c r="BY422" s="142"/>
      <c r="BZ422" s="142"/>
      <c r="CA422" s="142"/>
      <c r="CB422" s="142"/>
      <c r="CC422" s="142"/>
      <c r="CD422" s="142"/>
      <c r="CE422" s="142"/>
      <c r="CF422" s="142"/>
      <c r="CG422" s="142"/>
      <c r="CH422" s="142"/>
      <c r="CI422" s="142"/>
      <c r="CJ422" s="142"/>
      <c r="CK422" s="142"/>
      <c r="CL422" s="142"/>
      <c r="CM422" s="142"/>
      <c r="CN422" s="142"/>
      <c r="CO422" s="142"/>
      <c r="CP422" s="142"/>
      <c r="CQ422" s="142"/>
      <c r="CR422" s="142"/>
      <c r="CS422" s="142"/>
      <c r="CT422" s="142"/>
      <c r="CU422" s="142"/>
      <c r="CV422" s="142"/>
      <c r="CW422" s="142"/>
      <c r="CX422" s="142"/>
      <c r="CY422" s="142"/>
      <c r="CZ422" s="142"/>
      <c r="DA422" s="144"/>
    </row>
    <row r="423" spans="1:105" ht="20" customHeight="1">
      <c r="A423" s="18">
        <f>ROW()</f>
        <v>423</v>
      </c>
      <c r="B423" s="26" t="str">
        <f t="shared" si="6"/>
        <v/>
      </c>
      <c r="C423" s="140"/>
      <c r="D423" s="141"/>
      <c r="E423" s="141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  <c r="BS423" s="142"/>
      <c r="BT423" s="142"/>
      <c r="BU423" s="142"/>
      <c r="BV423" s="142"/>
      <c r="BW423" s="142"/>
      <c r="BX423" s="142"/>
      <c r="BY423" s="142"/>
      <c r="BZ423" s="142"/>
      <c r="CA423" s="142"/>
      <c r="CB423" s="142"/>
      <c r="CC423" s="142"/>
      <c r="CD423" s="142"/>
      <c r="CE423" s="142"/>
      <c r="CF423" s="142"/>
      <c r="CG423" s="142"/>
      <c r="CH423" s="142"/>
      <c r="CI423" s="142"/>
      <c r="CJ423" s="142"/>
      <c r="CK423" s="142"/>
      <c r="CL423" s="142"/>
      <c r="CM423" s="142"/>
      <c r="CN423" s="142"/>
      <c r="CO423" s="142"/>
      <c r="CP423" s="142"/>
      <c r="CQ423" s="142"/>
      <c r="CR423" s="142"/>
      <c r="CS423" s="142"/>
      <c r="CT423" s="142"/>
      <c r="CU423" s="142"/>
      <c r="CV423" s="142"/>
      <c r="CW423" s="142"/>
      <c r="CX423" s="142"/>
      <c r="CY423" s="142"/>
      <c r="CZ423" s="142"/>
      <c r="DA423" s="144"/>
    </row>
    <row r="424" spans="1:105" ht="20" customHeight="1">
      <c r="A424" s="18">
        <f>ROW()</f>
        <v>424</v>
      </c>
      <c r="B424" s="26" t="str">
        <f t="shared" si="6"/>
        <v/>
      </c>
      <c r="C424" s="140"/>
      <c r="D424" s="141"/>
      <c r="E424" s="141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  <c r="BS424" s="142"/>
      <c r="BT424" s="142"/>
      <c r="BU424" s="142"/>
      <c r="BV424" s="142"/>
      <c r="BW424" s="142"/>
      <c r="BX424" s="142"/>
      <c r="BY424" s="142"/>
      <c r="BZ424" s="142"/>
      <c r="CA424" s="142"/>
      <c r="CB424" s="142"/>
      <c r="CC424" s="142"/>
      <c r="CD424" s="142"/>
      <c r="CE424" s="142"/>
      <c r="CF424" s="142"/>
      <c r="CG424" s="142"/>
      <c r="CH424" s="142"/>
      <c r="CI424" s="142"/>
      <c r="CJ424" s="142"/>
      <c r="CK424" s="142"/>
      <c r="CL424" s="142"/>
      <c r="CM424" s="142"/>
      <c r="CN424" s="142"/>
      <c r="CO424" s="142"/>
      <c r="CP424" s="142"/>
      <c r="CQ424" s="142"/>
      <c r="CR424" s="142"/>
      <c r="CS424" s="142"/>
      <c r="CT424" s="142"/>
      <c r="CU424" s="142"/>
      <c r="CV424" s="142"/>
      <c r="CW424" s="142"/>
      <c r="CX424" s="142"/>
      <c r="CY424" s="142"/>
      <c r="CZ424" s="142"/>
      <c r="DA424" s="144"/>
    </row>
    <row r="425" spans="1:105" ht="20" customHeight="1">
      <c r="A425" s="18">
        <f>ROW()</f>
        <v>425</v>
      </c>
      <c r="B425" s="26" t="str">
        <f t="shared" si="6"/>
        <v/>
      </c>
      <c r="C425" s="140"/>
      <c r="D425" s="141"/>
      <c r="E425" s="141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  <c r="BS425" s="142"/>
      <c r="BT425" s="142"/>
      <c r="BU425" s="142"/>
      <c r="BV425" s="142"/>
      <c r="BW425" s="142"/>
      <c r="BX425" s="142"/>
      <c r="BY425" s="142"/>
      <c r="BZ425" s="142"/>
      <c r="CA425" s="142"/>
      <c r="CB425" s="142"/>
      <c r="CC425" s="142"/>
      <c r="CD425" s="142"/>
      <c r="CE425" s="142"/>
      <c r="CF425" s="142"/>
      <c r="CG425" s="142"/>
      <c r="CH425" s="142"/>
      <c r="CI425" s="142"/>
      <c r="CJ425" s="142"/>
      <c r="CK425" s="142"/>
      <c r="CL425" s="142"/>
      <c r="CM425" s="142"/>
      <c r="CN425" s="142"/>
      <c r="CO425" s="142"/>
      <c r="CP425" s="142"/>
      <c r="CQ425" s="142"/>
      <c r="CR425" s="142"/>
      <c r="CS425" s="142"/>
      <c r="CT425" s="142"/>
      <c r="CU425" s="142"/>
      <c r="CV425" s="142"/>
      <c r="CW425" s="142"/>
      <c r="CX425" s="142"/>
      <c r="CY425" s="142"/>
      <c r="CZ425" s="142"/>
      <c r="DA425" s="144"/>
    </row>
    <row r="426" spans="1:105" ht="20" customHeight="1">
      <c r="A426" s="18">
        <f>ROW()</f>
        <v>426</v>
      </c>
      <c r="B426" s="26" t="str">
        <f t="shared" si="6"/>
        <v/>
      </c>
      <c r="C426" s="140"/>
      <c r="D426" s="141"/>
      <c r="E426" s="141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  <c r="BS426" s="142"/>
      <c r="BT426" s="142"/>
      <c r="BU426" s="142"/>
      <c r="BV426" s="142"/>
      <c r="BW426" s="142"/>
      <c r="BX426" s="142"/>
      <c r="BY426" s="142"/>
      <c r="BZ426" s="142"/>
      <c r="CA426" s="142"/>
      <c r="CB426" s="142"/>
      <c r="CC426" s="142"/>
      <c r="CD426" s="142"/>
      <c r="CE426" s="142"/>
      <c r="CF426" s="142"/>
      <c r="CG426" s="142"/>
      <c r="CH426" s="142"/>
      <c r="CI426" s="142"/>
      <c r="CJ426" s="142"/>
      <c r="CK426" s="142"/>
      <c r="CL426" s="142"/>
      <c r="CM426" s="142"/>
      <c r="CN426" s="142"/>
      <c r="CO426" s="142"/>
      <c r="CP426" s="142"/>
      <c r="CQ426" s="142"/>
      <c r="CR426" s="142"/>
      <c r="CS426" s="142"/>
      <c r="CT426" s="142"/>
      <c r="CU426" s="142"/>
      <c r="CV426" s="142"/>
      <c r="CW426" s="142"/>
      <c r="CX426" s="142"/>
      <c r="CY426" s="142"/>
      <c r="CZ426" s="142"/>
      <c r="DA426" s="144"/>
    </row>
    <row r="427" spans="1:105" ht="20" customHeight="1">
      <c r="A427" s="18">
        <f>ROW()</f>
        <v>427</v>
      </c>
      <c r="B427" s="26" t="str">
        <f t="shared" si="6"/>
        <v/>
      </c>
      <c r="C427" s="140"/>
      <c r="D427" s="141"/>
      <c r="E427" s="141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  <c r="BS427" s="142"/>
      <c r="BT427" s="142"/>
      <c r="BU427" s="142"/>
      <c r="BV427" s="142"/>
      <c r="BW427" s="142"/>
      <c r="BX427" s="142"/>
      <c r="BY427" s="142"/>
      <c r="BZ427" s="142"/>
      <c r="CA427" s="142"/>
      <c r="CB427" s="142"/>
      <c r="CC427" s="142"/>
      <c r="CD427" s="142"/>
      <c r="CE427" s="142"/>
      <c r="CF427" s="142"/>
      <c r="CG427" s="142"/>
      <c r="CH427" s="142"/>
      <c r="CI427" s="142"/>
      <c r="CJ427" s="142"/>
      <c r="CK427" s="142"/>
      <c r="CL427" s="142"/>
      <c r="CM427" s="142"/>
      <c r="CN427" s="142"/>
      <c r="CO427" s="142"/>
      <c r="CP427" s="142"/>
      <c r="CQ427" s="142"/>
      <c r="CR427" s="142"/>
      <c r="CS427" s="142"/>
      <c r="CT427" s="142"/>
      <c r="CU427" s="142"/>
      <c r="CV427" s="142"/>
      <c r="CW427" s="142"/>
      <c r="CX427" s="142"/>
      <c r="CY427" s="142"/>
      <c r="CZ427" s="142"/>
      <c r="DA427" s="144"/>
    </row>
    <row r="428" spans="1:105" ht="20" customHeight="1">
      <c r="A428" s="18">
        <f>ROW()</f>
        <v>428</v>
      </c>
      <c r="B428" s="26" t="str">
        <f t="shared" si="6"/>
        <v/>
      </c>
      <c r="C428" s="140"/>
      <c r="D428" s="141"/>
      <c r="E428" s="141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  <c r="BK428" s="142"/>
      <c r="BL428" s="142"/>
      <c r="BM428" s="142"/>
      <c r="BN428" s="142"/>
      <c r="BO428" s="142"/>
      <c r="BP428" s="142"/>
      <c r="BQ428" s="142"/>
      <c r="BR428" s="142"/>
      <c r="BS428" s="142"/>
      <c r="BT428" s="142"/>
      <c r="BU428" s="142"/>
      <c r="BV428" s="142"/>
      <c r="BW428" s="142"/>
      <c r="BX428" s="142"/>
      <c r="BY428" s="142"/>
      <c r="BZ428" s="142"/>
      <c r="CA428" s="142"/>
      <c r="CB428" s="142"/>
      <c r="CC428" s="142"/>
      <c r="CD428" s="142"/>
      <c r="CE428" s="142"/>
      <c r="CF428" s="142"/>
      <c r="CG428" s="142"/>
      <c r="CH428" s="142"/>
      <c r="CI428" s="142"/>
      <c r="CJ428" s="142"/>
      <c r="CK428" s="142"/>
      <c r="CL428" s="142"/>
      <c r="CM428" s="142"/>
      <c r="CN428" s="142"/>
      <c r="CO428" s="142"/>
      <c r="CP428" s="142"/>
      <c r="CQ428" s="142"/>
      <c r="CR428" s="142"/>
      <c r="CS428" s="142"/>
      <c r="CT428" s="142"/>
      <c r="CU428" s="142"/>
      <c r="CV428" s="142"/>
      <c r="CW428" s="142"/>
      <c r="CX428" s="142"/>
      <c r="CY428" s="142"/>
      <c r="CZ428" s="142"/>
      <c r="DA428" s="144"/>
    </row>
    <row r="429" spans="1:105" ht="20" customHeight="1">
      <c r="A429" s="18">
        <f>ROW()</f>
        <v>429</v>
      </c>
      <c r="B429" s="26" t="str">
        <f t="shared" si="6"/>
        <v/>
      </c>
      <c r="C429" s="140"/>
      <c r="D429" s="141"/>
      <c r="E429" s="141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  <c r="BS429" s="142"/>
      <c r="BT429" s="142"/>
      <c r="BU429" s="142"/>
      <c r="BV429" s="142"/>
      <c r="BW429" s="142"/>
      <c r="BX429" s="142"/>
      <c r="BY429" s="142"/>
      <c r="BZ429" s="142"/>
      <c r="CA429" s="142"/>
      <c r="CB429" s="142"/>
      <c r="CC429" s="142"/>
      <c r="CD429" s="142"/>
      <c r="CE429" s="142"/>
      <c r="CF429" s="142"/>
      <c r="CG429" s="142"/>
      <c r="CH429" s="142"/>
      <c r="CI429" s="142"/>
      <c r="CJ429" s="142"/>
      <c r="CK429" s="142"/>
      <c r="CL429" s="142"/>
      <c r="CM429" s="142"/>
      <c r="CN429" s="142"/>
      <c r="CO429" s="142"/>
      <c r="CP429" s="142"/>
      <c r="CQ429" s="142"/>
      <c r="CR429" s="142"/>
      <c r="CS429" s="142"/>
      <c r="CT429" s="142"/>
      <c r="CU429" s="142"/>
      <c r="CV429" s="142"/>
      <c r="CW429" s="142"/>
      <c r="CX429" s="142"/>
      <c r="CY429" s="142"/>
      <c r="CZ429" s="142"/>
      <c r="DA429" s="144"/>
    </row>
    <row r="430" spans="1:105" ht="20" customHeight="1">
      <c r="A430" s="18">
        <f>ROW()</f>
        <v>430</v>
      </c>
      <c r="B430" s="26" t="str">
        <f t="shared" si="6"/>
        <v/>
      </c>
      <c r="C430" s="140"/>
      <c r="D430" s="141"/>
      <c r="E430" s="141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  <c r="BS430" s="142"/>
      <c r="BT430" s="142"/>
      <c r="BU430" s="142"/>
      <c r="BV430" s="142"/>
      <c r="BW430" s="142"/>
      <c r="BX430" s="142"/>
      <c r="BY430" s="142"/>
      <c r="BZ430" s="142"/>
      <c r="CA430" s="142"/>
      <c r="CB430" s="142"/>
      <c r="CC430" s="142"/>
      <c r="CD430" s="142"/>
      <c r="CE430" s="142"/>
      <c r="CF430" s="142"/>
      <c r="CG430" s="142"/>
      <c r="CH430" s="142"/>
      <c r="CI430" s="142"/>
      <c r="CJ430" s="142"/>
      <c r="CK430" s="142"/>
      <c r="CL430" s="142"/>
      <c r="CM430" s="142"/>
      <c r="CN430" s="142"/>
      <c r="CO430" s="142"/>
      <c r="CP430" s="142"/>
      <c r="CQ430" s="142"/>
      <c r="CR430" s="142"/>
      <c r="CS430" s="142"/>
      <c r="CT430" s="142"/>
      <c r="CU430" s="142"/>
      <c r="CV430" s="142"/>
      <c r="CW430" s="142"/>
      <c r="CX430" s="142"/>
      <c r="CY430" s="142"/>
      <c r="CZ430" s="142"/>
      <c r="DA430" s="144"/>
    </row>
    <row r="431" spans="1:105" ht="20" customHeight="1">
      <c r="A431" s="18">
        <f>ROW()</f>
        <v>431</v>
      </c>
      <c r="B431" s="26" t="str">
        <f t="shared" si="6"/>
        <v/>
      </c>
      <c r="C431" s="140"/>
      <c r="D431" s="141"/>
      <c r="E431" s="141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  <c r="BS431" s="142"/>
      <c r="BT431" s="142"/>
      <c r="BU431" s="142"/>
      <c r="BV431" s="142"/>
      <c r="BW431" s="142"/>
      <c r="BX431" s="142"/>
      <c r="BY431" s="142"/>
      <c r="BZ431" s="142"/>
      <c r="CA431" s="142"/>
      <c r="CB431" s="142"/>
      <c r="CC431" s="142"/>
      <c r="CD431" s="142"/>
      <c r="CE431" s="142"/>
      <c r="CF431" s="142"/>
      <c r="CG431" s="142"/>
      <c r="CH431" s="142"/>
      <c r="CI431" s="142"/>
      <c r="CJ431" s="142"/>
      <c r="CK431" s="142"/>
      <c r="CL431" s="142"/>
      <c r="CM431" s="142"/>
      <c r="CN431" s="142"/>
      <c r="CO431" s="142"/>
      <c r="CP431" s="142"/>
      <c r="CQ431" s="142"/>
      <c r="CR431" s="142"/>
      <c r="CS431" s="142"/>
      <c r="CT431" s="142"/>
      <c r="CU431" s="142"/>
      <c r="CV431" s="142"/>
      <c r="CW431" s="142"/>
      <c r="CX431" s="142"/>
      <c r="CY431" s="142"/>
      <c r="CZ431" s="142"/>
      <c r="DA431" s="144"/>
    </row>
    <row r="432" spans="1:105" ht="20" customHeight="1">
      <c r="A432" s="18">
        <f>ROW()</f>
        <v>432</v>
      </c>
      <c r="B432" s="26" t="str">
        <f t="shared" si="6"/>
        <v/>
      </c>
      <c r="C432" s="140"/>
      <c r="D432" s="141"/>
      <c r="E432" s="141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  <c r="BS432" s="142"/>
      <c r="BT432" s="142"/>
      <c r="BU432" s="142"/>
      <c r="BV432" s="142"/>
      <c r="BW432" s="142"/>
      <c r="BX432" s="142"/>
      <c r="BY432" s="142"/>
      <c r="BZ432" s="142"/>
      <c r="CA432" s="142"/>
      <c r="CB432" s="142"/>
      <c r="CC432" s="142"/>
      <c r="CD432" s="142"/>
      <c r="CE432" s="142"/>
      <c r="CF432" s="142"/>
      <c r="CG432" s="142"/>
      <c r="CH432" s="142"/>
      <c r="CI432" s="142"/>
      <c r="CJ432" s="142"/>
      <c r="CK432" s="142"/>
      <c r="CL432" s="142"/>
      <c r="CM432" s="142"/>
      <c r="CN432" s="142"/>
      <c r="CO432" s="142"/>
      <c r="CP432" s="142"/>
      <c r="CQ432" s="142"/>
      <c r="CR432" s="142"/>
      <c r="CS432" s="142"/>
      <c r="CT432" s="142"/>
      <c r="CU432" s="142"/>
      <c r="CV432" s="142"/>
      <c r="CW432" s="142"/>
      <c r="CX432" s="142"/>
      <c r="CY432" s="142"/>
      <c r="CZ432" s="142"/>
      <c r="DA432" s="144"/>
    </row>
    <row r="433" spans="1:105" ht="20" customHeight="1">
      <c r="A433" s="18">
        <f>ROW()</f>
        <v>433</v>
      </c>
      <c r="B433" s="26" t="str">
        <f t="shared" si="6"/>
        <v/>
      </c>
      <c r="C433" s="140"/>
      <c r="D433" s="141"/>
      <c r="E433" s="141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  <c r="BS433" s="142"/>
      <c r="BT433" s="142"/>
      <c r="BU433" s="142"/>
      <c r="BV433" s="142"/>
      <c r="BW433" s="142"/>
      <c r="BX433" s="142"/>
      <c r="BY433" s="142"/>
      <c r="BZ433" s="142"/>
      <c r="CA433" s="142"/>
      <c r="CB433" s="142"/>
      <c r="CC433" s="142"/>
      <c r="CD433" s="142"/>
      <c r="CE433" s="142"/>
      <c r="CF433" s="142"/>
      <c r="CG433" s="142"/>
      <c r="CH433" s="142"/>
      <c r="CI433" s="142"/>
      <c r="CJ433" s="142"/>
      <c r="CK433" s="142"/>
      <c r="CL433" s="142"/>
      <c r="CM433" s="142"/>
      <c r="CN433" s="142"/>
      <c r="CO433" s="142"/>
      <c r="CP433" s="142"/>
      <c r="CQ433" s="142"/>
      <c r="CR433" s="142"/>
      <c r="CS433" s="142"/>
      <c r="CT433" s="142"/>
      <c r="CU433" s="142"/>
      <c r="CV433" s="142"/>
      <c r="CW433" s="142"/>
      <c r="CX433" s="142"/>
      <c r="CY433" s="142"/>
      <c r="CZ433" s="142"/>
      <c r="DA433" s="144"/>
    </row>
    <row r="434" spans="1:105" ht="20" customHeight="1">
      <c r="A434" s="18">
        <f>ROW()</f>
        <v>434</v>
      </c>
      <c r="B434" s="26" t="str">
        <f t="shared" si="6"/>
        <v/>
      </c>
      <c r="C434" s="140"/>
      <c r="D434" s="141"/>
      <c r="E434" s="141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  <c r="BS434" s="142"/>
      <c r="BT434" s="142"/>
      <c r="BU434" s="142"/>
      <c r="BV434" s="142"/>
      <c r="BW434" s="142"/>
      <c r="BX434" s="142"/>
      <c r="BY434" s="142"/>
      <c r="BZ434" s="142"/>
      <c r="CA434" s="142"/>
      <c r="CB434" s="142"/>
      <c r="CC434" s="142"/>
      <c r="CD434" s="142"/>
      <c r="CE434" s="142"/>
      <c r="CF434" s="142"/>
      <c r="CG434" s="142"/>
      <c r="CH434" s="142"/>
      <c r="CI434" s="142"/>
      <c r="CJ434" s="142"/>
      <c r="CK434" s="142"/>
      <c r="CL434" s="142"/>
      <c r="CM434" s="142"/>
      <c r="CN434" s="142"/>
      <c r="CO434" s="142"/>
      <c r="CP434" s="142"/>
      <c r="CQ434" s="142"/>
      <c r="CR434" s="142"/>
      <c r="CS434" s="142"/>
      <c r="CT434" s="142"/>
      <c r="CU434" s="142"/>
      <c r="CV434" s="142"/>
      <c r="CW434" s="142"/>
      <c r="CX434" s="142"/>
      <c r="CY434" s="142"/>
      <c r="CZ434" s="142"/>
      <c r="DA434" s="144"/>
    </row>
    <row r="435" spans="1:105" ht="20" customHeight="1">
      <c r="A435" s="18">
        <f>ROW()</f>
        <v>435</v>
      </c>
      <c r="B435" s="26" t="str">
        <f t="shared" si="6"/>
        <v/>
      </c>
      <c r="C435" s="140"/>
      <c r="D435" s="141"/>
      <c r="E435" s="141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  <c r="BS435" s="142"/>
      <c r="BT435" s="142"/>
      <c r="BU435" s="142"/>
      <c r="BV435" s="142"/>
      <c r="BW435" s="142"/>
      <c r="BX435" s="142"/>
      <c r="BY435" s="142"/>
      <c r="BZ435" s="142"/>
      <c r="CA435" s="142"/>
      <c r="CB435" s="142"/>
      <c r="CC435" s="142"/>
      <c r="CD435" s="142"/>
      <c r="CE435" s="142"/>
      <c r="CF435" s="142"/>
      <c r="CG435" s="142"/>
      <c r="CH435" s="142"/>
      <c r="CI435" s="142"/>
      <c r="CJ435" s="142"/>
      <c r="CK435" s="142"/>
      <c r="CL435" s="142"/>
      <c r="CM435" s="142"/>
      <c r="CN435" s="142"/>
      <c r="CO435" s="142"/>
      <c r="CP435" s="142"/>
      <c r="CQ435" s="142"/>
      <c r="CR435" s="142"/>
      <c r="CS435" s="142"/>
      <c r="CT435" s="142"/>
      <c r="CU435" s="142"/>
      <c r="CV435" s="142"/>
      <c r="CW435" s="142"/>
      <c r="CX435" s="142"/>
      <c r="CY435" s="142"/>
      <c r="CZ435" s="142"/>
      <c r="DA435" s="144"/>
    </row>
    <row r="436" spans="1:105" ht="20" customHeight="1">
      <c r="A436" s="18">
        <f>ROW()</f>
        <v>436</v>
      </c>
      <c r="B436" s="26" t="str">
        <f t="shared" si="6"/>
        <v/>
      </c>
      <c r="C436" s="140"/>
      <c r="D436" s="141"/>
      <c r="E436" s="141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  <c r="BS436" s="142"/>
      <c r="BT436" s="142"/>
      <c r="BU436" s="142"/>
      <c r="BV436" s="142"/>
      <c r="BW436" s="142"/>
      <c r="BX436" s="142"/>
      <c r="BY436" s="142"/>
      <c r="BZ436" s="142"/>
      <c r="CA436" s="142"/>
      <c r="CB436" s="142"/>
      <c r="CC436" s="142"/>
      <c r="CD436" s="142"/>
      <c r="CE436" s="142"/>
      <c r="CF436" s="142"/>
      <c r="CG436" s="142"/>
      <c r="CH436" s="142"/>
      <c r="CI436" s="142"/>
      <c r="CJ436" s="142"/>
      <c r="CK436" s="142"/>
      <c r="CL436" s="142"/>
      <c r="CM436" s="142"/>
      <c r="CN436" s="142"/>
      <c r="CO436" s="142"/>
      <c r="CP436" s="142"/>
      <c r="CQ436" s="142"/>
      <c r="CR436" s="142"/>
      <c r="CS436" s="142"/>
      <c r="CT436" s="142"/>
      <c r="CU436" s="142"/>
      <c r="CV436" s="142"/>
      <c r="CW436" s="142"/>
      <c r="CX436" s="142"/>
      <c r="CY436" s="142"/>
      <c r="CZ436" s="142"/>
      <c r="DA436" s="144"/>
    </row>
    <row r="437" spans="1:105" ht="20" customHeight="1">
      <c r="A437" s="18">
        <f>ROW()</f>
        <v>437</v>
      </c>
      <c r="B437" s="26" t="str">
        <f t="shared" si="6"/>
        <v/>
      </c>
      <c r="C437" s="140"/>
      <c r="D437" s="141"/>
      <c r="E437" s="141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  <c r="BS437" s="142"/>
      <c r="BT437" s="142"/>
      <c r="BU437" s="142"/>
      <c r="BV437" s="142"/>
      <c r="BW437" s="142"/>
      <c r="BX437" s="142"/>
      <c r="BY437" s="142"/>
      <c r="BZ437" s="142"/>
      <c r="CA437" s="142"/>
      <c r="CB437" s="142"/>
      <c r="CC437" s="142"/>
      <c r="CD437" s="142"/>
      <c r="CE437" s="142"/>
      <c r="CF437" s="142"/>
      <c r="CG437" s="142"/>
      <c r="CH437" s="142"/>
      <c r="CI437" s="142"/>
      <c r="CJ437" s="142"/>
      <c r="CK437" s="142"/>
      <c r="CL437" s="142"/>
      <c r="CM437" s="142"/>
      <c r="CN437" s="142"/>
      <c r="CO437" s="142"/>
      <c r="CP437" s="142"/>
      <c r="CQ437" s="142"/>
      <c r="CR437" s="142"/>
      <c r="CS437" s="142"/>
      <c r="CT437" s="142"/>
      <c r="CU437" s="142"/>
      <c r="CV437" s="142"/>
      <c r="CW437" s="142"/>
      <c r="CX437" s="142"/>
      <c r="CY437" s="142"/>
      <c r="CZ437" s="142"/>
      <c r="DA437" s="144"/>
    </row>
    <row r="438" spans="1:105" ht="20" customHeight="1">
      <c r="A438" s="18">
        <f>ROW()</f>
        <v>438</v>
      </c>
      <c r="B438" s="26" t="str">
        <f t="shared" si="6"/>
        <v/>
      </c>
      <c r="C438" s="140"/>
      <c r="D438" s="141"/>
      <c r="E438" s="141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  <c r="BS438" s="142"/>
      <c r="BT438" s="142"/>
      <c r="BU438" s="142"/>
      <c r="BV438" s="142"/>
      <c r="BW438" s="142"/>
      <c r="BX438" s="142"/>
      <c r="BY438" s="142"/>
      <c r="BZ438" s="142"/>
      <c r="CA438" s="142"/>
      <c r="CB438" s="142"/>
      <c r="CC438" s="142"/>
      <c r="CD438" s="142"/>
      <c r="CE438" s="142"/>
      <c r="CF438" s="142"/>
      <c r="CG438" s="142"/>
      <c r="CH438" s="142"/>
      <c r="CI438" s="142"/>
      <c r="CJ438" s="142"/>
      <c r="CK438" s="142"/>
      <c r="CL438" s="142"/>
      <c r="CM438" s="142"/>
      <c r="CN438" s="142"/>
      <c r="CO438" s="142"/>
      <c r="CP438" s="142"/>
      <c r="CQ438" s="142"/>
      <c r="CR438" s="142"/>
      <c r="CS438" s="142"/>
      <c r="CT438" s="142"/>
      <c r="CU438" s="142"/>
      <c r="CV438" s="142"/>
      <c r="CW438" s="142"/>
      <c r="CX438" s="142"/>
      <c r="CY438" s="142"/>
      <c r="CZ438" s="142"/>
      <c r="DA438" s="144"/>
    </row>
    <row r="439" spans="1:105" ht="20" customHeight="1">
      <c r="A439" s="18">
        <f>ROW()</f>
        <v>439</v>
      </c>
      <c r="B439" s="26" t="str">
        <f t="shared" si="6"/>
        <v/>
      </c>
      <c r="C439" s="140"/>
      <c r="D439" s="141"/>
      <c r="E439" s="141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  <c r="BS439" s="142"/>
      <c r="BT439" s="142"/>
      <c r="BU439" s="142"/>
      <c r="BV439" s="142"/>
      <c r="BW439" s="142"/>
      <c r="BX439" s="142"/>
      <c r="BY439" s="142"/>
      <c r="BZ439" s="142"/>
      <c r="CA439" s="142"/>
      <c r="CB439" s="142"/>
      <c r="CC439" s="142"/>
      <c r="CD439" s="142"/>
      <c r="CE439" s="142"/>
      <c r="CF439" s="142"/>
      <c r="CG439" s="142"/>
      <c r="CH439" s="142"/>
      <c r="CI439" s="142"/>
      <c r="CJ439" s="142"/>
      <c r="CK439" s="142"/>
      <c r="CL439" s="142"/>
      <c r="CM439" s="142"/>
      <c r="CN439" s="142"/>
      <c r="CO439" s="142"/>
      <c r="CP439" s="142"/>
      <c r="CQ439" s="142"/>
      <c r="CR439" s="142"/>
      <c r="CS439" s="142"/>
      <c r="CT439" s="142"/>
      <c r="CU439" s="142"/>
      <c r="CV439" s="142"/>
      <c r="CW439" s="142"/>
      <c r="CX439" s="142"/>
      <c r="CY439" s="142"/>
      <c r="CZ439" s="142"/>
      <c r="DA439" s="144"/>
    </row>
    <row r="440" spans="1:105" ht="20" customHeight="1">
      <c r="A440" s="18">
        <f>ROW()</f>
        <v>440</v>
      </c>
      <c r="B440" s="26" t="str">
        <f t="shared" si="6"/>
        <v/>
      </c>
      <c r="C440" s="140"/>
      <c r="D440" s="141"/>
      <c r="E440" s="141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  <c r="BS440" s="142"/>
      <c r="BT440" s="142"/>
      <c r="BU440" s="142"/>
      <c r="BV440" s="142"/>
      <c r="BW440" s="142"/>
      <c r="BX440" s="142"/>
      <c r="BY440" s="142"/>
      <c r="BZ440" s="142"/>
      <c r="CA440" s="142"/>
      <c r="CB440" s="142"/>
      <c r="CC440" s="142"/>
      <c r="CD440" s="142"/>
      <c r="CE440" s="142"/>
      <c r="CF440" s="142"/>
      <c r="CG440" s="142"/>
      <c r="CH440" s="142"/>
      <c r="CI440" s="142"/>
      <c r="CJ440" s="142"/>
      <c r="CK440" s="142"/>
      <c r="CL440" s="142"/>
      <c r="CM440" s="142"/>
      <c r="CN440" s="142"/>
      <c r="CO440" s="142"/>
      <c r="CP440" s="142"/>
      <c r="CQ440" s="142"/>
      <c r="CR440" s="142"/>
      <c r="CS440" s="142"/>
      <c r="CT440" s="142"/>
      <c r="CU440" s="142"/>
      <c r="CV440" s="142"/>
      <c r="CW440" s="142"/>
      <c r="CX440" s="142"/>
      <c r="CY440" s="142"/>
      <c r="CZ440" s="142"/>
      <c r="DA440" s="144"/>
    </row>
    <row r="441" spans="1:105" ht="20" customHeight="1">
      <c r="A441" s="18">
        <f>ROW()</f>
        <v>441</v>
      </c>
      <c r="B441" s="26" t="str">
        <f t="shared" si="6"/>
        <v/>
      </c>
      <c r="C441" s="140"/>
      <c r="D441" s="141"/>
      <c r="E441" s="141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  <c r="BS441" s="142"/>
      <c r="BT441" s="142"/>
      <c r="BU441" s="142"/>
      <c r="BV441" s="142"/>
      <c r="BW441" s="142"/>
      <c r="BX441" s="142"/>
      <c r="BY441" s="142"/>
      <c r="BZ441" s="142"/>
      <c r="CA441" s="142"/>
      <c r="CB441" s="142"/>
      <c r="CC441" s="142"/>
      <c r="CD441" s="142"/>
      <c r="CE441" s="142"/>
      <c r="CF441" s="142"/>
      <c r="CG441" s="142"/>
      <c r="CH441" s="142"/>
      <c r="CI441" s="142"/>
      <c r="CJ441" s="142"/>
      <c r="CK441" s="142"/>
      <c r="CL441" s="142"/>
      <c r="CM441" s="142"/>
      <c r="CN441" s="142"/>
      <c r="CO441" s="142"/>
      <c r="CP441" s="142"/>
      <c r="CQ441" s="142"/>
      <c r="CR441" s="142"/>
      <c r="CS441" s="142"/>
      <c r="CT441" s="142"/>
      <c r="CU441" s="142"/>
      <c r="CV441" s="142"/>
      <c r="CW441" s="142"/>
      <c r="CX441" s="142"/>
      <c r="CY441" s="142"/>
      <c r="CZ441" s="142"/>
      <c r="DA441" s="144"/>
    </row>
    <row r="442" spans="1:105" ht="20" customHeight="1">
      <c r="A442" s="18">
        <f>ROW()</f>
        <v>442</v>
      </c>
      <c r="B442" s="26" t="str">
        <f t="shared" si="6"/>
        <v/>
      </c>
      <c r="C442" s="140"/>
      <c r="D442" s="141"/>
      <c r="E442" s="141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  <c r="BS442" s="142"/>
      <c r="BT442" s="142"/>
      <c r="BU442" s="142"/>
      <c r="BV442" s="142"/>
      <c r="BW442" s="142"/>
      <c r="BX442" s="142"/>
      <c r="BY442" s="142"/>
      <c r="BZ442" s="142"/>
      <c r="CA442" s="142"/>
      <c r="CB442" s="142"/>
      <c r="CC442" s="142"/>
      <c r="CD442" s="142"/>
      <c r="CE442" s="142"/>
      <c r="CF442" s="142"/>
      <c r="CG442" s="142"/>
      <c r="CH442" s="142"/>
      <c r="CI442" s="142"/>
      <c r="CJ442" s="142"/>
      <c r="CK442" s="142"/>
      <c r="CL442" s="142"/>
      <c r="CM442" s="142"/>
      <c r="CN442" s="142"/>
      <c r="CO442" s="142"/>
      <c r="CP442" s="142"/>
      <c r="CQ442" s="142"/>
      <c r="CR442" s="142"/>
      <c r="CS442" s="142"/>
      <c r="CT442" s="142"/>
      <c r="CU442" s="142"/>
      <c r="CV442" s="142"/>
      <c r="CW442" s="142"/>
      <c r="CX442" s="142"/>
      <c r="CY442" s="142"/>
      <c r="CZ442" s="142"/>
      <c r="DA442" s="144"/>
    </row>
    <row r="443" spans="1:105" ht="20" customHeight="1">
      <c r="A443" s="18">
        <f>ROW()</f>
        <v>443</v>
      </c>
      <c r="B443" s="26" t="str">
        <f t="shared" si="6"/>
        <v/>
      </c>
      <c r="C443" s="140"/>
      <c r="D443" s="141"/>
      <c r="E443" s="141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  <c r="BS443" s="142"/>
      <c r="BT443" s="142"/>
      <c r="BU443" s="142"/>
      <c r="BV443" s="142"/>
      <c r="BW443" s="142"/>
      <c r="BX443" s="142"/>
      <c r="BY443" s="142"/>
      <c r="BZ443" s="142"/>
      <c r="CA443" s="142"/>
      <c r="CB443" s="142"/>
      <c r="CC443" s="142"/>
      <c r="CD443" s="142"/>
      <c r="CE443" s="142"/>
      <c r="CF443" s="142"/>
      <c r="CG443" s="142"/>
      <c r="CH443" s="142"/>
      <c r="CI443" s="142"/>
      <c r="CJ443" s="142"/>
      <c r="CK443" s="142"/>
      <c r="CL443" s="142"/>
      <c r="CM443" s="142"/>
      <c r="CN443" s="142"/>
      <c r="CO443" s="142"/>
      <c r="CP443" s="142"/>
      <c r="CQ443" s="142"/>
      <c r="CR443" s="142"/>
      <c r="CS443" s="142"/>
      <c r="CT443" s="142"/>
      <c r="CU443" s="142"/>
      <c r="CV443" s="142"/>
      <c r="CW443" s="142"/>
      <c r="CX443" s="142"/>
      <c r="CY443" s="142"/>
      <c r="CZ443" s="142"/>
      <c r="DA443" s="144"/>
    </row>
    <row r="444" spans="1:105" ht="20" customHeight="1">
      <c r="A444" s="18">
        <f>ROW()</f>
        <v>444</v>
      </c>
      <c r="B444" s="26" t="str">
        <f t="shared" si="6"/>
        <v/>
      </c>
      <c r="C444" s="140"/>
      <c r="D444" s="141"/>
      <c r="E444" s="141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  <c r="BS444" s="142"/>
      <c r="BT444" s="142"/>
      <c r="BU444" s="142"/>
      <c r="BV444" s="142"/>
      <c r="BW444" s="142"/>
      <c r="BX444" s="142"/>
      <c r="BY444" s="142"/>
      <c r="BZ444" s="142"/>
      <c r="CA444" s="142"/>
      <c r="CB444" s="142"/>
      <c r="CC444" s="142"/>
      <c r="CD444" s="142"/>
      <c r="CE444" s="142"/>
      <c r="CF444" s="142"/>
      <c r="CG444" s="142"/>
      <c r="CH444" s="142"/>
      <c r="CI444" s="142"/>
      <c r="CJ444" s="142"/>
      <c r="CK444" s="142"/>
      <c r="CL444" s="142"/>
      <c r="CM444" s="142"/>
      <c r="CN444" s="142"/>
      <c r="CO444" s="142"/>
      <c r="CP444" s="142"/>
      <c r="CQ444" s="142"/>
      <c r="CR444" s="142"/>
      <c r="CS444" s="142"/>
      <c r="CT444" s="142"/>
      <c r="CU444" s="142"/>
      <c r="CV444" s="142"/>
      <c r="CW444" s="142"/>
      <c r="CX444" s="142"/>
      <c r="CY444" s="142"/>
      <c r="CZ444" s="142"/>
      <c r="DA444" s="144"/>
    </row>
    <row r="445" spans="1:105" ht="20" customHeight="1">
      <c r="A445" s="18">
        <f>ROW()</f>
        <v>445</v>
      </c>
      <c r="B445" s="26" t="str">
        <f t="shared" si="6"/>
        <v/>
      </c>
      <c r="C445" s="140"/>
      <c r="D445" s="141"/>
      <c r="E445" s="141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  <c r="BK445" s="142"/>
      <c r="BL445" s="142"/>
      <c r="BM445" s="142"/>
      <c r="BN445" s="142"/>
      <c r="BO445" s="142"/>
      <c r="BP445" s="142"/>
      <c r="BQ445" s="142"/>
      <c r="BR445" s="142"/>
      <c r="BS445" s="142"/>
      <c r="BT445" s="142"/>
      <c r="BU445" s="142"/>
      <c r="BV445" s="142"/>
      <c r="BW445" s="142"/>
      <c r="BX445" s="142"/>
      <c r="BY445" s="142"/>
      <c r="BZ445" s="142"/>
      <c r="CA445" s="142"/>
      <c r="CB445" s="142"/>
      <c r="CC445" s="142"/>
      <c r="CD445" s="142"/>
      <c r="CE445" s="142"/>
      <c r="CF445" s="142"/>
      <c r="CG445" s="142"/>
      <c r="CH445" s="142"/>
      <c r="CI445" s="142"/>
      <c r="CJ445" s="142"/>
      <c r="CK445" s="142"/>
      <c r="CL445" s="142"/>
      <c r="CM445" s="142"/>
      <c r="CN445" s="142"/>
      <c r="CO445" s="142"/>
      <c r="CP445" s="142"/>
      <c r="CQ445" s="142"/>
      <c r="CR445" s="142"/>
      <c r="CS445" s="142"/>
      <c r="CT445" s="142"/>
      <c r="CU445" s="142"/>
      <c r="CV445" s="142"/>
      <c r="CW445" s="142"/>
      <c r="CX445" s="142"/>
      <c r="CY445" s="142"/>
      <c r="CZ445" s="142"/>
      <c r="DA445" s="144"/>
    </row>
    <row r="446" spans="1:105" ht="20" customHeight="1">
      <c r="A446" s="18">
        <f>ROW()</f>
        <v>446</v>
      </c>
      <c r="B446" s="26" t="str">
        <f t="shared" si="6"/>
        <v/>
      </c>
      <c r="C446" s="140"/>
      <c r="D446" s="141"/>
      <c r="E446" s="141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  <c r="BS446" s="142"/>
      <c r="BT446" s="142"/>
      <c r="BU446" s="142"/>
      <c r="BV446" s="142"/>
      <c r="BW446" s="142"/>
      <c r="BX446" s="142"/>
      <c r="BY446" s="142"/>
      <c r="BZ446" s="142"/>
      <c r="CA446" s="142"/>
      <c r="CB446" s="142"/>
      <c r="CC446" s="142"/>
      <c r="CD446" s="142"/>
      <c r="CE446" s="142"/>
      <c r="CF446" s="142"/>
      <c r="CG446" s="142"/>
      <c r="CH446" s="142"/>
      <c r="CI446" s="142"/>
      <c r="CJ446" s="142"/>
      <c r="CK446" s="142"/>
      <c r="CL446" s="142"/>
      <c r="CM446" s="142"/>
      <c r="CN446" s="142"/>
      <c r="CO446" s="142"/>
      <c r="CP446" s="142"/>
      <c r="CQ446" s="142"/>
      <c r="CR446" s="142"/>
      <c r="CS446" s="142"/>
      <c r="CT446" s="142"/>
      <c r="CU446" s="142"/>
      <c r="CV446" s="142"/>
      <c r="CW446" s="142"/>
      <c r="CX446" s="142"/>
      <c r="CY446" s="142"/>
      <c r="CZ446" s="142"/>
      <c r="DA446" s="144"/>
    </row>
    <row r="447" spans="1:105" ht="20" customHeight="1">
      <c r="A447" s="18">
        <f>ROW()</f>
        <v>447</v>
      </c>
      <c r="B447" s="26" t="str">
        <f t="shared" si="6"/>
        <v/>
      </c>
      <c r="C447" s="140"/>
      <c r="D447" s="141"/>
      <c r="E447" s="141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  <c r="BS447" s="142"/>
      <c r="BT447" s="142"/>
      <c r="BU447" s="142"/>
      <c r="BV447" s="142"/>
      <c r="BW447" s="142"/>
      <c r="BX447" s="142"/>
      <c r="BY447" s="142"/>
      <c r="BZ447" s="142"/>
      <c r="CA447" s="142"/>
      <c r="CB447" s="142"/>
      <c r="CC447" s="142"/>
      <c r="CD447" s="142"/>
      <c r="CE447" s="142"/>
      <c r="CF447" s="142"/>
      <c r="CG447" s="142"/>
      <c r="CH447" s="142"/>
      <c r="CI447" s="142"/>
      <c r="CJ447" s="142"/>
      <c r="CK447" s="142"/>
      <c r="CL447" s="142"/>
      <c r="CM447" s="142"/>
      <c r="CN447" s="142"/>
      <c r="CO447" s="142"/>
      <c r="CP447" s="142"/>
      <c r="CQ447" s="142"/>
      <c r="CR447" s="142"/>
      <c r="CS447" s="142"/>
      <c r="CT447" s="142"/>
      <c r="CU447" s="142"/>
      <c r="CV447" s="142"/>
      <c r="CW447" s="142"/>
      <c r="CX447" s="142"/>
      <c r="CY447" s="142"/>
      <c r="CZ447" s="142"/>
      <c r="DA447" s="144"/>
    </row>
    <row r="448" spans="1:105" ht="20" customHeight="1">
      <c r="A448" s="18">
        <f>ROW()</f>
        <v>448</v>
      </c>
      <c r="B448" s="26" t="str">
        <f t="shared" si="6"/>
        <v/>
      </c>
      <c r="C448" s="140"/>
      <c r="D448" s="141"/>
      <c r="E448" s="141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  <c r="BS448" s="142"/>
      <c r="BT448" s="142"/>
      <c r="BU448" s="142"/>
      <c r="BV448" s="142"/>
      <c r="BW448" s="142"/>
      <c r="BX448" s="142"/>
      <c r="BY448" s="142"/>
      <c r="BZ448" s="142"/>
      <c r="CA448" s="142"/>
      <c r="CB448" s="142"/>
      <c r="CC448" s="142"/>
      <c r="CD448" s="142"/>
      <c r="CE448" s="142"/>
      <c r="CF448" s="142"/>
      <c r="CG448" s="142"/>
      <c r="CH448" s="142"/>
      <c r="CI448" s="142"/>
      <c r="CJ448" s="142"/>
      <c r="CK448" s="142"/>
      <c r="CL448" s="142"/>
      <c r="CM448" s="142"/>
      <c r="CN448" s="142"/>
      <c r="CO448" s="142"/>
      <c r="CP448" s="142"/>
      <c r="CQ448" s="142"/>
      <c r="CR448" s="142"/>
      <c r="CS448" s="142"/>
      <c r="CT448" s="142"/>
      <c r="CU448" s="142"/>
      <c r="CV448" s="142"/>
      <c r="CW448" s="142"/>
      <c r="CX448" s="142"/>
      <c r="CY448" s="142"/>
      <c r="CZ448" s="142"/>
      <c r="DA448" s="144"/>
    </row>
    <row r="449" spans="1:105" ht="20" customHeight="1">
      <c r="A449" s="18">
        <f>ROW()</f>
        <v>449</v>
      </c>
      <c r="B449" s="26" t="str">
        <f t="shared" si="6"/>
        <v/>
      </c>
      <c r="C449" s="140"/>
      <c r="D449" s="141"/>
      <c r="E449" s="141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  <c r="BS449" s="142"/>
      <c r="BT449" s="142"/>
      <c r="BU449" s="142"/>
      <c r="BV449" s="142"/>
      <c r="BW449" s="142"/>
      <c r="BX449" s="142"/>
      <c r="BY449" s="142"/>
      <c r="BZ449" s="142"/>
      <c r="CA449" s="142"/>
      <c r="CB449" s="142"/>
      <c r="CC449" s="142"/>
      <c r="CD449" s="142"/>
      <c r="CE449" s="142"/>
      <c r="CF449" s="142"/>
      <c r="CG449" s="142"/>
      <c r="CH449" s="142"/>
      <c r="CI449" s="142"/>
      <c r="CJ449" s="142"/>
      <c r="CK449" s="142"/>
      <c r="CL449" s="142"/>
      <c r="CM449" s="142"/>
      <c r="CN449" s="142"/>
      <c r="CO449" s="142"/>
      <c r="CP449" s="142"/>
      <c r="CQ449" s="142"/>
      <c r="CR449" s="142"/>
      <c r="CS449" s="142"/>
      <c r="CT449" s="142"/>
      <c r="CU449" s="142"/>
      <c r="CV449" s="142"/>
      <c r="CW449" s="142"/>
      <c r="CX449" s="142"/>
      <c r="CY449" s="142"/>
      <c r="CZ449" s="142"/>
      <c r="DA449" s="144"/>
    </row>
    <row r="450" spans="1:105" ht="20" customHeight="1">
      <c r="A450" s="18">
        <f>ROW()</f>
        <v>450</v>
      </c>
      <c r="B450" s="26" t="str">
        <f t="shared" si="6"/>
        <v/>
      </c>
      <c r="C450" s="140"/>
      <c r="D450" s="141"/>
      <c r="E450" s="141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  <c r="BS450" s="142"/>
      <c r="BT450" s="142"/>
      <c r="BU450" s="142"/>
      <c r="BV450" s="142"/>
      <c r="BW450" s="142"/>
      <c r="BX450" s="142"/>
      <c r="BY450" s="142"/>
      <c r="BZ450" s="142"/>
      <c r="CA450" s="142"/>
      <c r="CB450" s="142"/>
      <c r="CC450" s="142"/>
      <c r="CD450" s="142"/>
      <c r="CE450" s="142"/>
      <c r="CF450" s="142"/>
      <c r="CG450" s="142"/>
      <c r="CH450" s="142"/>
      <c r="CI450" s="142"/>
      <c r="CJ450" s="142"/>
      <c r="CK450" s="142"/>
      <c r="CL450" s="142"/>
      <c r="CM450" s="142"/>
      <c r="CN450" s="142"/>
      <c r="CO450" s="142"/>
      <c r="CP450" s="142"/>
      <c r="CQ450" s="142"/>
      <c r="CR450" s="142"/>
      <c r="CS450" s="142"/>
      <c r="CT450" s="142"/>
      <c r="CU450" s="142"/>
      <c r="CV450" s="142"/>
      <c r="CW450" s="142"/>
      <c r="CX450" s="142"/>
      <c r="CY450" s="142"/>
      <c r="CZ450" s="142"/>
      <c r="DA450" s="144"/>
    </row>
    <row r="451" spans="1:105" ht="20" customHeight="1">
      <c r="A451" s="18">
        <f>ROW()</f>
        <v>451</v>
      </c>
      <c r="B451" s="26" t="str">
        <f t="shared" si="6"/>
        <v/>
      </c>
      <c r="C451" s="140"/>
      <c r="D451" s="141"/>
      <c r="E451" s="141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  <c r="BS451" s="142"/>
      <c r="BT451" s="142"/>
      <c r="BU451" s="142"/>
      <c r="BV451" s="142"/>
      <c r="BW451" s="142"/>
      <c r="BX451" s="142"/>
      <c r="BY451" s="142"/>
      <c r="BZ451" s="142"/>
      <c r="CA451" s="142"/>
      <c r="CB451" s="142"/>
      <c r="CC451" s="142"/>
      <c r="CD451" s="142"/>
      <c r="CE451" s="142"/>
      <c r="CF451" s="142"/>
      <c r="CG451" s="142"/>
      <c r="CH451" s="142"/>
      <c r="CI451" s="142"/>
      <c r="CJ451" s="142"/>
      <c r="CK451" s="142"/>
      <c r="CL451" s="142"/>
      <c r="CM451" s="142"/>
      <c r="CN451" s="142"/>
      <c r="CO451" s="142"/>
      <c r="CP451" s="142"/>
      <c r="CQ451" s="142"/>
      <c r="CR451" s="142"/>
      <c r="CS451" s="142"/>
      <c r="CT451" s="142"/>
      <c r="CU451" s="142"/>
      <c r="CV451" s="142"/>
      <c r="CW451" s="142"/>
      <c r="CX451" s="142"/>
      <c r="CY451" s="142"/>
      <c r="CZ451" s="142"/>
      <c r="DA451" s="144"/>
    </row>
    <row r="452" spans="1:105" ht="20" customHeight="1">
      <c r="A452" s="18">
        <f>ROW()</f>
        <v>452</v>
      </c>
      <c r="B452" s="26" t="str">
        <f t="shared" si="6"/>
        <v/>
      </c>
      <c r="C452" s="140"/>
      <c r="D452" s="141"/>
      <c r="E452" s="141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  <c r="BS452" s="142"/>
      <c r="BT452" s="142"/>
      <c r="BU452" s="142"/>
      <c r="BV452" s="142"/>
      <c r="BW452" s="142"/>
      <c r="BX452" s="142"/>
      <c r="BY452" s="142"/>
      <c r="BZ452" s="142"/>
      <c r="CA452" s="142"/>
      <c r="CB452" s="142"/>
      <c r="CC452" s="142"/>
      <c r="CD452" s="142"/>
      <c r="CE452" s="142"/>
      <c r="CF452" s="142"/>
      <c r="CG452" s="142"/>
      <c r="CH452" s="142"/>
      <c r="CI452" s="142"/>
      <c r="CJ452" s="142"/>
      <c r="CK452" s="142"/>
      <c r="CL452" s="142"/>
      <c r="CM452" s="142"/>
      <c r="CN452" s="142"/>
      <c r="CO452" s="142"/>
      <c r="CP452" s="142"/>
      <c r="CQ452" s="142"/>
      <c r="CR452" s="142"/>
      <c r="CS452" s="142"/>
      <c r="CT452" s="142"/>
      <c r="CU452" s="142"/>
      <c r="CV452" s="142"/>
      <c r="CW452" s="142"/>
      <c r="CX452" s="142"/>
      <c r="CY452" s="142"/>
      <c r="CZ452" s="142"/>
      <c r="DA452" s="144"/>
    </row>
    <row r="453" spans="1:105" ht="20" customHeight="1">
      <c r="A453" s="18">
        <f>ROW()</f>
        <v>453</v>
      </c>
      <c r="B453" s="26" t="str">
        <f t="shared" si="6"/>
        <v/>
      </c>
      <c r="C453" s="140"/>
      <c r="D453" s="141"/>
      <c r="E453" s="141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  <c r="BS453" s="142"/>
      <c r="BT453" s="142"/>
      <c r="BU453" s="142"/>
      <c r="BV453" s="142"/>
      <c r="BW453" s="142"/>
      <c r="BX453" s="142"/>
      <c r="BY453" s="142"/>
      <c r="BZ453" s="142"/>
      <c r="CA453" s="142"/>
      <c r="CB453" s="142"/>
      <c r="CC453" s="142"/>
      <c r="CD453" s="142"/>
      <c r="CE453" s="142"/>
      <c r="CF453" s="142"/>
      <c r="CG453" s="142"/>
      <c r="CH453" s="142"/>
      <c r="CI453" s="142"/>
      <c r="CJ453" s="142"/>
      <c r="CK453" s="142"/>
      <c r="CL453" s="142"/>
      <c r="CM453" s="142"/>
      <c r="CN453" s="142"/>
      <c r="CO453" s="142"/>
      <c r="CP453" s="142"/>
      <c r="CQ453" s="142"/>
      <c r="CR453" s="142"/>
      <c r="CS453" s="142"/>
      <c r="CT453" s="142"/>
      <c r="CU453" s="142"/>
      <c r="CV453" s="142"/>
      <c r="CW453" s="142"/>
      <c r="CX453" s="142"/>
      <c r="CY453" s="142"/>
      <c r="CZ453" s="142"/>
      <c r="DA453" s="144"/>
    </row>
    <row r="454" spans="1:105" ht="20" customHeight="1">
      <c r="A454" s="18">
        <f>ROW()</f>
        <v>454</v>
      </c>
      <c r="B454" s="26" t="str">
        <f t="shared" si="6"/>
        <v/>
      </c>
      <c r="C454" s="140"/>
      <c r="D454" s="141"/>
      <c r="E454" s="141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  <c r="BS454" s="142"/>
      <c r="BT454" s="142"/>
      <c r="BU454" s="142"/>
      <c r="BV454" s="142"/>
      <c r="BW454" s="142"/>
      <c r="BX454" s="142"/>
      <c r="BY454" s="142"/>
      <c r="BZ454" s="142"/>
      <c r="CA454" s="142"/>
      <c r="CB454" s="142"/>
      <c r="CC454" s="142"/>
      <c r="CD454" s="142"/>
      <c r="CE454" s="142"/>
      <c r="CF454" s="142"/>
      <c r="CG454" s="142"/>
      <c r="CH454" s="142"/>
      <c r="CI454" s="142"/>
      <c r="CJ454" s="142"/>
      <c r="CK454" s="142"/>
      <c r="CL454" s="142"/>
      <c r="CM454" s="142"/>
      <c r="CN454" s="142"/>
      <c r="CO454" s="142"/>
      <c r="CP454" s="142"/>
      <c r="CQ454" s="142"/>
      <c r="CR454" s="142"/>
      <c r="CS454" s="142"/>
      <c r="CT454" s="142"/>
      <c r="CU454" s="142"/>
      <c r="CV454" s="142"/>
      <c r="CW454" s="142"/>
      <c r="CX454" s="142"/>
      <c r="CY454" s="142"/>
      <c r="CZ454" s="142"/>
      <c r="DA454" s="144"/>
    </row>
    <row r="455" spans="1:105" ht="20" customHeight="1">
      <c r="A455" s="18">
        <f>ROW()</f>
        <v>455</v>
      </c>
      <c r="B455" s="26" t="str">
        <f t="shared" si="6"/>
        <v/>
      </c>
      <c r="C455" s="140"/>
      <c r="D455" s="141"/>
      <c r="E455" s="141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  <c r="BS455" s="142"/>
      <c r="BT455" s="142"/>
      <c r="BU455" s="142"/>
      <c r="BV455" s="142"/>
      <c r="BW455" s="142"/>
      <c r="BX455" s="142"/>
      <c r="BY455" s="142"/>
      <c r="BZ455" s="142"/>
      <c r="CA455" s="142"/>
      <c r="CB455" s="142"/>
      <c r="CC455" s="142"/>
      <c r="CD455" s="142"/>
      <c r="CE455" s="142"/>
      <c r="CF455" s="142"/>
      <c r="CG455" s="142"/>
      <c r="CH455" s="142"/>
      <c r="CI455" s="142"/>
      <c r="CJ455" s="142"/>
      <c r="CK455" s="142"/>
      <c r="CL455" s="142"/>
      <c r="CM455" s="142"/>
      <c r="CN455" s="142"/>
      <c r="CO455" s="142"/>
      <c r="CP455" s="142"/>
      <c r="CQ455" s="142"/>
      <c r="CR455" s="142"/>
      <c r="CS455" s="142"/>
      <c r="CT455" s="142"/>
      <c r="CU455" s="142"/>
      <c r="CV455" s="142"/>
      <c r="CW455" s="142"/>
      <c r="CX455" s="142"/>
      <c r="CY455" s="142"/>
      <c r="CZ455" s="142"/>
      <c r="DA455" s="144"/>
    </row>
    <row r="456" spans="1:105" ht="20" customHeight="1">
      <c r="A456" s="18">
        <f>ROW()</f>
        <v>456</v>
      </c>
      <c r="B456" s="26" t="str">
        <f t="shared" si="6"/>
        <v/>
      </c>
      <c r="C456" s="140"/>
      <c r="D456" s="141"/>
      <c r="E456" s="141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  <c r="BS456" s="142"/>
      <c r="BT456" s="142"/>
      <c r="BU456" s="142"/>
      <c r="BV456" s="142"/>
      <c r="BW456" s="142"/>
      <c r="BX456" s="142"/>
      <c r="BY456" s="142"/>
      <c r="BZ456" s="142"/>
      <c r="CA456" s="142"/>
      <c r="CB456" s="142"/>
      <c r="CC456" s="142"/>
      <c r="CD456" s="142"/>
      <c r="CE456" s="142"/>
      <c r="CF456" s="142"/>
      <c r="CG456" s="142"/>
      <c r="CH456" s="142"/>
      <c r="CI456" s="142"/>
      <c r="CJ456" s="142"/>
      <c r="CK456" s="142"/>
      <c r="CL456" s="142"/>
      <c r="CM456" s="142"/>
      <c r="CN456" s="142"/>
      <c r="CO456" s="142"/>
      <c r="CP456" s="142"/>
      <c r="CQ456" s="142"/>
      <c r="CR456" s="142"/>
      <c r="CS456" s="142"/>
      <c r="CT456" s="142"/>
      <c r="CU456" s="142"/>
      <c r="CV456" s="142"/>
      <c r="CW456" s="142"/>
      <c r="CX456" s="142"/>
      <c r="CY456" s="142"/>
      <c r="CZ456" s="142"/>
      <c r="DA456" s="144"/>
    </row>
    <row r="457" spans="1:105" ht="20" customHeight="1">
      <c r="A457" s="18">
        <f>ROW()</f>
        <v>457</v>
      </c>
      <c r="B457" s="26" t="str">
        <f t="shared" si="6"/>
        <v/>
      </c>
      <c r="C457" s="140"/>
      <c r="D457" s="141"/>
      <c r="E457" s="141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  <c r="BS457" s="142"/>
      <c r="BT457" s="142"/>
      <c r="BU457" s="142"/>
      <c r="BV457" s="142"/>
      <c r="BW457" s="142"/>
      <c r="BX457" s="142"/>
      <c r="BY457" s="142"/>
      <c r="BZ457" s="142"/>
      <c r="CA457" s="142"/>
      <c r="CB457" s="142"/>
      <c r="CC457" s="142"/>
      <c r="CD457" s="142"/>
      <c r="CE457" s="142"/>
      <c r="CF457" s="142"/>
      <c r="CG457" s="142"/>
      <c r="CH457" s="142"/>
      <c r="CI457" s="142"/>
      <c r="CJ457" s="142"/>
      <c r="CK457" s="142"/>
      <c r="CL457" s="142"/>
      <c r="CM457" s="142"/>
      <c r="CN457" s="142"/>
      <c r="CO457" s="142"/>
      <c r="CP457" s="142"/>
      <c r="CQ457" s="142"/>
      <c r="CR457" s="142"/>
      <c r="CS457" s="142"/>
      <c r="CT457" s="142"/>
      <c r="CU457" s="142"/>
      <c r="CV457" s="142"/>
      <c r="CW457" s="142"/>
      <c r="CX457" s="142"/>
      <c r="CY457" s="142"/>
      <c r="CZ457" s="142"/>
      <c r="DA457" s="144"/>
    </row>
    <row r="458" spans="1:105" ht="20" customHeight="1">
      <c r="A458" s="18">
        <f>ROW()</f>
        <v>458</v>
      </c>
      <c r="B458" s="26" t="str">
        <f t="shared" si="6"/>
        <v/>
      </c>
      <c r="C458" s="140"/>
      <c r="D458" s="141"/>
      <c r="E458" s="141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  <c r="BS458" s="142"/>
      <c r="BT458" s="142"/>
      <c r="BU458" s="142"/>
      <c r="BV458" s="142"/>
      <c r="BW458" s="142"/>
      <c r="BX458" s="142"/>
      <c r="BY458" s="142"/>
      <c r="BZ458" s="142"/>
      <c r="CA458" s="142"/>
      <c r="CB458" s="142"/>
      <c r="CC458" s="142"/>
      <c r="CD458" s="142"/>
      <c r="CE458" s="142"/>
      <c r="CF458" s="142"/>
      <c r="CG458" s="142"/>
      <c r="CH458" s="142"/>
      <c r="CI458" s="142"/>
      <c r="CJ458" s="142"/>
      <c r="CK458" s="142"/>
      <c r="CL458" s="142"/>
      <c r="CM458" s="142"/>
      <c r="CN458" s="142"/>
      <c r="CO458" s="142"/>
      <c r="CP458" s="142"/>
      <c r="CQ458" s="142"/>
      <c r="CR458" s="142"/>
      <c r="CS458" s="142"/>
      <c r="CT458" s="142"/>
      <c r="CU458" s="142"/>
      <c r="CV458" s="142"/>
      <c r="CW458" s="142"/>
      <c r="CX458" s="142"/>
      <c r="CY458" s="142"/>
      <c r="CZ458" s="142"/>
      <c r="DA458" s="144"/>
    </row>
    <row r="459" spans="1:105" ht="20" customHeight="1">
      <c r="A459" s="18">
        <f>ROW()</f>
        <v>459</v>
      </c>
      <c r="B459" s="26" t="str">
        <f t="shared" si="6"/>
        <v/>
      </c>
      <c r="C459" s="140"/>
      <c r="D459" s="141"/>
      <c r="E459" s="141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  <c r="BS459" s="142"/>
      <c r="BT459" s="142"/>
      <c r="BU459" s="142"/>
      <c r="BV459" s="142"/>
      <c r="BW459" s="142"/>
      <c r="BX459" s="142"/>
      <c r="BY459" s="142"/>
      <c r="BZ459" s="142"/>
      <c r="CA459" s="142"/>
      <c r="CB459" s="142"/>
      <c r="CC459" s="142"/>
      <c r="CD459" s="142"/>
      <c r="CE459" s="142"/>
      <c r="CF459" s="142"/>
      <c r="CG459" s="142"/>
      <c r="CH459" s="142"/>
      <c r="CI459" s="142"/>
      <c r="CJ459" s="142"/>
      <c r="CK459" s="142"/>
      <c r="CL459" s="142"/>
      <c r="CM459" s="142"/>
      <c r="CN459" s="142"/>
      <c r="CO459" s="142"/>
      <c r="CP459" s="142"/>
      <c r="CQ459" s="142"/>
      <c r="CR459" s="142"/>
      <c r="CS459" s="142"/>
      <c r="CT459" s="142"/>
      <c r="CU459" s="142"/>
      <c r="CV459" s="142"/>
      <c r="CW459" s="142"/>
      <c r="CX459" s="142"/>
      <c r="CY459" s="142"/>
      <c r="CZ459" s="142"/>
      <c r="DA459" s="144"/>
    </row>
    <row r="460" spans="1:105" ht="20" customHeight="1">
      <c r="A460" s="18">
        <f>ROW()</f>
        <v>460</v>
      </c>
      <c r="B460" s="26" t="str">
        <f t="shared" si="6"/>
        <v/>
      </c>
      <c r="C460" s="140"/>
      <c r="D460" s="141"/>
      <c r="E460" s="141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  <c r="BS460" s="142"/>
      <c r="BT460" s="142"/>
      <c r="BU460" s="142"/>
      <c r="BV460" s="142"/>
      <c r="BW460" s="142"/>
      <c r="BX460" s="142"/>
      <c r="BY460" s="142"/>
      <c r="BZ460" s="142"/>
      <c r="CA460" s="142"/>
      <c r="CB460" s="142"/>
      <c r="CC460" s="142"/>
      <c r="CD460" s="142"/>
      <c r="CE460" s="142"/>
      <c r="CF460" s="142"/>
      <c r="CG460" s="142"/>
      <c r="CH460" s="142"/>
      <c r="CI460" s="142"/>
      <c r="CJ460" s="142"/>
      <c r="CK460" s="142"/>
      <c r="CL460" s="142"/>
      <c r="CM460" s="142"/>
      <c r="CN460" s="142"/>
      <c r="CO460" s="142"/>
      <c r="CP460" s="142"/>
      <c r="CQ460" s="142"/>
      <c r="CR460" s="142"/>
      <c r="CS460" s="142"/>
      <c r="CT460" s="142"/>
      <c r="CU460" s="142"/>
      <c r="CV460" s="142"/>
      <c r="CW460" s="142"/>
      <c r="CX460" s="142"/>
      <c r="CY460" s="142"/>
      <c r="CZ460" s="142"/>
      <c r="DA460" s="144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40"/>
      <c r="D461" s="141"/>
      <c r="E461" s="141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  <c r="BS461" s="142"/>
      <c r="BT461" s="142"/>
      <c r="BU461" s="142"/>
      <c r="BV461" s="142"/>
      <c r="BW461" s="142"/>
      <c r="BX461" s="142"/>
      <c r="BY461" s="142"/>
      <c r="BZ461" s="142"/>
      <c r="CA461" s="142"/>
      <c r="CB461" s="142"/>
      <c r="CC461" s="142"/>
      <c r="CD461" s="142"/>
      <c r="CE461" s="142"/>
      <c r="CF461" s="142"/>
      <c r="CG461" s="142"/>
      <c r="CH461" s="142"/>
      <c r="CI461" s="142"/>
      <c r="CJ461" s="142"/>
      <c r="CK461" s="142"/>
      <c r="CL461" s="142"/>
      <c r="CM461" s="142"/>
      <c r="CN461" s="142"/>
      <c r="CO461" s="142"/>
      <c r="CP461" s="142"/>
      <c r="CQ461" s="142"/>
      <c r="CR461" s="142"/>
      <c r="CS461" s="142"/>
      <c r="CT461" s="142"/>
      <c r="CU461" s="142"/>
      <c r="CV461" s="142"/>
      <c r="CW461" s="142"/>
      <c r="CX461" s="142"/>
      <c r="CY461" s="142"/>
      <c r="CZ461" s="142"/>
      <c r="DA461" s="144"/>
    </row>
    <row r="462" spans="1:105" ht="20" customHeight="1">
      <c r="A462" s="18">
        <f>ROW()</f>
        <v>462</v>
      </c>
      <c r="B462" s="26" t="str">
        <f t="shared" si="7"/>
        <v/>
      </c>
      <c r="C462" s="140"/>
      <c r="D462" s="141"/>
      <c r="E462" s="141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  <c r="BK462" s="142"/>
      <c r="BL462" s="142"/>
      <c r="BM462" s="142"/>
      <c r="BN462" s="142"/>
      <c r="BO462" s="142"/>
      <c r="BP462" s="142"/>
      <c r="BQ462" s="142"/>
      <c r="BR462" s="142"/>
      <c r="BS462" s="142"/>
      <c r="BT462" s="142"/>
      <c r="BU462" s="142"/>
      <c r="BV462" s="142"/>
      <c r="BW462" s="142"/>
      <c r="BX462" s="142"/>
      <c r="BY462" s="142"/>
      <c r="BZ462" s="142"/>
      <c r="CA462" s="142"/>
      <c r="CB462" s="142"/>
      <c r="CC462" s="142"/>
      <c r="CD462" s="142"/>
      <c r="CE462" s="142"/>
      <c r="CF462" s="142"/>
      <c r="CG462" s="142"/>
      <c r="CH462" s="142"/>
      <c r="CI462" s="142"/>
      <c r="CJ462" s="142"/>
      <c r="CK462" s="142"/>
      <c r="CL462" s="142"/>
      <c r="CM462" s="142"/>
      <c r="CN462" s="142"/>
      <c r="CO462" s="142"/>
      <c r="CP462" s="142"/>
      <c r="CQ462" s="142"/>
      <c r="CR462" s="142"/>
      <c r="CS462" s="142"/>
      <c r="CT462" s="142"/>
      <c r="CU462" s="142"/>
      <c r="CV462" s="142"/>
      <c r="CW462" s="142"/>
      <c r="CX462" s="142"/>
      <c r="CY462" s="142"/>
      <c r="CZ462" s="142"/>
      <c r="DA462" s="144"/>
    </row>
    <row r="463" spans="1:105" ht="20" customHeight="1">
      <c r="A463" s="18">
        <f>ROW()</f>
        <v>463</v>
      </c>
      <c r="B463" s="26" t="str">
        <f t="shared" si="7"/>
        <v/>
      </c>
      <c r="C463" s="140"/>
      <c r="D463" s="141"/>
      <c r="E463" s="141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  <c r="BS463" s="142"/>
      <c r="BT463" s="142"/>
      <c r="BU463" s="142"/>
      <c r="BV463" s="142"/>
      <c r="BW463" s="142"/>
      <c r="BX463" s="142"/>
      <c r="BY463" s="142"/>
      <c r="BZ463" s="142"/>
      <c r="CA463" s="142"/>
      <c r="CB463" s="142"/>
      <c r="CC463" s="142"/>
      <c r="CD463" s="142"/>
      <c r="CE463" s="142"/>
      <c r="CF463" s="142"/>
      <c r="CG463" s="142"/>
      <c r="CH463" s="142"/>
      <c r="CI463" s="142"/>
      <c r="CJ463" s="142"/>
      <c r="CK463" s="142"/>
      <c r="CL463" s="142"/>
      <c r="CM463" s="142"/>
      <c r="CN463" s="142"/>
      <c r="CO463" s="142"/>
      <c r="CP463" s="142"/>
      <c r="CQ463" s="142"/>
      <c r="CR463" s="142"/>
      <c r="CS463" s="142"/>
      <c r="CT463" s="142"/>
      <c r="CU463" s="142"/>
      <c r="CV463" s="142"/>
      <c r="CW463" s="142"/>
      <c r="CX463" s="142"/>
      <c r="CY463" s="142"/>
      <c r="CZ463" s="142"/>
      <c r="DA463" s="144"/>
    </row>
    <row r="464" spans="1:105" ht="20" customHeight="1">
      <c r="A464" s="18">
        <f>ROW()</f>
        <v>464</v>
      </c>
      <c r="B464" s="26" t="str">
        <f t="shared" si="7"/>
        <v/>
      </c>
      <c r="C464" s="140"/>
      <c r="D464" s="141"/>
      <c r="E464" s="141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  <c r="BS464" s="142"/>
      <c r="BT464" s="142"/>
      <c r="BU464" s="142"/>
      <c r="BV464" s="142"/>
      <c r="BW464" s="142"/>
      <c r="BX464" s="142"/>
      <c r="BY464" s="142"/>
      <c r="BZ464" s="142"/>
      <c r="CA464" s="142"/>
      <c r="CB464" s="142"/>
      <c r="CC464" s="142"/>
      <c r="CD464" s="142"/>
      <c r="CE464" s="142"/>
      <c r="CF464" s="142"/>
      <c r="CG464" s="142"/>
      <c r="CH464" s="142"/>
      <c r="CI464" s="142"/>
      <c r="CJ464" s="142"/>
      <c r="CK464" s="142"/>
      <c r="CL464" s="142"/>
      <c r="CM464" s="142"/>
      <c r="CN464" s="142"/>
      <c r="CO464" s="142"/>
      <c r="CP464" s="142"/>
      <c r="CQ464" s="142"/>
      <c r="CR464" s="142"/>
      <c r="CS464" s="142"/>
      <c r="CT464" s="142"/>
      <c r="CU464" s="142"/>
      <c r="CV464" s="142"/>
      <c r="CW464" s="142"/>
      <c r="CX464" s="142"/>
      <c r="CY464" s="142"/>
      <c r="CZ464" s="142"/>
      <c r="DA464" s="144"/>
    </row>
    <row r="465" spans="1:105" ht="20" customHeight="1">
      <c r="A465" s="18">
        <f>ROW()</f>
        <v>465</v>
      </c>
      <c r="B465" s="26" t="str">
        <f t="shared" si="7"/>
        <v/>
      </c>
      <c r="C465" s="140"/>
      <c r="D465" s="141"/>
      <c r="E465" s="141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  <c r="BS465" s="142"/>
      <c r="BT465" s="142"/>
      <c r="BU465" s="142"/>
      <c r="BV465" s="142"/>
      <c r="BW465" s="142"/>
      <c r="BX465" s="142"/>
      <c r="BY465" s="142"/>
      <c r="BZ465" s="142"/>
      <c r="CA465" s="142"/>
      <c r="CB465" s="142"/>
      <c r="CC465" s="142"/>
      <c r="CD465" s="142"/>
      <c r="CE465" s="142"/>
      <c r="CF465" s="142"/>
      <c r="CG465" s="142"/>
      <c r="CH465" s="142"/>
      <c r="CI465" s="142"/>
      <c r="CJ465" s="142"/>
      <c r="CK465" s="142"/>
      <c r="CL465" s="142"/>
      <c r="CM465" s="142"/>
      <c r="CN465" s="142"/>
      <c r="CO465" s="142"/>
      <c r="CP465" s="142"/>
      <c r="CQ465" s="142"/>
      <c r="CR465" s="142"/>
      <c r="CS465" s="142"/>
      <c r="CT465" s="142"/>
      <c r="CU465" s="142"/>
      <c r="CV465" s="142"/>
      <c r="CW465" s="142"/>
      <c r="CX465" s="142"/>
      <c r="CY465" s="142"/>
      <c r="CZ465" s="142"/>
      <c r="DA465" s="144"/>
    </row>
    <row r="466" spans="1:105" ht="20" customHeight="1">
      <c r="A466" s="18">
        <f>ROW()</f>
        <v>466</v>
      </c>
      <c r="B466" s="26" t="str">
        <f t="shared" si="7"/>
        <v/>
      </c>
      <c r="C466" s="140"/>
      <c r="D466" s="141"/>
      <c r="E466" s="141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  <c r="BS466" s="142"/>
      <c r="BT466" s="142"/>
      <c r="BU466" s="142"/>
      <c r="BV466" s="142"/>
      <c r="BW466" s="142"/>
      <c r="BX466" s="142"/>
      <c r="BY466" s="142"/>
      <c r="BZ466" s="142"/>
      <c r="CA466" s="142"/>
      <c r="CB466" s="142"/>
      <c r="CC466" s="142"/>
      <c r="CD466" s="142"/>
      <c r="CE466" s="142"/>
      <c r="CF466" s="142"/>
      <c r="CG466" s="142"/>
      <c r="CH466" s="142"/>
      <c r="CI466" s="142"/>
      <c r="CJ466" s="142"/>
      <c r="CK466" s="142"/>
      <c r="CL466" s="142"/>
      <c r="CM466" s="142"/>
      <c r="CN466" s="142"/>
      <c r="CO466" s="142"/>
      <c r="CP466" s="142"/>
      <c r="CQ466" s="142"/>
      <c r="CR466" s="142"/>
      <c r="CS466" s="142"/>
      <c r="CT466" s="142"/>
      <c r="CU466" s="142"/>
      <c r="CV466" s="142"/>
      <c r="CW466" s="142"/>
      <c r="CX466" s="142"/>
      <c r="CY466" s="142"/>
      <c r="CZ466" s="142"/>
      <c r="DA466" s="144"/>
    </row>
    <row r="467" spans="1:105" ht="20" customHeight="1">
      <c r="A467" s="18">
        <f>ROW()</f>
        <v>467</v>
      </c>
      <c r="B467" s="26" t="str">
        <f t="shared" si="7"/>
        <v/>
      </c>
      <c r="C467" s="140"/>
      <c r="D467" s="141"/>
      <c r="E467" s="141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  <c r="BS467" s="142"/>
      <c r="BT467" s="142"/>
      <c r="BU467" s="142"/>
      <c r="BV467" s="142"/>
      <c r="BW467" s="142"/>
      <c r="BX467" s="142"/>
      <c r="BY467" s="142"/>
      <c r="BZ467" s="142"/>
      <c r="CA467" s="142"/>
      <c r="CB467" s="142"/>
      <c r="CC467" s="142"/>
      <c r="CD467" s="142"/>
      <c r="CE467" s="142"/>
      <c r="CF467" s="142"/>
      <c r="CG467" s="142"/>
      <c r="CH467" s="142"/>
      <c r="CI467" s="142"/>
      <c r="CJ467" s="142"/>
      <c r="CK467" s="142"/>
      <c r="CL467" s="142"/>
      <c r="CM467" s="142"/>
      <c r="CN467" s="142"/>
      <c r="CO467" s="142"/>
      <c r="CP467" s="142"/>
      <c r="CQ467" s="142"/>
      <c r="CR467" s="142"/>
      <c r="CS467" s="142"/>
      <c r="CT467" s="142"/>
      <c r="CU467" s="142"/>
      <c r="CV467" s="142"/>
      <c r="CW467" s="142"/>
      <c r="CX467" s="142"/>
      <c r="CY467" s="142"/>
      <c r="CZ467" s="142"/>
      <c r="DA467" s="144"/>
    </row>
    <row r="468" spans="1:105" ht="20" customHeight="1">
      <c r="A468" s="18">
        <f>ROW()</f>
        <v>468</v>
      </c>
      <c r="B468" s="26" t="str">
        <f t="shared" si="7"/>
        <v/>
      </c>
      <c r="C468" s="140"/>
      <c r="D468" s="141"/>
      <c r="E468" s="141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  <c r="BS468" s="142"/>
      <c r="BT468" s="142"/>
      <c r="BU468" s="142"/>
      <c r="BV468" s="142"/>
      <c r="BW468" s="142"/>
      <c r="BX468" s="142"/>
      <c r="BY468" s="142"/>
      <c r="BZ468" s="142"/>
      <c r="CA468" s="142"/>
      <c r="CB468" s="142"/>
      <c r="CC468" s="142"/>
      <c r="CD468" s="142"/>
      <c r="CE468" s="142"/>
      <c r="CF468" s="142"/>
      <c r="CG468" s="142"/>
      <c r="CH468" s="142"/>
      <c r="CI468" s="142"/>
      <c r="CJ468" s="142"/>
      <c r="CK468" s="142"/>
      <c r="CL468" s="142"/>
      <c r="CM468" s="142"/>
      <c r="CN468" s="142"/>
      <c r="CO468" s="142"/>
      <c r="CP468" s="142"/>
      <c r="CQ468" s="142"/>
      <c r="CR468" s="142"/>
      <c r="CS468" s="142"/>
      <c r="CT468" s="142"/>
      <c r="CU468" s="142"/>
      <c r="CV468" s="142"/>
      <c r="CW468" s="142"/>
      <c r="CX468" s="142"/>
      <c r="CY468" s="142"/>
      <c r="CZ468" s="142"/>
      <c r="DA468" s="144"/>
    </row>
    <row r="469" spans="1:105" ht="20" customHeight="1">
      <c r="A469" s="18">
        <f>ROW()</f>
        <v>469</v>
      </c>
      <c r="B469" s="26" t="str">
        <f t="shared" si="7"/>
        <v/>
      </c>
      <c r="C469" s="140"/>
      <c r="D469" s="141"/>
      <c r="E469" s="141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  <c r="BS469" s="142"/>
      <c r="BT469" s="142"/>
      <c r="BU469" s="142"/>
      <c r="BV469" s="142"/>
      <c r="BW469" s="142"/>
      <c r="BX469" s="142"/>
      <c r="BY469" s="142"/>
      <c r="BZ469" s="142"/>
      <c r="CA469" s="142"/>
      <c r="CB469" s="142"/>
      <c r="CC469" s="142"/>
      <c r="CD469" s="142"/>
      <c r="CE469" s="142"/>
      <c r="CF469" s="142"/>
      <c r="CG469" s="142"/>
      <c r="CH469" s="142"/>
      <c r="CI469" s="142"/>
      <c r="CJ469" s="142"/>
      <c r="CK469" s="142"/>
      <c r="CL469" s="142"/>
      <c r="CM469" s="142"/>
      <c r="CN469" s="142"/>
      <c r="CO469" s="142"/>
      <c r="CP469" s="142"/>
      <c r="CQ469" s="142"/>
      <c r="CR469" s="142"/>
      <c r="CS469" s="142"/>
      <c r="CT469" s="142"/>
      <c r="CU469" s="142"/>
      <c r="CV469" s="142"/>
      <c r="CW469" s="142"/>
      <c r="CX469" s="142"/>
      <c r="CY469" s="142"/>
      <c r="CZ469" s="142"/>
      <c r="DA469" s="144"/>
    </row>
    <row r="470" spans="1:105" ht="20" customHeight="1">
      <c r="A470" s="18">
        <f>ROW()</f>
        <v>470</v>
      </c>
      <c r="B470" s="26" t="str">
        <f t="shared" si="7"/>
        <v/>
      </c>
      <c r="C470" s="140"/>
      <c r="D470" s="141"/>
      <c r="E470" s="141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  <c r="BS470" s="142"/>
      <c r="BT470" s="142"/>
      <c r="BU470" s="142"/>
      <c r="BV470" s="142"/>
      <c r="BW470" s="142"/>
      <c r="BX470" s="142"/>
      <c r="BY470" s="142"/>
      <c r="BZ470" s="142"/>
      <c r="CA470" s="142"/>
      <c r="CB470" s="142"/>
      <c r="CC470" s="142"/>
      <c r="CD470" s="142"/>
      <c r="CE470" s="142"/>
      <c r="CF470" s="142"/>
      <c r="CG470" s="142"/>
      <c r="CH470" s="142"/>
      <c r="CI470" s="142"/>
      <c r="CJ470" s="142"/>
      <c r="CK470" s="142"/>
      <c r="CL470" s="142"/>
      <c r="CM470" s="142"/>
      <c r="CN470" s="142"/>
      <c r="CO470" s="142"/>
      <c r="CP470" s="142"/>
      <c r="CQ470" s="142"/>
      <c r="CR470" s="142"/>
      <c r="CS470" s="142"/>
      <c r="CT470" s="142"/>
      <c r="CU470" s="142"/>
      <c r="CV470" s="142"/>
      <c r="CW470" s="142"/>
      <c r="CX470" s="142"/>
      <c r="CY470" s="142"/>
      <c r="CZ470" s="142"/>
      <c r="DA470" s="144"/>
    </row>
    <row r="471" spans="1:105" ht="20" customHeight="1">
      <c r="A471" s="18">
        <f>ROW()</f>
        <v>471</v>
      </c>
      <c r="B471" s="26" t="str">
        <f t="shared" si="7"/>
        <v/>
      </c>
      <c r="C471" s="140"/>
      <c r="D471" s="141"/>
      <c r="E471" s="141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  <c r="BS471" s="142"/>
      <c r="BT471" s="142"/>
      <c r="BU471" s="142"/>
      <c r="BV471" s="142"/>
      <c r="BW471" s="142"/>
      <c r="BX471" s="142"/>
      <c r="BY471" s="142"/>
      <c r="BZ471" s="142"/>
      <c r="CA471" s="142"/>
      <c r="CB471" s="142"/>
      <c r="CC471" s="142"/>
      <c r="CD471" s="142"/>
      <c r="CE471" s="142"/>
      <c r="CF471" s="142"/>
      <c r="CG471" s="142"/>
      <c r="CH471" s="142"/>
      <c r="CI471" s="142"/>
      <c r="CJ471" s="142"/>
      <c r="CK471" s="142"/>
      <c r="CL471" s="142"/>
      <c r="CM471" s="142"/>
      <c r="CN471" s="142"/>
      <c r="CO471" s="142"/>
      <c r="CP471" s="142"/>
      <c r="CQ471" s="142"/>
      <c r="CR471" s="142"/>
      <c r="CS471" s="142"/>
      <c r="CT471" s="142"/>
      <c r="CU471" s="142"/>
      <c r="CV471" s="142"/>
      <c r="CW471" s="142"/>
      <c r="CX471" s="142"/>
      <c r="CY471" s="142"/>
      <c r="CZ471" s="142"/>
      <c r="DA471" s="144"/>
    </row>
    <row r="472" spans="1:105" ht="20" customHeight="1">
      <c r="A472" s="18">
        <f>ROW()</f>
        <v>472</v>
      </c>
      <c r="B472" s="26" t="str">
        <f t="shared" si="7"/>
        <v/>
      </c>
      <c r="C472" s="140"/>
      <c r="D472" s="141"/>
      <c r="E472" s="141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  <c r="BS472" s="142"/>
      <c r="BT472" s="142"/>
      <c r="BU472" s="142"/>
      <c r="BV472" s="142"/>
      <c r="BW472" s="142"/>
      <c r="BX472" s="142"/>
      <c r="BY472" s="142"/>
      <c r="BZ472" s="142"/>
      <c r="CA472" s="142"/>
      <c r="CB472" s="142"/>
      <c r="CC472" s="142"/>
      <c r="CD472" s="142"/>
      <c r="CE472" s="142"/>
      <c r="CF472" s="142"/>
      <c r="CG472" s="142"/>
      <c r="CH472" s="142"/>
      <c r="CI472" s="142"/>
      <c r="CJ472" s="142"/>
      <c r="CK472" s="142"/>
      <c r="CL472" s="142"/>
      <c r="CM472" s="142"/>
      <c r="CN472" s="142"/>
      <c r="CO472" s="142"/>
      <c r="CP472" s="142"/>
      <c r="CQ472" s="142"/>
      <c r="CR472" s="142"/>
      <c r="CS472" s="142"/>
      <c r="CT472" s="142"/>
      <c r="CU472" s="142"/>
      <c r="CV472" s="142"/>
      <c r="CW472" s="142"/>
      <c r="CX472" s="142"/>
      <c r="CY472" s="142"/>
      <c r="CZ472" s="142"/>
      <c r="DA472" s="144"/>
    </row>
    <row r="473" spans="1:105" ht="20" customHeight="1">
      <c r="A473" s="18">
        <f>ROW()</f>
        <v>473</v>
      </c>
      <c r="B473" s="26" t="str">
        <f t="shared" si="7"/>
        <v/>
      </c>
      <c r="C473" s="140"/>
      <c r="D473" s="141"/>
      <c r="E473" s="141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  <c r="BS473" s="142"/>
      <c r="BT473" s="142"/>
      <c r="BU473" s="142"/>
      <c r="BV473" s="142"/>
      <c r="BW473" s="142"/>
      <c r="BX473" s="142"/>
      <c r="BY473" s="142"/>
      <c r="BZ473" s="142"/>
      <c r="CA473" s="142"/>
      <c r="CB473" s="142"/>
      <c r="CC473" s="142"/>
      <c r="CD473" s="142"/>
      <c r="CE473" s="142"/>
      <c r="CF473" s="142"/>
      <c r="CG473" s="142"/>
      <c r="CH473" s="142"/>
      <c r="CI473" s="142"/>
      <c r="CJ473" s="142"/>
      <c r="CK473" s="142"/>
      <c r="CL473" s="142"/>
      <c r="CM473" s="142"/>
      <c r="CN473" s="142"/>
      <c r="CO473" s="142"/>
      <c r="CP473" s="142"/>
      <c r="CQ473" s="142"/>
      <c r="CR473" s="142"/>
      <c r="CS473" s="142"/>
      <c r="CT473" s="142"/>
      <c r="CU473" s="142"/>
      <c r="CV473" s="142"/>
      <c r="CW473" s="142"/>
      <c r="CX473" s="142"/>
      <c r="CY473" s="142"/>
      <c r="CZ473" s="142"/>
      <c r="DA473" s="144"/>
    </row>
    <row r="474" spans="1:105" ht="20" customHeight="1">
      <c r="A474" s="18">
        <f>ROW()</f>
        <v>474</v>
      </c>
      <c r="B474" s="26" t="str">
        <f t="shared" si="7"/>
        <v/>
      </c>
      <c r="C474" s="140"/>
      <c r="D474" s="141"/>
      <c r="E474" s="141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  <c r="BS474" s="142"/>
      <c r="BT474" s="142"/>
      <c r="BU474" s="142"/>
      <c r="BV474" s="142"/>
      <c r="BW474" s="142"/>
      <c r="BX474" s="142"/>
      <c r="BY474" s="142"/>
      <c r="BZ474" s="142"/>
      <c r="CA474" s="142"/>
      <c r="CB474" s="142"/>
      <c r="CC474" s="142"/>
      <c r="CD474" s="142"/>
      <c r="CE474" s="142"/>
      <c r="CF474" s="142"/>
      <c r="CG474" s="142"/>
      <c r="CH474" s="142"/>
      <c r="CI474" s="142"/>
      <c r="CJ474" s="142"/>
      <c r="CK474" s="142"/>
      <c r="CL474" s="142"/>
      <c r="CM474" s="142"/>
      <c r="CN474" s="142"/>
      <c r="CO474" s="142"/>
      <c r="CP474" s="142"/>
      <c r="CQ474" s="142"/>
      <c r="CR474" s="142"/>
      <c r="CS474" s="142"/>
      <c r="CT474" s="142"/>
      <c r="CU474" s="142"/>
      <c r="CV474" s="142"/>
      <c r="CW474" s="142"/>
      <c r="CX474" s="142"/>
      <c r="CY474" s="142"/>
      <c r="CZ474" s="142"/>
      <c r="DA474" s="144"/>
    </row>
    <row r="475" spans="1:105" ht="20" customHeight="1">
      <c r="A475" s="18">
        <f>ROW()</f>
        <v>475</v>
      </c>
      <c r="B475" s="26" t="str">
        <f t="shared" si="7"/>
        <v/>
      </c>
      <c r="C475" s="140"/>
      <c r="D475" s="141"/>
      <c r="E475" s="141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  <c r="BS475" s="142"/>
      <c r="BT475" s="142"/>
      <c r="BU475" s="142"/>
      <c r="BV475" s="142"/>
      <c r="BW475" s="142"/>
      <c r="BX475" s="142"/>
      <c r="BY475" s="142"/>
      <c r="BZ475" s="142"/>
      <c r="CA475" s="142"/>
      <c r="CB475" s="142"/>
      <c r="CC475" s="142"/>
      <c r="CD475" s="142"/>
      <c r="CE475" s="142"/>
      <c r="CF475" s="142"/>
      <c r="CG475" s="142"/>
      <c r="CH475" s="142"/>
      <c r="CI475" s="142"/>
      <c r="CJ475" s="142"/>
      <c r="CK475" s="142"/>
      <c r="CL475" s="142"/>
      <c r="CM475" s="142"/>
      <c r="CN475" s="142"/>
      <c r="CO475" s="142"/>
      <c r="CP475" s="142"/>
      <c r="CQ475" s="142"/>
      <c r="CR475" s="142"/>
      <c r="CS475" s="142"/>
      <c r="CT475" s="142"/>
      <c r="CU475" s="142"/>
      <c r="CV475" s="142"/>
      <c r="CW475" s="142"/>
      <c r="CX475" s="142"/>
      <c r="CY475" s="142"/>
      <c r="CZ475" s="142"/>
      <c r="DA475" s="144"/>
    </row>
    <row r="476" spans="1:105" ht="20" customHeight="1">
      <c r="A476" s="18">
        <f>ROW()</f>
        <v>476</v>
      </c>
      <c r="B476" s="26" t="str">
        <f t="shared" si="7"/>
        <v/>
      </c>
      <c r="C476" s="140"/>
      <c r="D476" s="141"/>
      <c r="E476" s="141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  <c r="BS476" s="142"/>
      <c r="BT476" s="142"/>
      <c r="BU476" s="142"/>
      <c r="BV476" s="142"/>
      <c r="BW476" s="142"/>
      <c r="BX476" s="142"/>
      <c r="BY476" s="142"/>
      <c r="BZ476" s="142"/>
      <c r="CA476" s="142"/>
      <c r="CB476" s="142"/>
      <c r="CC476" s="142"/>
      <c r="CD476" s="142"/>
      <c r="CE476" s="142"/>
      <c r="CF476" s="142"/>
      <c r="CG476" s="142"/>
      <c r="CH476" s="142"/>
      <c r="CI476" s="142"/>
      <c r="CJ476" s="142"/>
      <c r="CK476" s="142"/>
      <c r="CL476" s="142"/>
      <c r="CM476" s="142"/>
      <c r="CN476" s="142"/>
      <c r="CO476" s="142"/>
      <c r="CP476" s="142"/>
      <c r="CQ476" s="142"/>
      <c r="CR476" s="142"/>
      <c r="CS476" s="142"/>
      <c r="CT476" s="142"/>
      <c r="CU476" s="142"/>
      <c r="CV476" s="142"/>
      <c r="CW476" s="142"/>
      <c r="CX476" s="142"/>
      <c r="CY476" s="142"/>
      <c r="CZ476" s="142"/>
      <c r="DA476" s="144"/>
    </row>
    <row r="477" spans="1:105" ht="20" customHeight="1">
      <c r="A477" s="18">
        <f>ROW()</f>
        <v>477</v>
      </c>
      <c r="B477" s="26" t="str">
        <f t="shared" si="7"/>
        <v/>
      </c>
      <c r="C477" s="140"/>
      <c r="D477" s="141"/>
      <c r="E477" s="141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  <c r="BS477" s="142"/>
      <c r="BT477" s="142"/>
      <c r="BU477" s="142"/>
      <c r="BV477" s="142"/>
      <c r="BW477" s="142"/>
      <c r="BX477" s="142"/>
      <c r="BY477" s="142"/>
      <c r="BZ477" s="142"/>
      <c r="CA477" s="142"/>
      <c r="CB477" s="142"/>
      <c r="CC477" s="142"/>
      <c r="CD477" s="142"/>
      <c r="CE477" s="142"/>
      <c r="CF477" s="142"/>
      <c r="CG477" s="142"/>
      <c r="CH477" s="142"/>
      <c r="CI477" s="142"/>
      <c r="CJ477" s="142"/>
      <c r="CK477" s="142"/>
      <c r="CL477" s="142"/>
      <c r="CM477" s="142"/>
      <c r="CN477" s="142"/>
      <c r="CO477" s="142"/>
      <c r="CP477" s="142"/>
      <c r="CQ477" s="142"/>
      <c r="CR477" s="142"/>
      <c r="CS477" s="142"/>
      <c r="CT477" s="142"/>
      <c r="CU477" s="142"/>
      <c r="CV477" s="142"/>
      <c r="CW477" s="142"/>
      <c r="CX477" s="142"/>
      <c r="CY477" s="142"/>
      <c r="CZ477" s="142"/>
      <c r="DA477" s="144"/>
    </row>
    <row r="478" spans="1:105" ht="20" customHeight="1">
      <c r="A478" s="18">
        <f>ROW()</f>
        <v>478</v>
      </c>
      <c r="B478" s="26" t="str">
        <f t="shared" si="7"/>
        <v/>
      </c>
      <c r="C478" s="140"/>
      <c r="D478" s="141"/>
      <c r="E478" s="141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  <c r="BS478" s="142"/>
      <c r="BT478" s="142"/>
      <c r="BU478" s="142"/>
      <c r="BV478" s="142"/>
      <c r="BW478" s="142"/>
      <c r="BX478" s="142"/>
      <c r="BY478" s="142"/>
      <c r="BZ478" s="142"/>
      <c r="CA478" s="142"/>
      <c r="CB478" s="142"/>
      <c r="CC478" s="142"/>
      <c r="CD478" s="142"/>
      <c r="CE478" s="142"/>
      <c r="CF478" s="142"/>
      <c r="CG478" s="142"/>
      <c r="CH478" s="142"/>
      <c r="CI478" s="142"/>
      <c r="CJ478" s="142"/>
      <c r="CK478" s="142"/>
      <c r="CL478" s="142"/>
      <c r="CM478" s="142"/>
      <c r="CN478" s="142"/>
      <c r="CO478" s="142"/>
      <c r="CP478" s="142"/>
      <c r="CQ478" s="142"/>
      <c r="CR478" s="142"/>
      <c r="CS478" s="142"/>
      <c r="CT478" s="142"/>
      <c r="CU478" s="142"/>
      <c r="CV478" s="142"/>
      <c r="CW478" s="142"/>
      <c r="CX478" s="142"/>
      <c r="CY478" s="142"/>
      <c r="CZ478" s="142"/>
      <c r="DA478" s="144"/>
    </row>
    <row r="479" spans="1:105" ht="20" customHeight="1">
      <c r="A479" s="18">
        <f>ROW()</f>
        <v>479</v>
      </c>
      <c r="B479" s="26" t="str">
        <f t="shared" si="7"/>
        <v/>
      </c>
      <c r="C479" s="140"/>
      <c r="D479" s="141"/>
      <c r="E479" s="141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  <c r="BK479" s="142"/>
      <c r="BL479" s="142"/>
      <c r="BM479" s="142"/>
      <c r="BN479" s="142"/>
      <c r="BO479" s="142"/>
      <c r="BP479" s="142"/>
      <c r="BQ479" s="142"/>
      <c r="BR479" s="142"/>
      <c r="BS479" s="142"/>
      <c r="BT479" s="142"/>
      <c r="BU479" s="142"/>
      <c r="BV479" s="142"/>
      <c r="BW479" s="142"/>
      <c r="BX479" s="142"/>
      <c r="BY479" s="142"/>
      <c r="BZ479" s="142"/>
      <c r="CA479" s="142"/>
      <c r="CB479" s="142"/>
      <c r="CC479" s="142"/>
      <c r="CD479" s="142"/>
      <c r="CE479" s="142"/>
      <c r="CF479" s="142"/>
      <c r="CG479" s="142"/>
      <c r="CH479" s="142"/>
      <c r="CI479" s="142"/>
      <c r="CJ479" s="142"/>
      <c r="CK479" s="142"/>
      <c r="CL479" s="142"/>
      <c r="CM479" s="142"/>
      <c r="CN479" s="142"/>
      <c r="CO479" s="142"/>
      <c r="CP479" s="142"/>
      <c r="CQ479" s="142"/>
      <c r="CR479" s="142"/>
      <c r="CS479" s="142"/>
      <c r="CT479" s="142"/>
      <c r="CU479" s="142"/>
      <c r="CV479" s="142"/>
      <c r="CW479" s="142"/>
      <c r="CX479" s="142"/>
      <c r="CY479" s="142"/>
      <c r="CZ479" s="142"/>
      <c r="DA479" s="144"/>
    </row>
    <row r="480" spans="1:105" ht="20" customHeight="1">
      <c r="A480" s="18">
        <f>ROW()</f>
        <v>480</v>
      </c>
      <c r="B480" s="26" t="str">
        <f t="shared" si="7"/>
        <v/>
      </c>
      <c r="C480" s="140"/>
      <c r="D480" s="141"/>
      <c r="E480" s="141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  <c r="BS480" s="142"/>
      <c r="BT480" s="142"/>
      <c r="BU480" s="142"/>
      <c r="BV480" s="142"/>
      <c r="BW480" s="142"/>
      <c r="BX480" s="142"/>
      <c r="BY480" s="142"/>
      <c r="BZ480" s="142"/>
      <c r="CA480" s="142"/>
      <c r="CB480" s="142"/>
      <c r="CC480" s="142"/>
      <c r="CD480" s="142"/>
      <c r="CE480" s="142"/>
      <c r="CF480" s="142"/>
      <c r="CG480" s="142"/>
      <c r="CH480" s="142"/>
      <c r="CI480" s="142"/>
      <c r="CJ480" s="142"/>
      <c r="CK480" s="142"/>
      <c r="CL480" s="142"/>
      <c r="CM480" s="142"/>
      <c r="CN480" s="142"/>
      <c r="CO480" s="142"/>
      <c r="CP480" s="142"/>
      <c r="CQ480" s="142"/>
      <c r="CR480" s="142"/>
      <c r="CS480" s="142"/>
      <c r="CT480" s="142"/>
      <c r="CU480" s="142"/>
      <c r="CV480" s="142"/>
      <c r="CW480" s="142"/>
      <c r="CX480" s="142"/>
      <c r="CY480" s="142"/>
      <c r="CZ480" s="142"/>
      <c r="DA480" s="144"/>
    </row>
    <row r="481" spans="1:105" ht="20" customHeight="1">
      <c r="A481" s="18">
        <f>ROW()</f>
        <v>481</v>
      </c>
      <c r="B481" s="26" t="str">
        <f t="shared" si="7"/>
        <v/>
      </c>
      <c r="C481" s="140"/>
      <c r="D481" s="141"/>
      <c r="E481" s="141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  <c r="BS481" s="142"/>
      <c r="BT481" s="142"/>
      <c r="BU481" s="142"/>
      <c r="BV481" s="142"/>
      <c r="BW481" s="142"/>
      <c r="BX481" s="142"/>
      <c r="BY481" s="142"/>
      <c r="BZ481" s="142"/>
      <c r="CA481" s="142"/>
      <c r="CB481" s="142"/>
      <c r="CC481" s="142"/>
      <c r="CD481" s="142"/>
      <c r="CE481" s="142"/>
      <c r="CF481" s="142"/>
      <c r="CG481" s="142"/>
      <c r="CH481" s="142"/>
      <c r="CI481" s="142"/>
      <c r="CJ481" s="142"/>
      <c r="CK481" s="142"/>
      <c r="CL481" s="142"/>
      <c r="CM481" s="142"/>
      <c r="CN481" s="142"/>
      <c r="CO481" s="142"/>
      <c r="CP481" s="142"/>
      <c r="CQ481" s="142"/>
      <c r="CR481" s="142"/>
      <c r="CS481" s="142"/>
      <c r="CT481" s="142"/>
      <c r="CU481" s="142"/>
      <c r="CV481" s="142"/>
      <c r="CW481" s="142"/>
      <c r="CX481" s="142"/>
      <c r="CY481" s="142"/>
      <c r="CZ481" s="142"/>
      <c r="DA481" s="144"/>
    </row>
    <row r="482" spans="1:105" ht="20" customHeight="1">
      <c r="A482" s="18">
        <f>ROW()</f>
        <v>482</v>
      </c>
      <c r="B482" s="26" t="str">
        <f t="shared" si="7"/>
        <v/>
      </c>
      <c r="C482" s="140"/>
      <c r="D482" s="141"/>
      <c r="E482" s="141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  <c r="BS482" s="142"/>
      <c r="BT482" s="142"/>
      <c r="BU482" s="142"/>
      <c r="BV482" s="142"/>
      <c r="BW482" s="142"/>
      <c r="BX482" s="142"/>
      <c r="BY482" s="142"/>
      <c r="BZ482" s="142"/>
      <c r="CA482" s="142"/>
      <c r="CB482" s="142"/>
      <c r="CC482" s="142"/>
      <c r="CD482" s="142"/>
      <c r="CE482" s="142"/>
      <c r="CF482" s="142"/>
      <c r="CG482" s="142"/>
      <c r="CH482" s="142"/>
      <c r="CI482" s="142"/>
      <c r="CJ482" s="142"/>
      <c r="CK482" s="142"/>
      <c r="CL482" s="142"/>
      <c r="CM482" s="142"/>
      <c r="CN482" s="142"/>
      <c r="CO482" s="142"/>
      <c r="CP482" s="142"/>
      <c r="CQ482" s="142"/>
      <c r="CR482" s="142"/>
      <c r="CS482" s="142"/>
      <c r="CT482" s="142"/>
      <c r="CU482" s="142"/>
      <c r="CV482" s="142"/>
      <c r="CW482" s="142"/>
      <c r="CX482" s="142"/>
      <c r="CY482" s="142"/>
      <c r="CZ482" s="142"/>
      <c r="DA482" s="144"/>
    </row>
    <row r="483" spans="1:105" ht="20" customHeight="1">
      <c r="A483" s="18">
        <f>ROW()</f>
        <v>483</v>
      </c>
      <c r="B483" s="26" t="str">
        <f t="shared" si="7"/>
        <v/>
      </c>
      <c r="C483" s="140"/>
      <c r="D483" s="141"/>
      <c r="E483" s="141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  <c r="BS483" s="142"/>
      <c r="BT483" s="142"/>
      <c r="BU483" s="142"/>
      <c r="BV483" s="142"/>
      <c r="BW483" s="142"/>
      <c r="BX483" s="142"/>
      <c r="BY483" s="142"/>
      <c r="BZ483" s="142"/>
      <c r="CA483" s="142"/>
      <c r="CB483" s="142"/>
      <c r="CC483" s="142"/>
      <c r="CD483" s="142"/>
      <c r="CE483" s="142"/>
      <c r="CF483" s="142"/>
      <c r="CG483" s="142"/>
      <c r="CH483" s="142"/>
      <c r="CI483" s="142"/>
      <c r="CJ483" s="142"/>
      <c r="CK483" s="142"/>
      <c r="CL483" s="142"/>
      <c r="CM483" s="142"/>
      <c r="CN483" s="142"/>
      <c r="CO483" s="142"/>
      <c r="CP483" s="142"/>
      <c r="CQ483" s="142"/>
      <c r="CR483" s="142"/>
      <c r="CS483" s="142"/>
      <c r="CT483" s="142"/>
      <c r="CU483" s="142"/>
      <c r="CV483" s="142"/>
      <c r="CW483" s="142"/>
      <c r="CX483" s="142"/>
      <c r="CY483" s="142"/>
      <c r="CZ483" s="142"/>
      <c r="DA483" s="144"/>
    </row>
    <row r="484" spans="1:105" ht="20" customHeight="1">
      <c r="A484" s="18">
        <f>ROW()</f>
        <v>484</v>
      </c>
      <c r="B484" s="26" t="str">
        <f t="shared" si="7"/>
        <v/>
      </c>
      <c r="C484" s="140"/>
      <c r="D484" s="141"/>
      <c r="E484" s="141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  <c r="BS484" s="142"/>
      <c r="BT484" s="142"/>
      <c r="BU484" s="142"/>
      <c r="BV484" s="142"/>
      <c r="BW484" s="142"/>
      <c r="BX484" s="142"/>
      <c r="BY484" s="142"/>
      <c r="BZ484" s="142"/>
      <c r="CA484" s="142"/>
      <c r="CB484" s="142"/>
      <c r="CC484" s="142"/>
      <c r="CD484" s="142"/>
      <c r="CE484" s="142"/>
      <c r="CF484" s="142"/>
      <c r="CG484" s="142"/>
      <c r="CH484" s="142"/>
      <c r="CI484" s="142"/>
      <c r="CJ484" s="142"/>
      <c r="CK484" s="142"/>
      <c r="CL484" s="142"/>
      <c r="CM484" s="142"/>
      <c r="CN484" s="142"/>
      <c r="CO484" s="142"/>
      <c r="CP484" s="142"/>
      <c r="CQ484" s="142"/>
      <c r="CR484" s="142"/>
      <c r="CS484" s="142"/>
      <c r="CT484" s="142"/>
      <c r="CU484" s="142"/>
      <c r="CV484" s="142"/>
      <c r="CW484" s="142"/>
      <c r="CX484" s="142"/>
      <c r="CY484" s="142"/>
      <c r="CZ484" s="142"/>
      <c r="DA484" s="144"/>
    </row>
    <row r="485" spans="1:105" ht="20" customHeight="1">
      <c r="A485" s="18">
        <f>ROW()</f>
        <v>485</v>
      </c>
      <c r="B485" s="26" t="str">
        <f t="shared" si="7"/>
        <v/>
      </c>
      <c r="C485" s="140"/>
      <c r="D485" s="141"/>
      <c r="E485" s="141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  <c r="BS485" s="142"/>
      <c r="BT485" s="142"/>
      <c r="BU485" s="142"/>
      <c r="BV485" s="142"/>
      <c r="BW485" s="142"/>
      <c r="BX485" s="142"/>
      <c r="BY485" s="142"/>
      <c r="BZ485" s="142"/>
      <c r="CA485" s="142"/>
      <c r="CB485" s="142"/>
      <c r="CC485" s="142"/>
      <c r="CD485" s="142"/>
      <c r="CE485" s="142"/>
      <c r="CF485" s="142"/>
      <c r="CG485" s="142"/>
      <c r="CH485" s="142"/>
      <c r="CI485" s="142"/>
      <c r="CJ485" s="142"/>
      <c r="CK485" s="142"/>
      <c r="CL485" s="142"/>
      <c r="CM485" s="142"/>
      <c r="CN485" s="142"/>
      <c r="CO485" s="142"/>
      <c r="CP485" s="142"/>
      <c r="CQ485" s="142"/>
      <c r="CR485" s="142"/>
      <c r="CS485" s="142"/>
      <c r="CT485" s="142"/>
      <c r="CU485" s="142"/>
      <c r="CV485" s="142"/>
      <c r="CW485" s="142"/>
      <c r="CX485" s="142"/>
      <c r="CY485" s="142"/>
      <c r="CZ485" s="142"/>
      <c r="DA485" s="144"/>
    </row>
    <row r="486" spans="1:105" ht="20" customHeight="1">
      <c r="A486" s="18">
        <f>ROW()</f>
        <v>486</v>
      </c>
      <c r="B486" s="26" t="str">
        <f t="shared" si="7"/>
        <v/>
      </c>
      <c r="C486" s="140"/>
      <c r="D486" s="141"/>
      <c r="E486" s="141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  <c r="BS486" s="142"/>
      <c r="BT486" s="142"/>
      <c r="BU486" s="142"/>
      <c r="BV486" s="142"/>
      <c r="BW486" s="142"/>
      <c r="BX486" s="142"/>
      <c r="BY486" s="142"/>
      <c r="BZ486" s="142"/>
      <c r="CA486" s="142"/>
      <c r="CB486" s="142"/>
      <c r="CC486" s="142"/>
      <c r="CD486" s="142"/>
      <c r="CE486" s="142"/>
      <c r="CF486" s="142"/>
      <c r="CG486" s="142"/>
      <c r="CH486" s="142"/>
      <c r="CI486" s="142"/>
      <c r="CJ486" s="142"/>
      <c r="CK486" s="142"/>
      <c r="CL486" s="142"/>
      <c r="CM486" s="142"/>
      <c r="CN486" s="142"/>
      <c r="CO486" s="142"/>
      <c r="CP486" s="142"/>
      <c r="CQ486" s="142"/>
      <c r="CR486" s="142"/>
      <c r="CS486" s="142"/>
      <c r="CT486" s="142"/>
      <c r="CU486" s="142"/>
      <c r="CV486" s="142"/>
      <c r="CW486" s="142"/>
      <c r="CX486" s="142"/>
      <c r="CY486" s="142"/>
      <c r="CZ486" s="142"/>
      <c r="DA486" s="144"/>
    </row>
    <row r="487" spans="1:105" ht="20" customHeight="1">
      <c r="A487" s="18">
        <f>ROW()</f>
        <v>487</v>
      </c>
      <c r="B487" s="26" t="str">
        <f t="shared" si="7"/>
        <v/>
      </c>
      <c r="C487" s="140"/>
      <c r="D487" s="141"/>
      <c r="E487" s="141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  <c r="BS487" s="142"/>
      <c r="BT487" s="142"/>
      <c r="BU487" s="142"/>
      <c r="BV487" s="142"/>
      <c r="BW487" s="142"/>
      <c r="BX487" s="142"/>
      <c r="BY487" s="142"/>
      <c r="BZ487" s="142"/>
      <c r="CA487" s="142"/>
      <c r="CB487" s="142"/>
      <c r="CC487" s="142"/>
      <c r="CD487" s="142"/>
      <c r="CE487" s="142"/>
      <c r="CF487" s="142"/>
      <c r="CG487" s="142"/>
      <c r="CH487" s="142"/>
      <c r="CI487" s="142"/>
      <c r="CJ487" s="142"/>
      <c r="CK487" s="142"/>
      <c r="CL487" s="142"/>
      <c r="CM487" s="142"/>
      <c r="CN487" s="142"/>
      <c r="CO487" s="142"/>
      <c r="CP487" s="142"/>
      <c r="CQ487" s="142"/>
      <c r="CR487" s="142"/>
      <c r="CS487" s="142"/>
      <c r="CT487" s="142"/>
      <c r="CU487" s="142"/>
      <c r="CV487" s="142"/>
      <c r="CW487" s="142"/>
      <c r="CX487" s="142"/>
      <c r="CY487" s="142"/>
      <c r="CZ487" s="142"/>
      <c r="DA487" s="144"/>
    </row>
    <row r="488" spans="1:105" ht="20" customHeight="1">
      <c r="A488" s="18">
        <f>ROW()</f>
        <v>488</v>
      </c>
      <c r="B488" s="26" t="str">
        <f t="shared" si="7"/>
        <v/>
      </c>
      <c r="C488" s="140"/>
      <c r="D488" s="141"/>
      <c r="E488" s="141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  <c r="BS488" s="142"/>
      <c r="BT488" s="142"/>
      <c r="BU488" s="142"/>
      <c r="BV488" s="142"/>
      <c r="BW488" s="142"/>
      <c r="BX488" s="142"/>
      <c r="BY488" s="142"/>
      <c r="BZ488" s="142"/>
      <c r="CA488" s="142"/>
      <c r="CB488" s="142"/>
      <c r="CC488" s="142"/>
      <c r="CD488" s="142"/>
      <c r="CE488" s="142"/>
      <c r="CF488" s="142"/>
      <c r="CG488" s="142"/>
      <c r="CH488" s="142"/>
      <c r="CI488" s="142"/>
      <c r="CJ488" s="142"/>
      <c r="CK488" s="142"/>
      <c r="CL488" s="142"/>
      <c r="CM488" s="142"/>
      <c r="CN488" s="142"/>
      <c r="CO488" s="142"/>
      <c r="CP488" s="142"/>
      <c r="CQ488" s="142"/>
      <c r="CR488" s="142"/>
      <c r="CS488" s="142"/>
      <c r="CT488" s="142"/>
      <c r="CU488" s="142"/>
      <c r="CV488" s="142"/>
      <c r="CW488" s="142"/>
      <c r="CX488" s="142"/>
      <c r="CY488" s="142"/>
      <c r="CZ488" s="142"/>
      <c r="DA488" s="144"/>
    </row>
    <row r="489" spans="1:105" ht="20" customHeight="1">
      <c r="A489" s="18">
        <f>ROW()</f>
        <v>489</v>
      </c>
      <c r="B489" s="26" t="str">
        <f t="shared" si="7"/>
        <v/>
      </c>
      <c r="C489" s="140"/>
      <c r="D489" s="141"/>
      <c r="E489" s="141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  <c r="BS489" s="142"/>
      <c r="BT489" s="142"/>
      <c r="BU489" s="142"/>
      <c r="BV489" s="142"/>
      <c r="BW489" s="142"/>
      <c r="BX489" s="142"/>
      <c r="BY489" s="142"/>
      <c r="BZ489" s="142"/>
      <c r="CA489" s="142"/>
      <c r="CB489" s="142"/>
      <c r="CC489" s="142"/>
      <c r="CD489" s="142"/>
      <c r="CE489" s="142"/>
      <c r="CF489" s="142"/>
      <c r="CG489" s="142"/>
      <c r="CH489" s="142"/>
      <c r="CI489" s="142"/>
      <c r="CJ489" s="142"/>
      <c r="CK489" s="142"/>
      <c r="CL489" s="142"/>
      <c r="CM489" s="142"/>
      <c r="CN489" s="142"/>
      <c r="CO489" s="142"/>
      <c r="CP489" s="142"/>
      <c r="CQ489" s="142"/>
      <c r="CR489" s="142"/>
      <c r="CS489" s="142"/>
      <c r="CT489" s="142"/>
      <c r="CU489" s="142"/>
      <c r="CV489" s="142"/>
      <c r="CW489" s="142"/>
      <c r="CX489" s="142"/>
      <c r="CY489" s="142"/>
      <c r="CZ489" s="142"/>
      <c r="DA489" s="144"/>
    </row>
    <row r="490" spans="1:105" ht="20" customHeight="1">
      <c r="A490" s="18">
        <f>ROW()</f>
        <v>490</v>
      </c>
      <c r="B490" s="26" t="str">
        <f t="shared" si="7"/>
        <v/>
      </c>
      <c r="C490" s="140"/>
      <c r="D490" s="141"/>
      <c r="E490" s="141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  <c r="BS490" s="142"/>
      <c r="BT490" s="142"/>
      <c r="BU490" s="142"/>
      <c r="BV490" s="142"/>
      <c r="BW490" s="142"/>
      <c r="BX490" s="142"/>
      <c r="BY490" s="142"/>
      <c r="BZ490" s="142"/>
      <c r="CA490" s="142"/>
      <c r="CB490" s="142"/>
      <c r="CC490" s="142"/>
      <c r="CD490" s="142"/>
      <c r="CE490" s="142"/>
      <c r="CF490" s="142"/>
      <c r="CG490" s="142"/>
      <c r="CH490" s="142"/>
      <c r="CI490" s="142"/>
      <c r="CJ490" s="142"/>
      <c r="CK490" s="142"/>
      <c r="CL490" s="142"/>
      <c r="CM490" s="142"/>
      <c r="CN490" s="142"/>
      <c r="CO490" s="142"/>
      <c r="CP490" s="142"/>
      <c r="CQ490" s="142"/>
      <c r="CR490" s="142"/>
      <c r="CS490" s="142"/>
      <c r="CT490" s="142"/>
      <c r="CU490" s="142"/>
      <c r="CV490" s="142"/>
      <c r="CW490" s="142"/>
      <c r="CX490" s="142"/>
      <c r="CY490" s="142"/>
      <c r="CZ490" s="142"/>
      <c r="DA490" s="144"/>
    </row>
    <row r="491" spans="1:105" ht="20" customHeight="1">
      <c r="A491" s="18">
        <f>ROW()</f>
        <v>491</v>
      </c>
      <c r="B491" s="26" t="str">
        <f t="shared" si="7"/>
        <v/>
      </c>
      <c r="C491" s="140"/>
      <c r="D491" s="141"/>
      <c r="E491" s="141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  <c r="BS491" s="142"/>
      <c r="BT491" s="142"/>
      <c r="BU491" s="142"/>
      <c r="BV491" s="142"/>
      <c r="BW491" s="142"/>
      <c r="BX491" s="142"/>
      <c r="BY491" s="142"/>
      <c r="BZ491" s="142"/>
      <c r="CA491" s="142"/>
      <c r="CB491" s="142"/>
      <c r="CC491" s="142"/>
      <c r="CD491" s="142"/>
      <c r="CE491" s="142"/>
      <c r="CF491" s="142"/>
      <c r="CG491" s="142"/>
      <c r="CH491" s="142"/>
      <c r="CI491" s="142"/>
      <c r="CJ491" s="142"/>
      <c r="CK491" s="142"/>
      <c r="CL491" s="142"/>
      <c r="CM491" s="142"/>
      <c r="CN491" s="142"/>
      <c r="CO491" s="142"/>
      <c r="CP491" s="142"/>
      <c r="CQ491" s="142"/>
      <c r="CR491" s="142"/>
      <c r="CS491" s="142"/>
      <c r="CT491" s="142"/>
      <c r="CU491" s="142"/>
      <c r="CV491" s="142"/>
      <c r="CW491" s="142"/>
      <c r="CX491" s="142"/>
      <c r="CY491" s="142"/>
      <c r="CZ491" s="142"/>
      <c r="DA491" s="144"/>
    </row>
    <row r="492" spans="1:105" ht="20" customHeight="1">
      <c r="A492" s="18">
        <f>ROW()</f>
        <v>492</v>
      </c>
      <c r="B492" s="26" t="str">
        <f t="shared" si="7"/>
        <v/>
      </c>
      <c r="C492" s="140"/>
      <c r="D492" s="141"/>
      <c r="E492" s="141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  <c r="BS492" s="142"/>
      <c r="BT492" s="142"/>
      <c r="BU492" s="142"/>
      <c r="BV492" s="142"/>
      <c r="BW492" s="142"/>
      <c r="BX492" s="142"/>
      <c r="BY492" s="142"/>
      <c r="BZ492" s="142"/>
      <c r="CA492" s="142"/>
      <c r="CB492" s="142"/>
      <c r="CC492" s="142"/>
      <c r="CD492" s="142"/>
      <c r="CE492" s="142"/>
      <c r="CF492" s="142"/>
      <c r="CG492" s="142"/>
      <c r="CH492" s="142"/>
      <c r="CI492" s="142"/>
      <c r="CJ492" s="142"/>
      <c r="CK492" s="142"/>
      <c r="CL492" s="142"/>
      <c r="CM492" s="142"/>
      <c r="CN492" s="142"/>
      <c r="CO492" s="142"/>
      <c r="CP492" s="142"/>
      <c r="CQ492" s="142"/>
      <c r="CR492" s="142"/>
      <c r="CS492" s="142"/>
      <c r="CT492" s="142"/>
      <c r="CU492" s="142"/>
      <c r="CV492" s="142"/>
      <c r="CW492" s="142"/>
      <c r="CX492" s="142"/>
      <c r="CY492" s="142"/>
      <c r="CZ492" s="142"/>
      <c r="DA492" s="144"/>
    </row>
    <row r="493" spans="1:105" ht="20" customHeight="1">
      <c r="A493" s="18">
        <f>ROW()</f>
        <v>493</v>
      </c>
      <c r="B493" s="26" t="str">
        <f t="shared" si="7"/>
        <v/>
      </c>
      <c r="C493" s="140"/>
      <c r="D493" s="141"/>
      <c r="E493" s="141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  <c r="BS493" s="142"/>
      <c r="BT493" s="142"/>
      <c r="BU493" s="142"/>
      <c r="BV493" s="142"/>
      <c r="BW493" s="142"/>
      <c r="BX493" s="142"/>
      <c r="BY493" s="142"/>
      <c r="BZ493" s="142"/>
      <c r="CA493" s="142"/>
      <c r="CB493" s="142"/>
      <c r="CC493" s="142"/>
      <c r="CD493" s="142"/>
      <c r="CE493" s="142"/>
      <c r="CF493" s="142"/>
      <c r="CG493" s="142"/>
      <c r="CH493" s="142"/>
      <c r="CI493" s="142"/>
      <c r="CJ493" s="142"/>
      <c r="CK493" s="142"/>
      <c r="CL493" s="142"/>
      <c r="CM493" s="142"/>
      <c r="CN493" s="142"/>
      <c r="CO493" s="142"/>
      <c r="CP493" s="142"/>
      <c r="CQ493" s="142"/>
      <c r="CR493" s="142"/>
      <c r="CS493" s="142"/>
      <c r="CT493" s="142"/>
      <c r="CU493" s="142"/>
      <c r="CV493" s="142"/>
      <c r="CW493" s="142"/>
      <c r="CX493" s="142"/>
      <c r="CY493" s="142"/>
      <c r="CZ493" s="142"/>
      <c r="DA493" s="144"/>
    </row>
    <row r="494" spans="1:105" ht="20" customHeight="1">
      <c r="A494" s="18">
        <f>ROW()</f>
        <v>494</v>
      </c>
      <c r="B494" s="26" t="str">
        <f t="shared" si="7"/>
        <v/>
      </c>
      <c r="C494" s="140"/>
      <c r="D494" s="141"/>
      <c r="E494" s="141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  <c r="BS494" s="142"/>
      <c r="BT494" s="142"/>
      <c r="BU494" s="142"/>
      <c r="BV494" s="142"/>
      <c r="BW494" s="142"/>
      <c r="BX494" s="142"/>
      <c r="BY494" s="142"/>
      <c r="BZ494" s="142"/>
      <c r="CA494" s="142"/>
      <c r="CB494" s="142"/>
      <c r="CC494" s="142"/>
      <c r="CD494" s="142"/>
      <c r="CE494" s="142"/>
      <c r="CF494" s="142"/>
      <c r="CG494" s="142"/>
      <c r="CH494" s="142"/>
      <c r="CI494" s="142"/>
      <c r="CJ494" s="142"/>
      <c r="CK494" s="142"/>
      <c r="CL494" s="142"/>
      <c r="CM494" s="142"/>
      <c r="CN494" s="142"/>
      <c r="CO494" s="142"/>
      <c r="CP494" s="142"/>
      <c r="CQ494" s="142"/>
      <c r="CR494" s="142"/>
      <c r="CS494" s="142"/>
      <c r="CT494" s="142"/>
      <c r="CU494" s="142"/>
      <c r="CV494" s="142"/>
      <c r="CW494" s="142"/>
      <c r="CX494" s="142"/>
      <c r="CY494" s="142"/>
      <c r="CZ494" s="142"/>
      <c r="DA494" s="144"/>
    </row>
    <row r="495" spans="1:105" ht="20" customHeight="1">
      <c r="A495" s="18">
        <f>ROW()</f>
        <v>495</v>
      </c>
      <c r="B495" s="26" t="str">
        <f t="shared" si="7"/>
        <v/>
      </c>
      <c r="C495" s="140"/>
      <c r="D495" s="141"/>
      <c r="E495" s="141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  <c r="BS495" s="142"/>
      <c r="BT495" s="142"/>
      <c r="BU495" s="142"/>
      <c r="BV495" s="142"/>
      <c r="BW495" s="142"/>
      <c r="BX495" s="142"/>
      <c r="BY495" s="142"/>
      <c r="BZ495" s="142"/>
      <c r="CA495" s="142"/>
      <c r="CB495" s="142"/>
      <c r="CC495" s="142"/>
      <c r="CD495" s="142"/>
      <c r="CE495" s="142"/>
      <c r="CF495" s="142"/>
      <c r="CG495" s="142"/>
      <c r="CH495" s="142"/>
      <c r="CI495" s="142"/>
      <c r="CJ495" s="142"/>
      <c r="CK495" s="142"/>
      <c r="CL495" s="142"/>
      <c r="CM495" s="142"/>
      <c r="CN495" s="142"/>
      <c r="CO495" s="142"/>
      <c r="CP495" s="142"/>
      <c r="CQ495" s="142"/>
      <c r="CR495" s="142"/>
      <c r="CS495" s="142"/>
      <c r="CT495" s="142"/>
      <c r="CU495" s="142"/>
      <c r="CV495" s="142"/>
      <c r="CW495" s="142"/>
      <c r="CX495" s="142"/>
      <c r="CY495" s="142"/>
      <c r="CZ495" s="142"/>
      <c r="DA495" s="144"/>
    </row>
    <row r="496" spans="1:105" ht="20" customHeight="1">
      <c r="A496" s="18">
        <f>ROW()</f>
        <v>496</v>
      </c>
      <c r="B496" s="26" t="str">
        <f t="shared" si="7"/>
        <v/>
      </c>
      <c r="C496" s="140"/>
      <c r="D496" s="141"/>
      <c r="E496" s="141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  <c r="BK496" s="142"/>
      <c r="BL496" s="142"/>
      <c r="BM496" s="142"/>
      <c r="BN496" s="142"/>
      <c r="BO496" s="142"/>
      <c r="BP496" s="142"/>
      <c r="BQ496" s="142"/>
      <c r="BR496" s="142"/>
      <c r="BS496" s="142"/>
      <c r="BT496" s="142"/>
      <c r="BU496" s="142"/>
      <c r="BV496" s="142"/>
      <c r="BW496" s="142"/>
      <c r="BX496" s="142"/>
      <c r="BY496" s="142"/>
      <c r="BZ496" s="142"/>
      <c r="CA496" s="142"/>
      <c r="CB496" s="142"/>
      <c r="CC496" s="142"/>
      <c r="CD496" s="142"/>
      <c r="CE496" s="142"/>
      <c r="CF496" s="142"/>
      <c r="CG496" s="142"/>
      <c r="CH496" s="142"/>
      <c r="CI496" s="142"/>
      <c r="CJ496" s="142"/>
      <c r="CK496" s="142"/>
      <c r="CL496" s="142"/>
      <c r="CM496" s="142"/>
      <c r="CN496" s="142"/>
      <c r="CO496" s="142"/>
      <c r="CP496" s="142"/>
      <c r="CQ496" s="142"/>
      <c r="CR496" s="142"/>
      <c r="CS496" s="142"/>
      <c r="CT496" s="142"/>
      <c r="CU496" s="142"/>
      <c r="CV496" s="142"/>
      <c r="CW496" s="142"/>
      <c r="CX496" s="142"/>
      <c r="CY496" s="142"/>
      <c r="CZ496" s="142"/>
      <c r="DA496" s="144"/>
    </row>
    <row r="497" spans="1:105" ht="20" customHeight="1">
      <c r="A497" s="18">
        <f>ROW()</f>
        <v>497</v>
      </c>
      <c r="B497" s="26" t="str">
        <f t="shared" si="7"/>
        <v/>
      </c>
      <c r="C497" s="140"/>
      <c r="D497" s="141"/>
      <c r="E497" s="141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  <c r="BS497" s="142"/>
      <c r="BT497" s="142"/>
      <c r="BU497" s="142"/>
      <c r="BV497" s="142"/>
      <c r="BW497" s="142"/>
      <c r="BX497" s="142"/>
      <c r="BY497" s="142"/>
      <c r="BZ497" s="142"/>
      <c r="CA497" s="142"/>
      <c r="CB497" s="142"/>
      <c r="CC497" s="142"/>
      <c r="CD497" s="142"/>
      <c r="CE497" s="142"/>
      <c r="CF497" s="142"/>
      <c r="CG497" s="142"/>
      <c r="CH497" s="142"/>
      <c r="CI497" s="142"/>
      <c r="CJ497" s="142"/>
      <c r="CK497" s="142"/>
      <c r="CL497" s="142"/>
      <c r="CM497" s="142"/>
      <c r="CN497" s="142"/>
      <c r="CO497" s="142"/>
      <c r="CP497" s="142"/>
      <c r="CQ497" s="142"/>
      <c r="CR497" s="142"/>
      <c r="CS497" s="142"/>
      <c r="CT497" s="142"/>
      <c r="CU497" s="142"/>
      <c r="CV497" s="142"/>
      <c r="CW497" s="142"/>
      <c r="CX497" s="142"/>
      <c r="CY497" s="142"/>
      <c r="CZ497" s="142"/>
      <c r="DA497" s="144"/>
    </row>
    <row r="498" spans="1:105" ht="20" customHeight="1">
      <c r="A498" s="18">
        <f>ROW()</f>
        <v>498</v>
      </c>
      <c r="B498" s="26" t="str">
        <f t="shared" si="7"/>
        <v/>
      </c>
      <c r="C498" s="140"/>
      <c r="D498" s="141"/>
      <c r="E498" s="141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  <c r="BS498" s="142"/>
      <c r="BT498" s="142"/>
      <c r="BU498" s="142"/>
      <c r="BV498" s="142"/>
      <c r="BW498" s="142"/>
      <c r="BX498" s="142"/>
      <c r="BY498" s="142"/>
      <c r="BZ498" s="142"/>
      <c r="CA498" s="142"/>
      <c r="CB498" s="142"/>
      <c r="CC498" s="142"/>
      <c r="CD498" s="142"/>
      <c r="CE498" s="142"/>
      <c r="CF498" s="142"/>
      <c r="CG498" s="142"/>
      <c r="CH498" s="142"/>
      <c r="CI498" s="142"/>
      <c r="CJ498" s="142"/>
      <c r="CK498" s="142"/>
      <c r="CL498" s="142"/>
      <c r="CM498" s="142"/>
      <c r="CN498" s="142"/>
      <c r="CO498" s="142"/>
      <c r="CP498" s="142"/>
      <c r="CQ498" s="142"/>
      <c r="CR498" s="142"/>
      <c r="CS498" s="142"/>
      <c r="CT498" s="142"/>
      <c r="CU498" s="142"/>
      <c r="CV498" s="142"/>
      <c r="CW498" s="142"/>
      <c r="CX498" s="142"/>
      <c r="CY498" s="142"/>
      <c r="CZ498" s="142"/>
      <c r="DA498" s="144"/>
    </row>
    <row r="499" spans="1:105" ht="20" customHeight="1">
      <c r="A499" s="18">
        <f>ROW()</f>
        <v>499</v>
      </c>
      <c r="B499" s="26" t="str">
        <f t="shared" si="7"/>
        <v/>
      </c>
      <c r="C499" s="140"/>
      <c r="D499" s="141"/>
      <c r="E499" s="141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  <c r="BS499" s="142"/>
      <c r="BT499" s="142"/>
      <c r="BU499" s="142"/>
      <c r="BV499" s="142"/>
      <c r="BW499" s="142"/>
      <c r="BX499" s="142"/>
      <c r="BY499" s="142"/>
      <c r="BZ499" s="142"/>
      <c r="CA499" s="142"/>
      <c r="CB499" s="142"/>
      <c r="CC499" s="142"/>
      <c r="CD499" s="142"/>
      <c r="CE499" s="142"/>
      <c r="CF499" s="142"/>
      <c r="CG499" s="142"/>
      <c r="CH499" s="142"/>
      <c r="CI499" s="142"/>
      <c r="CJ499" s="142"/>
      <c r="CK499" s="142"/>
      <c r="CL499" s="142"/>
      <c r="CM499" s="142"/>
      <c r="CN499" s="142"/>
      <c r="CO499" s="142"/>
      <c r="CP499" s="142"/>
      <c r="CQ499" s="142"/>
      <c r="CR499" s="142"/>
      <c r="CS499" s="142"/>
      <c r="CT499" s="142"/>
      <c r="CU499" s="142"/>
      <c r="CV499" s="142"/>
      <c r="CW499" s="142"/>
      <c r="CX499" s="142"/>
      <c r="CY499" s="142"/>
      <c r="CZ499" s="142"/>
      <c r="DA499" s="144"/>
    </row>
    <row r="500" spans="1:105" ht="20" customHeight="1">
      <c r="A500" s="18">
        <f>ROW()</f>
        <v>500</v>
      </c>
      <c r="B500" s="26" t="str">
        <f t="shared" si="7"/>
        <v/>
      </c>
      <c r="C500" s="140"/>
      <c r="D500" s="141"/>
      <c r="E500" s="141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  <c r="BS500" s="142"/>
      <c r="BT500" s="142"/>
      <c r="BU500" s="142"/>
      <c r="BV500" s="142"/>
      <c r="BW500" s="142"/>
      <c r="BX500" s="142"/>
      <c r="BY500" s="142"/>
      <c r="BZ500" s="142"/>
      <c r="CA500" s="142"/>
      <c r="CB500" s="142"/>
      <c r="CC500" s="142"/>
      <c r="CD500" s="142"/>
      <c r="CE500" s="142"/>
      <c r="CF500" s="142"/>
      <c r="CG500" s="142"/>
      <c r="CH500" s="142"/>
      <c r="CI500" s="142"/>
      <c r="CJ500" s="142"/>
      <c r="CK500" s="142"/>
      <c r="CL500" s="142"/>
      <c r="CM500" s="142"/>
      <c r="CN500" s="142"/>
      <c r="CO500" s="142"/>
      <c r="CP500" s="142"/>
      <c r="CQ500" s="142"/>
      <c r="CR500" s="142"/>
      <c r="CS500" s="142"/>
      <c r="CT500" s="142"/>
      <c r="CU500" s="142"/>
      <c r="CV500" s="142"/>
      <c r="CW500" s="142"/>
      <c r="CX500" s="142"/>
      <c r="CY500" s="142"/>
      <c r="CZ500" s="142"/>
      <c r="DA500" s="144"/>
    </row>
    <row r="501" spans="1:105" ht="20" customHeight="1">
      <c r="A501" s="18">
        <f>ROW()</f>
        <v>501</v>
      </c>
      <c r="B501" s="26" t="str">
        <f t="shared" si="7"/>
        <v/>
      </c>
      <c r="C501" s="140"/>
      <c r="D501" s="141"/>
      <c r="E501" s="141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  <c r="BS501" s="142"/>
      <c r="BT501" s="142"/>
      <c r="BU501" s="142"/>
      <c r="BV501" s="142"/>
      <c r="BW501" s="142"/>
      <c r="BX501" s="142"/>
      <c r="BY501" s="142"/>
      <c r="BZ501" s="142"/>
      <c r="CA501" s="142"/>
      <c r="CB501" s="142"/>
      <c r="CC501" s="142"/>
      <c r="CD501" s="142"/>
      <c r="CE501" s="142"/>
      <c r="CF501" s="142"/>
      <c r="CG501" s="142"/>
      <c r="CH501" s="142"/>
      <c r="CI501" s="142"/>
      <c r="CJ501" s="142"/>
      <c r="CK501" s="142"/>
      <c r="CL501" s="142"/>
      <c r="CM501" s="142"/>
      <c r="CN501" s="142"/>
      <c r="CO501" s="142"/>
      <c r="CP501" s="142"/>
      <c r="CQ501" s="142"/>
      <c r="CR501" s="142"/>
      <c r="CS501" s="142"/>
      <c r="CT501" s="142"/>
      <c r="CU501" s="142"/>
      <c r="CV501" s="142"/>
      <c r="CW501" s="142"/>
      <c r="CX501" s="142"/>
      <c r="CY501" s="142"/>
      <c r="CZ501" s="142"/>
      <c r="DA501" s="144"/>
    </row>
    <row r="502" spans="1:105" ht="20" customHeight="1">
      <c r="A502" s="18">
        <f>ROW()</f>
        <v>502</v>
      </c>
      <c r="B502" s="26" t="str">
        <f t="shared" si="7"/>
        <v/>
      </c>
      <c r="C502" s="140"/>
      <c r="D502" s="141"/>
      <c r="E502" s="141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  <c r="BS502" s="142"/>
      <c r="BT502" s="142"/>
      <c r="BU502" s="142"/>
      <c r="BV502" s="142"/>
      <c r="BW502" s="142"/>
      <c r="BX502" s="142"/>
      <c r="BY502" s="142"/>
      <c r="BZ502" s="142"/>
      <c r="CA502" s="142"/>
      <c r="CB502" s="142"/>
      <c r="CC502" s="142"/>
      <c r="CD502" s="142"/>
      <c r="CE502" s="142"/>
      <c r="CF502" s="142"/>
      <c r="CG502" s="142"/>
      <c r="CH502" s="142"/>
      <c r="CI502" s="142"/>
      <c r="CJ502" s="142"/>
      <c r="CK502" s="142"/>
      <c r="CL502" s="142"/>
      <c r="CM502" s="142"/>
      <c r="CN502" s="142"/>
      <c r="CO502" s="142"/>
      <c r="CP502" s="142"/>
      <c r="CQ502" s="142"/>
      <c r="CR502" s="142"/>
      <c r="CS502" s="142"/>
      <c r="CT502" s="142"/>
      <c r="CU502" s="142"/>
      <c r="CV502" s="142"/>
      <c r="CW502" s="142"/>
      <c r="CX502" s="142"/>
      <c r="CY502" s="142"/>
      <c r="CZ502" s="142"/>
      <c r="DA502" s="144"/>
    </row>
    <row r="503" spans="1:105" ht="20" customHeight="1">
      <c r="A503" s="18">
        <f>ROW()</f>
        <v>503</v>
      </c>
      <c r="B503" s="26" t="str">
        <f t="shared" si="7"/>
        <v/>
      </c>
      <c r="C503" s="140"/>
      <c r="D503" s="141"/>
      <c r="E503" s="141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  <c r="BS503" s="142"/>
      <c r="BT503" s="142"/>
      <c r="BU503" s="142"/>
      <c r="BV503" s="142"/>
      <c r="BW503" s="142"/>
      <c r="BX503" s="142"/>
      <c r="BY503" s="142"/>
      <c r="BZ503" s="142"/>
      <c r="CA503" s="142"/>
      <c r="CB503" s="142"/>
      <c r="CC503" s="142"/>
      <c r="CD503" s="142"/>
      <c r="CE503" s="142"/>
      <c r="CF503" s="142"/>
      <c r="CG503" s="142"/>
      <c r="CH503" s="142"/>
      <c r="CI503" s="142"/>
      <c r="CJ503" s="142"/>
      <c r="CK503" s="142"/>
      <c r="CL503" s="142"/>
      <c r="CM503" s="142"/>
      <c r="CN503" s="142"/>
      <c r="CO503" s="142"/>
      <c r="CP503" s="142"/>
      <c r="CQ503" s="142"/>
      <c r="CR503" s="142"/>
      <c r="CS503" s="142"/>
      <c r="CT503" s="142"/>
      <c r="CU503" s="142"/>
      <c r="CV503" s="142"/>
      <c r="CW503" s="142"/>
      <c r="CX503" s="142"/>
      <c r="CY503" s="142"/>
      <c r="CZ503" s="142"/>
      <c r="DA503" s="144"/>
    </row>
    <row r="504" spans="1:105" ht="20" customHeight="1">
      <c r="A504" s="18">
        <f>ROW()</f>
        <v>504</v>
      </c>
      <c r="B504" s="26" t="str">
        <f t="shared" si="7"/>
        <v/>
      </c>
      <c r="C504" s="140"/>
      <c r="D504" s="141"/>
      <c r="E504" s="141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  <c r="BS504" s="142"/>
      <c r="BT504" s="142"/>
      <c r="BU504" s="142"/>
      <c r="BV504" s="142"/>
      <c r="BW504" s="142"/>
      <c r="BX504" s="142"/>
      <c r="BY504" s="142"/>
      <c r="BZ504" s="142"/>
      <c r="CA504" s="142"/>
      <c r="CB504" s="142"/>
      <c r="CC504" s="142"/>
      <c r="CD504" s="142"/>
      <c r="CE504" s="142"/>
      <c r="CF504" s="142"/>
      <c r="CG504" s="142"/>
      <c r="CH504" s="142"/>
      <c r="CI504" s="142"/>
      <c r="CJ504" s="142"/>
      <c r="CK504" s="142"/>
      <c r="CL504" s="142"/>
      <c r="CM504" s="142"/>
      <c r="CN504" s="142"/>
      <c r="CO504" s="142"/>
      <c r="CP504" s="142"/>
      <c r="CQ504" s="142"/>
      <c r="CR504" s="142"/>
      <c r="CS504" s="142"/>
      <c r="CT504" s="142"/>
      <c r="CU504" s="142"/>
      <c r="CV504" s="142"/>
      <c r="CW504" s="142"/>
      <c r="CX504" s="142"/>
      <c r="CY504" s="142"/>
      <c r="CZ504" s="142"/>
      <c r="DA504" s="144"/>
    </row>
    <row r="505" spans="1:105" ht="20" customHeight="1">
      <c r="A505" s="18">
        <f>ROW()</f>
        <v>505</v>
      </c>
      <c r="B505" s="26" t="str">
        <f t="shared" si="7"/>
        <v/>
      </c>
      <c r="C505" s="140"/>
      <c r="D505" s="141"/>
      <c r="E505" s="141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  <c r="BS505" s="142"/>
      <c r="BT505" s="142"/>
      <c r="BU505" s="142"/>
      <c r="BV505" s="142"/>
      <c r="BW505" s="142"/>
      <c r="BX505" s="142"/>
      <c r="BY505" s="142"/>
      <c r="BZ505" s="142"/>
      <c r="CA505" s="142"/>
      <c r="CB505" s="142"/>
      <c r="CC505" s="142"/>
      <c r="CD505" s="142"/>
      <c r="CE505" s="142"/>
      <c r="CF505" s="142"/>
      <c r="CG505" s="142"/>
      <c r="CH505" s="142"/>
      <c r="CI505" s="142"/>
      <c r="CJ505" s="142"/>
      <c r="CK505" s="142"/>
      <c r="CL505" s="142"/>
      <c r="CM505" s="142"/>
      <c r="CN505" s="142"/>
      <c r="CO505" s="142"/>
      <c r="CP505" s="142"/>
      <c r="CQ505" s="142"/>
      <c r="CR505" s="142"/>
      <c r="CS505" s="142"/>
      <c r="CT505" s="142"/>
      <c r="CU505" s="142"/>
      <c r="CV505" s="142"/>
      <c r="CW505" s="142"/>
      <c r="CX505" s="142"/>
      <c r="CY505" s="142"/>
      <c r="CZ505" s="142"/>
      <c r="DA505" s="144"/>
    </row>
    <row r="506" spans="1:105" ht="20" customHeight="1">
      <c r="A506" s="18">
        <f>ROW()</f>
        <v>506</v>
      </c>
      <c r="B506" s="26" t="str">
        <f t="shared" si="7"/>
        <v/>
      </c>
      <c r="C506" s="140"/>
      <c r="D506" s="141"/>
      <c r="E506" s="141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  <c r="BS506" s="142"/>
      <c r="BT506" s="142"/>
      <c r="BU506" s="142"/>
      <c r="BV506" s="142"/>
      <c r="BW506" s="142"/>
      <c r="BX506" s="142"/>
      <c r="BY506" s="142"/>
      <c r="BZ506" s="142"/>
      <c r="CA506" s="142"/>
      <c r="CB506" s="142"/>
      <c r="CC506" s="142"/>
      <c r="CD506" s="142"/>
      <c r="CE506" s="142"/>
      <c r="CF506" s="142"/>
      <c r="CG506" s="142"/>
      <c r="CH506" s="142"/>
      <c r="CI506" s="142"/>
      <c r="CJ506" s="142"/>
      <c r="CK506" s="142"/>
      <c r="CL506" s="142"/>
      <c r="CM506" s="142"/>
      <c r="CN506" s="142"/>
      <c r="CO506" s="142"/>
      <c r="CP506" s="142"/>
      <c r="CQ506" s="142"/>
      <c r="CR506" s="142"/>
      <c r="CS506" s="142"/>
      <c r="CT506" s="142"/>
      <c r="CU506" s="142"/>
      <c r="CV506" s="142"/>
      <c r="CW506" s="142"/>
      <c r="CX506" s="142"/>
      <c r="CY506" s="142"/>
      <c r="CZ506" s="142"/>
      <c r="DA506" s="144"/>
    </row>
    <row r="507" spans="1:105" ht="20" customHeight="1" thickBot="1">
      <c r="A507" s="18">
        <f>ROW()</f>
        <v>507</v>
      </c>
      <c r="B507" s="26" t="str">
        <f t="shared" si="7"/>
        <v/>
      </c>
      <c r="C507" s="151"/>
      <c r="D507" s="152"/>
      <c r="E507" s="152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4"/>
    </row>
  </sheetData>
  <sheetProtection sheet="1" objects="1" scenarios="1"/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4"/>
  <conditionalFormatting sqref="F12:DA507">
    <cfRule type="containsBlanks" dxfId="21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C4" sqref="DC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75"/>
      <c r="D1" s="275"/>
      <c r="E1" s="275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69" t="s">
        <v>25</v>
      </c>
      <c r="D2" s="271" t="s">
        <v>47</v>
      </c>
      <c r="E2" s="273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71" t="s">
        <v>22</v>
      </c>
      <c r="DC2" s="271"/>
      <c r="DD2" s="271"/>
      <c r="DE2" s="271"/>
      <c r="DF2" s="271"/>
      <c r="DG2" s="271"/>
      <c r="DH2" s="271"/>
      <c r="DI2" s="271"/>
      <c r="DJ2" s="271"/>
      <c r="DK2" s="271"/>
      <c r="DL2" s="271"/>
      <c r="DM2" s="271"/>
      <c r="DN2" s="284" t="s">
        <v>24</v>
      </c>
      <c r="DO2" s="287" t="s">
        <v>49</v>
      </c>
      <c r="DP2" s="296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70"/>
      <c r="D3" s="272"/>
      <c r="E3" s="274"/>
      <c r="F3" s="276" t="str">
        <f ca="1">IF(ISBLANK(OFFSET(解答設定!$B$20,F1,6)),"",OFFSET(解答設定!$B$20,F1,6))</f>
        <v/>
      </c>
      <c r="G3" s="276" t="str">
        <f ca="1">IF(ISBLANK(OFFSET(解答設定!$B$20,G1,6)),"",OFFSET(解答設定!$B$20,G1,6))</f>
        <v/>
      </c>
      <c r="H3" s="276" t="str">
        <f ca="1">IF(ISBLANK(OFFSET(解答設定!$B$20,H1,6)),"",OFFSET(解答設定!$B$20,H1,6))</f>
        <v/>
      </c>
      <c r="I3" s="276" t="str">
        <f ca="1">IF(ISBLANK(OFFSET(解答設定!$B$20,I1,6)),"",OFFSET(解答設定!$B$20,I1,6))</f>
        <v/>
      </c>
      <c r="J3" s="276" t="str">
        <f ca="1">IF(ISBLANK(OFFSET(解答設定!$B$20,J1,6)),"",OFFSET(解答設定!$B$20,J1,6))</f>
        <v/>
      </c>
      <c r="K3" s="276" t="str">
        <f ca="1">IF(ISBLANK(OFFSET(解答設定!$B$20,K1,6)),"",OFFSET(解答設定!$B$20,K1,6))</f>
        <v/>
      </c>
      <c r="L3" s="276" t="str">
        <f ca="1">IF(ISBLANK(OFFSET(解答設定!$B$20,L1,6)),"",OFFSET(解答設定!$B$20,L1,6))</f>
        <v/>
      </c>
      <c r="M3" s="276" t="str">
        <f ca="1">IF(ISBLANK(OFFSET(解答設定!$B$20,M1,6)),"",OFFSET(解答設定!$B$20,M1,6))</f>
        <v/>
      </c>
      <c r="N3" s="276" t="str">
        <f ca="1">IF(ISBLANK(OFFSET(解答設定!$B$20,N1,6)),"",OFFSET(解答設定!$B$20,N1,6))</f>
        <v/>
      </c>
      <c r="O3" s="276" t="str">
        <f ca="1">IF(ISBLANK(OFFSET(解答設定!$B$20,O1,6)),"",OFFSET(解答設定!$B$20,O1,6))</f>
        <v/>
      </c>
      <c r="P3" s="276" t="str">
        <f ca="1">IF(ISBLANK(OFFSET(解答設定!$B$20,P1,6)),"",OFFSET(解答設定!$B$20,P1,6))</f>
        <v/>
      </c>
      <c r="Q3" s="276" t="str">
        <f ca="1">IF(ISBLANK(OFFSET(解答設定!$B$20,Q1,6)),"",OFFSET(解答設定!$B$20,Q1,6))</f>
        <v/>
      </c>
      <c r="R3" s="276" t="str">
        <f ca="1">IF(ISBLANK(OFFSET(解答設定!$B$20,R1,6)),"",OFFSET(解答設定!$B$20,R1,6))</f>
        <v/>
      </c>
      <c r="S3" s="276" t="str">
        <f ca="1">IF(ISBLANK(OFFSET(解答設定!$B$20,S1,6)),"",OFFSET(解答設定!$B$20,S1,6))</f>
        <v/>
      </c>
      <c r="T3" s="276" t="str">
        <f ca="1">IF(ISBLANK(OFFSET(解答設定!$B$20,T1,6)),"",OFFSET(解答設定!$B$20,T1,6))</f>
        <v/>
      </c>
      <c r="U3" s="276" t="str">
        <f ca="1">IF(ISBLANK(OFFSET(解答設定!$B$20,U1,6)),"",OFFSET(解答設定!$B$20,U1,6))</f>
        <v/>
      </c>
      <c r="V3" s="276" t="str">
        <f ca="1">IF(ISBLANK(OFFSET(解答設定!$B$20,V1,6)),"",OFFSET(解答設定!$B$20,V1,6))</f>
        <v/>
      </c>
      <c r="W3" s="276" t="str">
        <f ca="1">IF(ISBLANK(OFFSET(解答設定!$B$20,W1,6)),"",OFFSET(解答設定!$B$20,W1,6))</f>
        <v/>
      </c>
      <c r="X3" s="276" t="str">
        <f ca="1">IF(ISBLANK(OFFSET(解答設定!$B$20,X1,6)),"",OFFSET(解答設定!$B$20,X1,6))</f>
        <v/>
      </c>
      <c r="Y3" s="276" t="str">
        <f ca="1">IF(ISBLANK(OFFSET(解答設定!$B$20,Y1,6)),"",OFFSET(解答設定!$B$20,Y1,6))</f>
        <v/>
      </c>
      <c r="Z3" s="276" t="str">
        <f ca="1">IF(ISBLANK(OFFSET(解答設定!$B$20,Z1,6)),"",OFFSET(解答設定!$B$20,Z1,6))</f>
        <v/>
      </c>
      <c r="AA3" s="276" t="str">
        <f ca="1">IF(ISBLANK(OFFSET(解答設定!$B$20,AA1,6)),"",OFFSET(解答設定!$B$20,AA1,6))</f>
        <v/>
      </c>
      <c r="AB3" s="276" t="str">
        <f ca="1">IF(ISBLANK(OFFSET(解答設定!$B$20,AB1,6)),"",OFFSET(解答設定!$B$20,AB1,6))</f>
        <v/>
      </c>
      <c r="AC3" s="276" t="str">
        <f ca="1">IF(ISBLANK(OFFSET(解答設定!$B$20,AC1,6)),"",OFFSET(解答設定!$B$20,AC1,6))</f>
        <v/>
      </c>
      <c r="AD3" s="276" t="str">
        <f ca="1">IF(ISBLANK(OFFSET(解答設定!$B$20,AD1,6)),"",OFFSET(解答設定!$B$20,AD1,6))</f>
        <v/>
      </c>
      <c r="AE3" s="276" t="str">
        <f ca="1">IF(ISBLANK(OFFSET(解答設定!$B$20,AE1,6)),"",OFFSET(解答設定!$B$20,AE1,6))</f>
        <v/>
      </c>
      <c r="AF3" s="276" t="str">
        <f ca="1">IF(ISBLANK(OFFSET(解答設定!$B$20,AF1,6)),"",OFFSET(解答設定!$B$20,AF1,6))</f>
        <v/>
      </c>
      <c r="AG3" s="276" t="str">
        <f ca="1">IF(ISBLANK(OFFSET(解答設定!$B$20,AG1,6)),"",OFFSET(解答設定!$B$20,AG1,6))</f>
        <v/>
      </c>
      <c r="AH3" s="276" t="str">
        <f ca="1">IF(ISBLANK(OFFSET(解答設定!$B$20,AH1,6)),"",OFFSET(解答設定!$B$20,AH1,6))</f>
        <v/>
      </c>
      <c r="AI3" s="276" t="str">
        <f ca="1">IF(ISBLANK(OFFSET(解答設定!$B$20,AI1,6)),"",OFFSET(解答設定!$B$20,AI1,6))</f>
        <v/>
      </c>
      <c r="AJ3" s="276" t="str">
        <f ca="1">IF(ISBLANK(OFFSET(解答設定!$B$20,AJ1,6)),"",OFFSET(解答設定!$B$20,AJ1,6))</f>
        <v/>
      </c>
      <c r="AK3" s="276" t="str">
        <f ca="1">IF(ISBLANK(OFFSET(解答設定!$B$20,AK1,6)),"",OFFSET(解答設定!$B$20,AK1,6))</f>
        <v/>
      </c>
      <c r="AL3" s="276" t="str">
        <f ca="1">IF(ISBLANK(OFFSET(解答設定!$B$20,AL1,6)),"",OFFSET(解答設定!$B$20,AL1,6))</f>
        <v/>
      </c>
      <c r="AM3" s="276" t="str">
        <f ca="1">IF(ISBLANK(OFFSET(解答設定!$B$20,AM1,6)),"",OFFSET(解答設定!$B$20,AM1,6))</f>
        <v/>
      </c>
      <c r="AN3" s="276" t="str">
        <f ca="1">IF(ISBLANK(OFFSET(解答設定!$B$20,AN1,6)),"",OFFSET(解答設定!$B$20,AN1,6))</f>
        <v/>
      </c>
      <c r="AO3" s="276" t="str">
        <f ca="1">IF(ISBLANK(OFFSET(解答設定!$B$20,AO1,6)),"",OFFSET(解答設定!$B$20,AO1,6))</f>
        <v/>
      </c>
      <c r="AP3" s="276" t="str">
        <f ca="1">IF(ISBLANK(OFFSET(解答設定!$B$20,AP1,6)),"",OFFSET(解答設定!$B$20,AP1,6))</f>
        <v/>
      </c>
      <c r="AQ3" s="276" t="str">
        <f ca="1">IF(ISBLANK(OFFSET(解答設定!$B$20,AQ1,6)),"",OFFSET(解答設定!$B$20,AQ1,6))</f>
        <v/>
      </c>
      <c r="AR3" s="276" t="str">
        <f ca="1">IF(ISBLANK(OFFSET(解答設定!$B$20,AR1,6)),"",OFFSET(解答設定!$B$20,AR1,6))</f>
        <v/>
      </c>
      <c r="AS3" s="276" t="str">
        <f ca="1">IF(ISBLANK(OFFSET(解答設定!$B$20,AS1,6)),"",OFFSET(解答設定!$B$20,AS1,6))</f>
        <v/>
      </c>
      <c r="AT3" s="276" t="str">
        <f ca="1">IF(ISBLANK(OFFSET(解答設定!$B$20,AT1,6)),"",OFFSET(解答設定!$B$20,AT1,6))</f>
        <v/>
      </c>
      <c r="AU3" s="276" t="str">
        <f ca="1">IF(ISBLANK(OFFSET(解答設定!$B$20,AU1,6)),"",OFFSET(解答設定!$B$20,AU1,6))</f>
        <v/>
      </c>
      <c r="AV3" s="276" t="str">
        <f ca="1">IF(ISBLANK(OFFSET(解答設定!$B$20,AV1,6)),"",OFFSET(解答設定!$B$20,AV1,6))</f>
        <v/>
      </c>
      <c r="AW3" s="276" t="str">
        <f ca="1">IF(ISBLANK(OFFSET(解答設定!$B$20,AW1,6)),"",OFFSET(解答設定!$B$20,AW1,6))</f>
        <v/>
      </c>
      <c r="AX3" s="276" t="str">
        <f ca="1">IF(ISBLANK(OFFSET(解答設定!$B$20,AX1,6)),"",OFFSET(解答設定!$B$20,AX1,6))</f>
        <v/>
      </c>
      <c r="AY3" s="276" t="str">
        <f ca="1">IF(ISBLANK(OFFSET(解答設定!$B$20,AY1,6)),"",OFFSET(解答設定!$B$20,AY1,6))</f>
        <v/>
      </c>
      <c r="AZ3" s="276" t="str">
        <f ca="1">IF(ISBLANK(OFFSET(解答設定!$B$20,AZ1,6)),"",OFFSET(解答設定!$B$20,AZ1,6))</f>
        <v/>
      </c>
      <c r="BA3" s="276" t="str">
        <f ca="1">IF(ISBLANK(OFFSET(解答設定!$B$20,BA1,6)),"",OFFSET(解答設定!$B$20,BA1,6))</f>
        <v/>
      </c>
      <c r="BB3" s="276" t="str">
        <f ca="1">IF(ISBLANK(OFFSET(解答設定!$B$20,BB1,6)),"",OFFSET(解答設定!$B$20,BB1,6))</f>
        <v/>
      </c>
      <c r="BC3" s="276" t="str">
        <f ca="1">IF(ISBLANK(OFFSET(解答設定!$B$20,BC1,6)),"",OFFSET(解答設定!$B$20,BC1,6))</f>
        <v/>
      </c>
      <c r="BD3" s="276" t="str">
        <f ca="1">IF(ISBLANK(OFFSET(解答設定!$B$20,BD1,6)),"",OFFSET(解答設定!$B$20,BD1,6))</f>
        <v/>
      </c>
      <c r="BE3" s="276" t="str">
        <f ca="1">IF(ISBLANK(OFFSET(解答設定!$B$20,BE1,6)),"",OFFSET(解答設定!$B$20,BE1,6))</f>
        <v/>
      </c>
      <c r="BF3" s="276" t="str">
        <f ca="1">IF(ISBLANK(OFFSET(解答設定!$B$20,BF1,6)),"",OFFSET(解答設定!$B$20,BF1,6))</f>
        <v/>
      </c>
      <c r="BG3" s="276" t="str">
        <f ca="1">IF(ISBLANK(OFFSET(解答設定!$B$20,BG1,6)),"",OFFSET(解答設定!$B$20,BG1,6))</f>
        <v/>
      </c>
      <c r="BH3" s="276" t="str">
        <f ca="1">IF(ISBLANK(OFFSET(解答設定!$B$20,BH1,6)),"",OFFSET(解答設定!$B$20,BH1,6))</f>
        <v/>
      </c>
      <c r="BI3" s="276" t="str">
        <f ca="1">IF(ISBLANK(OFFSET(解答設定!$B$20,BI1,6)),"",OFFSET(解答設定!$B$20,BI1,6))</f>
        <v/>
      </c>
      <c r="BJ3" s="276" t="str">
        <f ca="1">IF(ISBLANK(OFFSET(解答設定!$B$20,BJ1,6)),"",OFFSET(解答設定!$B$20,BJ1,6))</f>
        <v/>
      </c>
      <c r="BK3" s="276" t="str">
        <f ca="1">IF(ISBLANK(OFFSET(解答設定!$B$20,BK1,6)),"",OFFSET(解答設定!$B$20,BK1,6))</f>
        <v/>
      </c>
      <c r="BL3" s="276" t="str">
        <f ca="1">IF(ISBLANK(OFFSET(解答設定!$B$20,BL1,6)),"",OFFSET(解答設定!$B$20,BL1,6))</f>
        <v/>
      </c>
      <c r="BM3" s="276" t="str">
        <f ca="1">IF(ISBLANK(OFFSET(解答設定!$B$20,BM1,6)),"",OFFSET(解答設定!$B$20,BM1,6))</f>
        <v/>
      </c>
      <c r="BN3" s="276" t="str">
        <f ca="1">IF(ISBLANK(OFFSET(解答設定!$B$20,BN1,6)),"",OFFSET(解答設定!$B$20,BN1,6))</f>
        <v/>
      </c>
      <c r="BO3" s="276" t="str">
        <f ca="1">IF(ISBLANK(OFFSET(解答設定!$B$20,BO1,6)),"",OFFSET(解答設定!$B$20,BO1,6))</f>
        <v/>
      </c>
      <c r="BP3" s="276" t="str">
        <f ca="1">IF(ISBLANK(OFFSET(解答設定!$B$20,BP1,6)),"",OFFSET(解答設定!$B$20,BP1,6))</f>
        <v/>
      </c>
      <c r="BQ3" s="276" t="str">
        <f ca="1">IF(ISBLANK(OFFSET(解答設定!$B$20,BQ1,6)),"",OFFSET(解答設定!$B$20,BQ1,6))</f>
        <v/>
      </c>
      <c r="BR3" s="276" t="str">
        <f ca="1">IF(ISBLANK(OFFSET(解答設定!$B$20,BR1,6)),"",OFFSET(解答設定!$B$20,BR1,6))</f>
        <v/>
      </c>
      <c r="BS3" s="276" t="str">
        <f ca="1">IF(ISBLANK(OFFSET(解答設定!$B$20,BS1,6)),"",OFFSET(解答設定!$B$20,BS1,6))</f>
        <v/>
      </c>
      <c r="BT3" s="276" t="str">
        <f ca="1">IF(ISBLANK(OFFSET(解答設定!$B$20,BT1,6)),"",OFFSET(解答設定!$B$20,BT1,6))</f>
        <v/>
      </c>
      <c r="BU3" s="276" t="str">
        <f ca="1">IF(ISBLANK(OFFSET(解答設定!$B$20,BU1,6)),"",OFFSET(解答設定!$B$20,BU1,6))</f>
        <v/>
      </c>
      <c r="BV3" s="276" t="str">
        <f ca="1">IF(ISBLANK(OFFSET(解答設定!$B$20,BV1,6)),"",OFFSET(解答設定!$B$20,BV1,6))</f>
        <v/>
      </c>
      <c r="BW3" s="276" t="str">
        <f ca="1">IF(ISBLANK(OFFSET(解答設定!$B$20,BW1,6)),"",OFFSET(解答設定!$B$20,BW1,6))</f>
        <v/>
      </c>
      <c r="BX3" s="276" t="str">
        <f ca="1">IF(ISBLANK(OFFSET(解答設定!$B$20,BX1,6)),"",OFFSET(解答設定!$B$20,BX1,6))</f>
        <v/>
      </c>
      <c r="BY3" s="276" t="str">
        <f ca="1">IF(ISBLANK(OFFSET(解答設定!$B$20,BY1,6)),"",OFFSET(解答設定!$B$20,BY1,6))</f>
        <v/>
      </c>
      <c r="BZ3" s="276" t="str">
        <f ca="1">IF(ISBLANK(OFFSET(解答設定!$B$20,BZ1,6)),"",OFFSET(解答設定!$B$20,BZ1,6))</f>
        <v/>
      </c>
      <c r="CA3" s="276" t="str">
        <f ca="1">IF(ISBLANK(OFFSET(解答設定!$B$20,CA1,6)),"",OFFSET(解答設定!$B$20,CA1,6))</f>
        <v/>
      </c>
      <c r="CB3" s="276" t="str">
        <f ca="1">IF(ISBLANK(OFFSET(解答設定!$B$20,CB1,6)),"",OFFSET(解答設定!$B$20,CB1,6))</f>
        <v/>
      </c>
      <c r="CC3" s="276" t="str">
        <f ca="1">IF(ISBLANK(OFFSET(解答設定!$B$20,CC1,6)),"",OFFSET(解答設定!$B$20,CC1,6))</f>
        <v/>
      </c>
      <c r="CD3" s="276" t="str">
        <f ca="1">IF(ISBLANK(OFFSET(解答設定!$B$20,CD1,6)),"",OFFSET(解答設定!$B$20,CD1,6))</f>
        <v/>
      </c>
      <c r="CE3" s="276" t="str">
        <f ca="1">IF(ISBLANK(OFFSET(解答設定!$B$20,CE1,6)),"",OFFSET(解答設定!$B$20,CE1,6))</f>
        <v/>
      </c>
      <c r="CF3" s="276" t="str">
        <f ca="1">IF(ISBLANK(OFFSET(解答設定!$B$20,CF1,6)),"",OFFSET(解答設定!$B$20,CF1,6))</f>
        <v/>
      </c>
      <c r="CG3" s="276" t="str">
        <f ca="1">IF(ISBLANK(OFFSET(解答設定!$B$20,CG1,6)),"",OFFSET(解答設定!$B$20,CG1,6))</f>
        <v/>
      </c>
      <c r="CH3" s="276" t="str">
        <f ca="1">IF(ISBLANK(OFFSET(解答設定!$B$20,CH1,6)),"",OFFSET(解答設定!$B$20,CH1,6))</f>
        <v/>
      </c>
      <c r="CI3" s="276" t="str">
        <f ca="1">IF(ISBLANK(OFFSET(解答設定!$B$20,CI1,6)),"",OFFSET(解答設定!$B$20,CI1,6))</f>
        <v/>
      </c>
      <c r="CJ3" s="276" t="str">
        <f ca="1">IF(ISBLANK(OFFSET(解答設定!$B$20,CJ1,6)),"",OFFSET(解答設定!$B$20,CJ1,6))</f>
        <v/>
      </c>
      <c r="CK3" s="276" t="str">
        <f ca="1">IF(ISBLANK(OFFSET(解答設定!$B$20,CK1,6)),"",OFFSET(解答設定!$B$20,CK1,6))</f>
        <v/>
      </c>
      <c r="CL3" s="276" t="str">
        <f ca="1">IF(ISBLANK(OFFSET(解答設定!$B$20,CL1,6)),"",OFFSET(解答設定!$B$20,CL1,6))</f>
        <v/>
      </c>
      <c r="CM3" s="276" t="str">
        <f ca="1">IF(ISBLANK(OFFSET(解答設定!$B$20,CM1,6)),"",OFFSET(解答設定!$B$20,CM1,6))</f>
        <v/>
      </c>
      <c r="CN3" s="276" t="str">
        <f ca="1">IF(ISBLANK(OFFSET(解答設定!$B$20,CN1,6)),"",OFFSET(解答設定!$B$20,CN1,6))</f>
        <v/>
      </c>
      <c r="CO3" s="276" t="str">
        <f ca="1">IF(ISBLANK(OFFSET(解答設定!$B$20,CO1,6)),"",OFFSET(解答設定!$B$20,CO1,6))</f>
        <v/>
      </c>
      <c r="CP3" s="276" t="str">
        <f ca="1">IF(ISBLANK(OFFSET(解答設定!$B$20,CP1,6)),"",OFFSET(解答設定!$B$20,CP1,6))</f>
        <v/>
      </c>
      <c r="CQ3" s="276" t="str">
        <f ca="1">IF(ISBLANK(OFFSET(解答設定!$B$20,CQ1,6)),"",OFFSET(解答設定!$B$20,CQ1,6))</f>
        <v/>
      </c>
      <c r="CR3" s="276" t="str">
        <f ca="1">IF(ISBLANK(OFFSET(解答設定!$B$20,CR1,6)),"",OFFSET(解答設定!$B$20,CR1,6))</f>
        <v/>
      </c>
      <c r="CS3" s="276" t="str">
        <f ca="1">IF(ISBLANK(OFFSET(解答設定!$B$20,CS1,6)),"",OFFSET(解答設定!$B$20,CS1,6))</f>
        <v/>
      </c>
      <c r="CT3" s="276" t="str">
        <f ca="1">IF(ISBLANK(OFFSET(解答設定!$B$20,CT1,6)),"",OFFSET(解答設定!$B$20,CT1,6))</f>
        <v/>
      </c>
      <c r="CU3" s="276" t="str">
        <f ca="1">IF(ISBLANK(OFFSET(解答設定!$B$20,CU1,6)),"",OFFSET(解答設定!$B$20,CU1,6))</f>
        <v/>
      </c>
      <c r="CV3" s="276" t="str">
        <f ca="1">IF(ISBLANK(OFFSET(解答設定!$B$20,CV1,6)),"",OFFSET(解答設定!$B$20,CV1,6))</f>
        <v/>
      </c>
      <c r="CW3" s="276" t="str">
        <f ca="1">IF(ISBLANK(OFFSET(解答設定!$B$20,CW1,6)),"",OFFSET(解答設定!$B$20,CW1,6))</f>
        <v/>
      </c>
      <c r="CX3" s="276" t="str">
        <f ca="1">IF(ISBLANK(OFFSET(解答設定!$B$20,CX1,6)),"",OFFSET(解答設定!$B$20,CX1,6))</f>
        <v/>
      </c>
      <c r="CY3" s="276" t="str">
        <f ca="1">IF(ISBLANK(OFFSET(解答設定!$B$20,CY1,6)),"",OFFSET(解答設定!$B$20,CY1,6))</f>
        <v/>
      </c>
      <c r="CZ3" s="276" t="str">
        <f ca="1">IF(ISBLANK(OFFSET(解答設定!$B$20,CZ1,6)),"",OFFSET(解答設定!$B$20,CZ1,6))</f>
        <v/>
      </c>
      <c r="DA3" s="276" t="str">
        <f ca="1">IF(ISBLANK(OFFSET(解答設定!$B$20,DA1,6)),"",OFFSET(解答設定!$B$20,DA1,6))</f>
        <v/>
      </c>
      <c r="DB3" s="289" t="str">
        <f>IF(SUM(F14:DA509)&lt;&gt;SUM(DB14:DG509),"マークシートの観点に過不足があります","マークシート")</f>
        <v>マークシート</v>
      </c>
      <c r="DC3" s="290"/>
      <c r="DD3" s="290"/>
      <c r="DE3" s="290"/>
      <c r="DF3" s="290"/>
      <c r="DG3" s="291"/>
      <c r="DH3" s="292" t="s">
        <v>48</v>
      </c>
      <c r="DI3" s="293"/>
      <c r="DJ3" s="293"/>
      <c r="DK3" s="293"/>
      <c r="DL3" s="293"/>
      <c r="DM3" s="294"/>
      <c r="DN3" s="285"/>
      <c r="DO3" s="288"/>
      <c r="DP3" s="296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70"/>
      <c r="D4" s="272"/>
      <c r="E4" s="274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/>
      <c r="V4" s="276"/>
      <c r="W4" s="276"/>
      <c r="X4" s="276"/>
      <c r="Y4" s="276"/>
      <c r="Z4" s="276"/>
      <c r="AA4" s="276"/>
      <c r="AB4" s="276"/>
      <c r="AC4" s="276"/>
      <c r="AD4" s="276"/>
      <c r="AE4" s="276"/>
      <c r="AF4" s="276"/>
      <c r="AG4" s="276"/>
      <c r="AH4" s="276"/>
      <c r="AI4" s="276"/>
      <c r="AJ4" s="276"/>
      <c r="AK4" s="276"/>
      <c r="AL4" s="276"/>
      <c r="AM4" s="276"/>
      <c r="AN4" s="276"/>
      <c r="AO4" s="276"/>
      <c r="AP4" s="276"/>
      <c r="AQ4" s="276"/>
      <c r="AR4" s="276"/>
      <c r="AS4" s="276"/>
      <c r="AT4" s="276"/>
      <c r="AU4" s="276"/>
      <c r="AV4" s="276"/>
      <c r="AW4" s="276"/>
      <c r="AX4" s="276"/>
      <c r="AY4" s="276"/>
      <c r="AZ4" s="276"/>
      <c r="BA4" s="276"/>
      <c r="BB4" s="276"/>
      <c r="BC4" s="276"/>
      <c r="BD4" s="276"/>
      <c r="BE4" s="276"/>
      <c r="BF4" s="276"/>
      <c r="BG4" s="276"/>
      <c r="BH4" s="276"/>
      <c r="BI4" s="276"/>
      <c r="BJ4" s="276"/>
      <c r="BK4" s="276"/>
      <c r="BL4" s="276"/>
      <c r="BM4" s="276"/>
      <c r="BN4" s="276"/>
      <c r="BO4" s="276"/>
      <c r="BP4" s="276"/>
      <c r="BQ4" s="276"/>
      <c r="BR4" s="276"/>
      <c r="BS4" s="276"/>
      <c r="BT4" s="276"/>
      <c r="BU4" s="276"/>
      <c r="BV4" s="276"/>
      <c r="BW4" s="276"/>
      <c r="BX4" s="276"/>
      <c r="BY4" s="276"/>
      <c r="BZ4" s="276"/>
      <c r="CA4" s="276"/>
      <c r="CB4" s="276"/>
      <c r="CC4" s="276"/>
      <c r="CD4" s="276"/>
      <c r="CE4" s="276"/>
      <c r="CF4" s="276"/>
      <c r="CG4" s="276"/>
      <c r="CH4" s="276"/>
      <c r="CI4" s="276"/>
      <c r="CJ4" s="276"/>
      <c r="CK4" s="276"/>
      <c r="CL4" s="276"/>
      <c r="CM4" s="276"/>
      <c r="CN4" s="276"/>
      <c r="CO4" s="276"/>
      <c r="CP4" s="276"/>
      <c r="CQ4" s="276"/>
      <c r="CR4" s="276"/>
      <c r="CS4" s="276"/>
      <c r="CT4" s="276"/>
      <c r="CU4" s="276"/>
      <c r="CV4" s="276"/>
      <c r="CW4" s="276"/>
      <c r="CX4" s="276"/>
      <c r="CY4" s="276"/>
      <c r="CZ4" s="276"/>
      <c r="DA4" s="295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86"/>
      <c r="DO4" s="288"/>
      <c r="DP4" s="296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70"/>
      <c r="D5" s="272"/>
      <c r="E5" s="274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81" t="str">
        <f>IFERROR(HLOOKUP(DB4,解答設定!$F$6:$AS$13,5),"")</f>
        <v/>
      </c>
      <c r="DC5" s="283" t="str">
        <f>IFERROR(HLOOKUP(DC4,解答設定!$F$6:$AS$13,5),"")</f>
        <v/>
      </c>
      <c r="DD5" s="283" t="str">
        <f>IFERROR(HLOOKUP(DD4,解答設定!$F$6:$AS$13,5),"")</f>
        <v/>
      </c>
      <c r="DE5" s="283" t="str">
        <f>IFERROR(HLOOKUP(DE4,解答設定!$F$6:$AS$13,5),"")</f>
        <v/>
      </c>
      <c r="DF5" s="283" t="str">
        <f>IFERROR(HLOOKUP(DF4,解答設定!$F$6:$AS$13,5),"")</f>
        <v/>
      </c>
      <c r="DG5" s="283" t="str">
        <f>IFERROR(HLOOKUP(DG4,解答設定!$F$6:$AS$13,5),"")</f>
        <v/>
      </c>
      <c r="DH5" s="279" t="str">
        <f>IFERROR(HLOOKUP(DH4,解答設定!$F$6:$AS$13,5),"")</f>
        <v/>
      </c>
      <c r="DI5" s="279" t="str">
        <f>IFERROR(HLOOKUP(DI4,解答設定!$F$6:$AS$13,5),"")</f>
        <v/>
      </c>
      <c r="DJ5" s="279" t="str">
        <f>IFERROR(HLOOKUP(DJ4,解答設定!$F$6:$AS$13,5),"")</f>
        <v/>
      </c>
      <c r="DK5" s="279" t="str">
        <f>IFERROR(HLOOKUP(DK4,解答設定!$F$6:$AS$13,5),"")</f>
        <v/>
      </c>
      <c r="DL5" s="279" t="str">
        <f>IFERROR(HLOOKUP(DL4,解答設定!$F$6:$AS$13,5),"")</f>
        <v/>
      </c>
      <c r="DM5" s="279" t="str">
        <f>IFERROR(HLOOKUP(DM4,解答設定!$F$6:$AS$13,5),"")</f>
        <v/>
      </c>
      <c r="DN5" s="285"/>
      <c r="DO5" s="288"/>
      <c r="DP5" s="296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70"/>
      <c r="D6" s="272"/>
      <c r="E6" s="274"/>
      <c r="F6" s="277" t="str">
        <f ca="1">IF(ISBLANK(OFFSET(解答設定!$B$20,F1,16)),"",OFFSET(解答設定!$B$20,F1,16))</f>
        <v/>
      </c>
      <c r="G6" s="277" t="str">
        <f ca="1">IF(ISBLANK(OFFSET(解答設定!$B$20,G1,16)),"",OFFSET(解答設定!$B$20,G1,16))</f>
        <v/>
      </c>
      <c r="H6" s="277" t="str">
        <f ca="1">IF(ISBLANK(OFFSET(解答設定!$B$20,H1,16)),"",OFFSET(解答設定!$B$20,H1,16))</f>
        <v/>
      </c>
      <c r="I6" s="277" t="str">
        <f ca="1">IF(ISBLANK(OFFSET(解答設定!$B$20,I1,16)),"",OFFSET(解答設定!$B$20,I1,16))</f>
        <v/>
      </c>
      <c r="J6" s="277" t="str">
        <f ca="1">IF(ISBLANK(OFFSET(解答設定!$B$20,J1,16)),"",OFFSET(解答設定!$B$20,J1,16))</f>
        <v/>
      </c>
      <c r="K6" s="277" t="str">
        <f ca="1">IF(ISBLANK(OFFSET(解答設定!$B$20,K1,16)),"",OFFSET(解答設定!$B$20,K1,16))</f>
        <v/>
      </c>
      <c r="L6" s="277" t="str">
        <f ca="1">IF(ISBLANK(OFFSET(解答設定!$B$20,L1,16)),"",OFFSET(解答設定!$B$20,L1,16))</f>
        <v/>
      </c>
      <c r="M6" s="277" t="str">
        <f ca="1">IF(ISBLANK(OFFSET(解答設定!$B$20,M1,16)),"",OFFSET(解答設定!$B$20,M1,16))</f>
        <v/>
      </c>
      <c r="N6" s="277" t="str">
        <f ca="1">IF(ISBLANK(OFFSET(解答設定!$B$20,N1,16)),"",OFFSET(解答設定!$B$20,N1,16))</f>
        <v/>
      </c>
      <c r="O6" s="277" t="str">
        <f ca="1">IF(ISBLANK(OFFSET(解答設定!$B$20,O1,16)),"",OFFSET(解答設定!$B$20,O1,16))</f>
        <v/>
      </c>
      <c r="P6" s="277" t="str">
        <f ca="1">IF(ISBLANK(OFFSET(解答設定!$B$20,P1,16)),"",OFFSET(解答設定!$B$20,P1,16))</f>
        <v/>
      </c>
      <c r="Q6" s="277" t="str">
        <f ca="1">IF(ISBLANK(OFFSET(解答設定!$B$20,Q1,16)),"",OFFSET(解答設定!$B$20,Q1,16))</f>
        <v/>
      </c>
      <c r="R6" s="277" t="str">
        <f ca="1">IF(ISBLANK(OFFSET(解答設定!$B$20,R1,16)),"",OFFSET(解答設定!$B$20,R1,16))</f>
        <v/>
      </c>
      <c r="S6" s="277" t="str">
        <f ca="1">IF(ISBLANK(OFFSET(解答設定!$B$20,S1,16)),"",OFFSET(解答設定!$B$20,S1,16))</f>
        <v/>
      </c>
      <c r="T6" s="277" t="str">
        <f ca="1">IF(ISBLANK(OFFSET(解答設定!$B$20,T1,16)),"",OFFSET(解答設定!$B$20,T1,16))</f>
        <v/>
      </c>
      <c r="U6" s="277" t="str">
        <f ca="1">IF(ISBLANK(OFFSET(解答設定!$B$20,U1,16)),"",OFFSET(解答設定!$B$20,U1,16))</f>
        <v/>
      </c>
      <c r="V6" s="277" t="str">
        <f ca="1">IF(ISBLANK(OFFSET(解答設定!$B$20,V1,16)),"",OFFSET(解答設定!$B$20,V1,16))</f>
        <v/>
      </c>
      <c r="W6" s="277" t="str">
        <f ca="1">IF(ISBLANK(OFFSET(解答設定!$B$20,W1,16)),"",OFFSET(解答設定!$B$20,W1,16))</f>
        <v/>
      </c>
      <c r="X6" s="277" t="str">
        <f ca="1">IF(ISBLANK(OFFSET(解答設定!$B$20,X1,16)),"",OFFSET(解答設定!$B$20,X1,16))</f>
        <v/>
      </c>
      <c r="Y6" s="277" t="str">
        <f ca="1">IF(ISBLANK(OFFSET(解答設定!$B$20,Y1,16)),"",OFFSET(解答設定!$B$20,Y1,16))</f>
        <v/>
      </c>
      <c r="Z6" s="277" t="str">
        <f ca="1">IF(ISBLANK(OFFSET(解答設定!$B$20,Z1,16)),"",OFFSET(解答設定!$B$20,Z1,16))</f>
        <v/>
      </c>
      <c r="AA6" s="277" t="str">
        <f ca="1">IF(ISBLANK(OFFSET(解答設定!$B$20,AA1,16)),"",OFFSET(解答設定!$B$20,AA1,16))</f>
        <v/>
      </c>
      <c r="AB6" s="277" t="str">
        <f ca="1">IF(ISBLANK(OFFSET(解答設定!$B$20,AB1,16)),"",OFFSET(解答設定!$B$20,AB1,16))</f>
        <v/>
      </c>
      <c r="AC6" s="277" t="str">
        <f ca="1">IF(ISBLANK(OFFSET(解答設定!$B$20,AC1,16)),"",OFFSET(解答設定!$B$20,AC1,16))</f>
        <v/>
      </c>
      <c r="AD6" s="277" t="str">
        <f ca="1">IF(ISBLANK(OFFSET(解答設定!$B$20,AD1,16)),"",OFFSET(解答設定!$B$20,AD1,16))</f>
        <v/>
      </c>
      <c r="AE6" s="277" t="str">
        <f ca="1">IF(ISBLANK(OFFSET(解答設定!$B$20,AE1,16)),"",OFFSET(解答設定!$B$20,AE1,16))</f>
        <v/>
      </c>
      <c r="AF6" s="277" t="str">
        <f ca="1">IF(ISBLANK(OFFSET(解答設定!$B$20,AF1,16)),"",OFFSET(解答設定!$B$20,AF1,16))</f>
        <v/>
      </c>
      <c r="AG6" s="277" t="str">
        <f ca="1">IF(ISBLANK(OFFSET(解答設定!$B$20,AG1,16)),"",OFFSET(解答設定!$B$20,AG1,16))</f>
        <v/>
      </c>
      <c r="AH6" s="277" t="str">
        <f ca="1">IF(ISBLANK(OFFSET(解答設定!$B$20,AH1,16)),"",OFFSET(解答設定!$B$20,AH1,16))</f>
        <v/>
      </c>
      <c r="AI6" s="277" t="str">
        <f ca="1">IF(ISBLANK(OFFSET(解答設定!$B$20,AI1,16)),"",OFFSET(解答設定!$B$20,AI1,16))</f>
        <v/>
      </c>
      <c r="AJ6" s="277" t="str">
        <f ca="1">IF(ISBLANK(OFFSET(解答設定!$B$20,AJ1,16)),"",OFFSET(解答設定!$B$20,AJ1,16))</f>
        <v/>
      </c>
      <c r="AK6" s="277" t="str">
        <f ca="1">IF(ISBLANK(OFFSET(解答設定!$B$20,AK1,16)),"",OFFSET(解答設定!$B$20,AK1,16))</f>
        <v/>
      </c>
      <c r="AL6" s="277" t="str">
        <f ca="1">IF(ISBLANK(OFFSET(解答設定!$B$20,AL1,16)),"",OFFSET(解答設定!$B$20,AL1,16))</f>
        <v/>
      </c>
      <c r="AM6" s="277" t="str">
        <f ca="1">IF(ISBLANK(OFFSET(解答設定!$B$20,AM1,16)),"",OFFSET(解答設定!$B$20,AM1,16))</f>
        <v/>
      </c>
      <c r="AN6" s="277" t="str">
        <f ca="1">IF(ISBLANK(OFFSET(解答設定!$B$20,AN1,16)),"",OFFSET(解答設定!$B$20,AN1,16))</f>
        <v/>
      </c>
      <c r="AO6" s="277" t="str">
        <f ca="1">IF(ISBLANK(OFFSET(解答設定!$B$20,AO1,16)),"",OFFSET(解答設定!$B$20,AO1,16))</f>
        <v/>
      </c>
      <c r="AP6" s="277" t="str">
        <f ca="1">IF(ISBLANK(OFFSET(解答設定!$B$20,AP1,16)),"",OFFSET(解答設定!$B$20,AP1,16))</f>
        <v/>
      </c>
      <c r="AQ6" s="277" t="str">
        <f ca="1">IF(ISBLANK(OFFSET(解答設定!$B$20,AQ1,16)),"",OFFSET(解答設定!$B$20,AQ1,16))</f>
        <v/>
      </c>
      <c r="AR6" s="277" t="str">
        <f ca="1">IF(ISBLANK(OFFSET(解答設定!$B$20,AR1,16)),"",OFFSET(解答設定!$B$20,AR1,16))</f>
        <v/>
      </c>
      <c r="AS6" s="277" t="str">
        <f ca="1">IF(ISBLANK(OFFSET(解答設定!$B$20,AS1,16)),"",OFFSET(解答設定!$B$20,AS1,16))</f>
        <v/>
      </c>
      <c r="AT6" s="277" t="str">
        <f ca="1">IF(ISBLANK(OFFSET(解答設定!$B$20,AT1,16)),"",OFFSET(解答設定!$B$20,AT1,16))</f>
        <v/>
      </c>
      <c r="AU6" s="277" t="str">
        <f ca="1">IF(ISBLANK(OFFSET(解答設定!$B$20,AU1,16)),"",OFFSET(解答設定!$B$20,AU1,16))</f>
        <v/>
      </c>
      <c r="AV6" s="277" t="str">
        <f ca="1">IF(ISBLANK(OFFSET(解答設定!$B$20,AV1,16)),"",OFFSET(解答設定!$B$20,AV1,16))</f>
        <v/>
      </c>
      <c r="AW6" s="277" t="str">
        <f ca="1">IF(ISBLANK(OFFSET(解答設定!$B$20,AW1,16)),"",OFFSET(解答設定!$B$20,AW1,16))</f>
        <v/>
      </c>
      <c r="AX6" s="277" t="str">
        <f ca="1">IF(ISBLANK(OFFSET(解答設定!$B$20,AX1,16)),"",OFFSET(解答設定!$B$20,AX1,16))</f>
        <v/>
      </c>
      <c r="AY6" s="277" t="str">
        <f ca="1">IF(ISBLANK(OFFSET(解答設定!$B$20,AY1,16)),"",OFFSET(解答設定!$B$20,AY1,16))</f>
        <v/>
      </c>
      <c r="AZ6" s="277" t="str">
        <f ca="1">IF(ISBLANK(OFFSET(解答設定!$B$20,AZ1,16)),"",OFFSET(解答設定!$B$20,AZ1,16))</f>
        <v/>
      </c>
      <c r="BA6" s="277" t="str">
        <f ca="1">IF(ISBLANK(OFFSET(解答設定!$B$20,BA1,16)),"",OFFSET(解答設定!$B$20,BA1,16))</f>
        <v/>
      </c>
      <c r="BB6" s="277" t="str">
        <f ca="1">IF(ISBLANK(OFFSET(解答設定!$B$20,BB1,16)),"",OFFSET(解答設定!$B$20,BB1,16))</f>
        <v/>
      </c>
      <c r="BC6" s="277" t="str">
        <f ca="1">IF(ISBLANK(OFFSET(解答設定!$B$20,BC1,16)),"",OFFSET(解答設定!$B$20,BC1,16))</f>
        <v/>
      </c>
      <c r="BD6" s="277" t="str">
        <f ca="1">IF(ISBLANK(OFFSET(解答設定!$B$20,BD1,16)),"",OFFSET(解答設定!$B$20,BD1,16))</f>
        <v/>
      </c>
      <c r="BE6" s="277" t="str">
        <f ca="1">IF(ISBLANK(OFFSET(解答設定!$B$20,BE1,16)),"",OFFSET(解答設定!$B$20,BE1,16))</f>
        <v/>
      </c>
      <c r="BF6" s="277" t="str">
        <f ca="1">IF(ISBLANK(OFFSET(解答設定!$B$20,BF1,16)),"",OFFSET(解答設定!$B$20,BF1,16))</f>
        <v/>
      </c>
      <c r="BG6" s="277" t="str">
        <f ca="1">IF(ISBLANK(OFFSET(解答設定!$B$20,BG1,16)),"",OFFSET(解答設定!$B$20,BG1,16))</f>
        <v/>
      </c>
      <c r="BH6" s="277" t="str">
        <f ca="1">IF(ISBLANK(OFFSET(解答設定!$B$20,BH1,16)),"",OFFSET(解答設定!$B$20,BH1,16))</f>
        <v/>
      </c>
      <c r="BI6" s="277" t="str">
        <f ca="1">IF(ISBLANK(OFFSET(解答設定!$B$20,BI1,16)),"",OFFSET(解答設定!$B$20,BI1,16))</f>
        <v/>
      </c>
      <c r="BJ6" s="277" t="str">
        <f ca="1">IF(ISBLANK(OFFSET(解答設定!$B$20,BJ1,16)),"",OFFSET(解答設定!$B$20,BJ1,16))</f>
        <v/>
      </c>
      <c r="BK6" s="277" t="str">
        <f ca="1">IF(ISBLANK(OFFSET(解答設定!$B$20,BK1,16)),"",OFFSET(解答設定!$B$20,BK1,16))</f>
        <v/>
      </c>
      <c r="BL6" s="277" t="str">
        <f ca="1">IF(ISBLANK(OFFSET(解答設定!$B$20,BL1,16)),"",OFFSET(解答設定!$B$20,BL1,16))</f>
        <v/>
      </c>
      <c r="BM6" s="277" t="str">
        <f ca="1">IF(ISBLANK(OFFSET(解答設定!$B$20,BM1,16)),"",OFFSET(解答設定!$B$20,BM1,16))</f>
        <v/>
      </c>
      <c r="BN6" s="277" t="str">
        <f ca="1">IF(ISBLANK(OFFSET(解答設定!$B$20,BN1,16)),"",OFFSET(解答設定!$B$20,BN1,16))</f>
        <v/>
      </c>
      <c r="BO6" s="277" t="str">
        <f ca="1">IF(ISBLANK(OFFSET(解答設定!$B$20,BO1,16)),"",OFFSET(解答設定!$B$20,BO1,16))</f>
        <v/>
      </c>
      <c r="BP6" s="277" t="str">
        <f ca="1">IF(ISBLANK(OFFSET(解答設定!$B$20,BP1,16)),"",OFFSET(解答設定!$B$20,BP1,16))</f>
        <v/>
      </c>
      <c r="BQ6" s="277" t="str">
        <f ca="1">IF(ISBLANK(OFFSET(解答設定!$B$20,BQ1,16)),"",OFFSET(解答設定!$B$20,BQ1,16))</f>
        <v/>
      </c>
      <c r="BR6" s="277" t="str">
        <f ca="1">IF(ISBLANK(OFFSET(解答設定!$B$20,BR1,16)),"",OFFSET(解答設定!$B$20,BR1,16))</f>
        <v/>
      </c>
      <c r="BS6" s="277" t="str">
        <f ca="1">IF(ISBLANK(OFFSET(解答設定!$B$20,BS1,16)),"",OFFSET(解答設定!$B$20,BS1,16))</f>
        <v/>
      </c>
      <c r="BT6" s="277" t="str">
        <f ca="1">IF(ISBLANK(OFFSET(解答設定!$B$20,BT1,16)),"",OFFSET(解答設定!$B$20,BT1,16))</f>
        <v/>
      </c>
      <c r="BU6" s="277" t="str">
        <f ca="1">IF(ISBLANK(OFFSET(解答設定!$B$20,BU1,16)),"",OFFSET(解答設定!$B$20,BU1,16))</f>
        <v/>
      </c>
      <c r="BV6" s="277" t="str">
        <f ca="1">IF(ISBLANK(OFFSET(解答設定!$B$20,BV1,16)),"",OFFSET(解答設定!$B$20,BV1,16))</f>
        <v/>
      </c>
      <c r="BW6" s="277" t="str">
        <f ca="1">IF(ISBLANK(OFFSET(解答設定!$B$20,BW1,16)),"",OFFSET(解答設定!$B$20,BW1,16))</f>
        <v/>
      </c>
      <c r="BX6" s="277" t="str">
        <f ca="1">IF(ISBLANK(OFFSET(解答設定!$B$20,BX1,16)),"",OFFSET(解答設定!$B$20,BX1,16))</f>
        <v/>
      </c>
      <c r="BY6" s="277" t="str">
        <f ca="1">IF(ISBLANK(OFFSET(解答設定!$B$20,BY1,16)),"",OFFSET(解答設定!$B$20,BY1,16))</f>
        <v/>
      </c>
      <c r="BZ6" s="277" t="str">
        <f ca="1">IF(ISBLANK(OFFSET(解答設定!$B$20,BZ1,16)),"",OFFSET(解答設定!$B$20,BZ1,16))</f>
        <v/>
      </c>
      <c r="CA6" s="277" t="str">
        <f ca="1">IF(ISBLANK(OFFSET(解答設定!$B$20,CA1,16)),"",OFFSET(解答設定!$B$20,CA1,16))</f>
        <v/>
      </c>
      <c r="CB6" s="277" t="str">
        <f ca="1">IF(ISBLANK(OFFSET(解答設定!$B$20,CB1,16)),"",OFFSET(解答設定!$B$20,CB1,16))</f>
        <v/>
      </c>
      <c r="CC6" s="277" t="str">
        <f ca="1">IF(ISBLANK(OFFSET(解答設定!$B$20,CC1,16)),"",OFFSET(解答設定!$B$20,CC1,16))</f>
        <v/>
      </c>
      <c r="CD6" s="277" t="str">
        <f ca="1">IF(ISBLANK(OFFSET(解答設定!$B$20,CD1,16)),"",OFFSET(解答設定!$B$20,CD1,16))</f>
        <v/>
      </c>
      <c r="CE6" s="277" t="str">
        <f ca="1">IF(ISBLANK(OFFSET(解答設定!$B$20,CE1,16)),"",OFFSET(解答設定!$B$20,CE1,16))</f>
        <v/>
      </c>
      <c r="CF6" s="277" t="str">
        <f ca="1">IF(ISBLANK(OFFSET(解答設定!$B$20,CF1,16)),"",OFFSET(解答設定!$B$20,CF1,16))</f>
        <v/>
      </c>
      <c r="CG6" s="277" t="str">
        <f ca="1">IF(ISBLANK(OFFSET(解答設定!$B$20,CG1,16)),"",OFFSET(解答設定!$B$20,CG1,16))</f>
        <v/>
      </c>
      <c r="CH6" s="277" t="str">
        <f ca="1">IF(ISBLANK(OFFSET(解答設定!$B$20,CH1,16)),"",OFFSET(解答設定!$B$20,CH1,16))</f>
        <v/>
      </c>
      <c r="CI6" s="277" t="str">
        <f ca="1">IF(ISBLANK(OFFSET(解答設定!$B$20,CI1,16)),"",OFFSET(解答設定!$B$20,CI1,16))</f>
        <v/>
      </c>
      <c r="CJ6" s="277" t="str">
        <f ca="1">IF(ISBLANK(OFFSET(解答設定!$B$20,CJ1,16)),"",OFFSET(解答設定!$B$20,CJ1,16))</f>
        <v/>
      </c>
      <c r="CK6" s="277" t="str">
        <f ca="1">IF(ISBLANK(OFFSET(解答設定!$B$20,CK1,16)),"",OFFSET(解答設定!$B$20,CK1,16))</f>
        <v/>
      </c>
      <c r="CL6" s="277" t="str">
        <f ca="1">IF(ISBLANK(OFFSET(解答設定!$B$20,CL1,16)),"",OFFSET(解答設定!$B$20,CL1,16))</f>
        <v/>
      </c>
      <c r="CM6" s="277" t="str">
        <f ca="1">IF(ISBLANK(OFFSET(解答設定!$B$20,CM1,16)),"",OFFSET(解答設定!$B$20,CM1,16))</f>
        <v/>
      </c>
      <c r="CN6" s="277" t="str">
        <f ca="1">IF(ISBLANK(OFFSET(解答設定!$B$20,CN1,16)),"",OFFSET(解答設定!$B$20,CN1,16))</f>
        <v/>
      </c>
      <c r="CO6" s="277" t="str">
        <f ca="1">IF(ISBLANK(OFFSET(解答設定!$B$20,CO1,16)),"",OFFSET(解答設定!$B$20,CO1,16))</f>
        <v/>
      </c>
      <c r="CP6" s="277" t="str">
        <f ca="1">IF(ISBLANK(OFFSET(解答設定!$B$20,CP1,16)),"",OFFSET(解答設定!$B$20,CP1,16))</f>
        <v/>
      </c>
      <c r="CQ6" s="277" t="str">
        <f ca="1">IF(ISBLANK(OFFSET(解答設定!$B$20,CQ1,16)),"",OFFSET(解答設定!$B$20,CQ1,16))</f>
        <v/>
      </c>
      <c r="CR6" s="277" t="str">
        <f ca="1">IF(ISBLANK(OFFSET(解答設定!$B$20,CR1,16)),"",OFFSET(解答設定!$B$20,CR1,16))</f>
        <v/>
      </c>
      <c r="CS6" s="277" t="str">
        <f ca="1">IF(ISBLANK(OFFSET(解答設定!$B$20,CS1,16)),"",OFFSET(解答設定!$B$20,CS1,16))</f>
        <v/>
      </c>
      <c r="CT6" s="277" t="str">
        <f ca="1">IF(ISBLANK(OFFSET(解答設定!$B$20,CT1,16)),"",OFFSET(解答設定!$B$20,CT1,16))</f>
        <v/>
      </c>
      <c r="CU6" s="277" t="str">
        <f ca="1">IF(ISBLANK(OFFSET(解答設定!$B$20,CU1,16)),"",OFFSET(解答設定!$B$20,CU1,16))</f>
        <v/>
      </c>
      <c r="CV6" s="277" t="str">
        <f ca="1">IF(ISBLANK(OFFSET(解答設定!$B$20,CV1,16)),"",OFFSET(解答設定!$B$20,CV1,16))</f>
        <v/>
      </c>
      <c r="CW6" s="277" t="str">
        <f ca="1">IF(ISBLANK(OFFSET(解答設定!$B$20,CW1,16)),"",OFFSET(解答設定!$B$20,CW1,16))</f>
        <v/>
      </c>
      <c r="CX6" s="277" t="str">
        <f ca="1">IF(ISBLANK(OFFSET(解答設定!$B$20,CX1,16)),"",OFFSET(解答設定!$B$20,CX1,16))</f>
        <v/>
      </c>
      <c r="CY6" s="277" t="str">
        <f ca="1">IF(ISBLANK(OFFSET(解答設定!$B$20,CY1,16)),"",OFFSET(解答設定!$B$20,CY1,16))</f>
        <v/>
      </c>
      <c r="CZ6" s="277" t="str">
        <f ca="1">IF(ISBLANK(OFFSET(解答設定!$B$20,CZ1,16)),"",OFFSET(解答設定!$B$20,CZ1,16))</f>
        <v/>
      </c>
      <c r="DA6" s="277" t="str">
        <f ca="1">IF(ISBLANK(OFFSET(解答設定!$B$20,DA1,16)),"",OFFSET(解答設定!$B$20,DA1,16))</f>
        <v/>
      </c>
      <c r="DB6" s="282"/>
      <c r="DC6" s="283"/>
      <c r="DD6" s="283"/>
      <c r="DE6" s="283"/>
      <c r="DF6" s="283"/>
      <c r="DG6" s="283"/>
      <c r="DH6" s="279"/>
      <c r="DI6" s="279"/>
      <c r="DJ6" s="279"/>
      <c r="DK6" s="279"/>
      <c r="DL6" s="279"/>
      <c r="DM6" s="279"/>
      <c r="DN6" s="285"/>
      <c r="DO6" s="288"/>
      <c r="DP6" s="296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70"/>
      <c r="D7" s="272"/>
      <c r="E7" s="274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277"/>
      <c r="V7" s="277"/>
      <c r="W7" s="277"/>
      <c r="X7" s="277"/>
      <c r="Y7" s="277"/>
      <c r="Z7" s="277"/>
      <c r="AA7" s="277"/>
      <c r="AB7" s="277"/>
      <c r="AC7" s="277"/>
      <c r="AD7" s="277"/>
      <c r="AE7" s="277"/>
      <c r="AF7" s="277"/>
      <c r="AG7" s="277"/>
      <c r="AH7" s="277"/>
      <c r="AI7" s="277"/>
      <c r="AJ7" s="277"/>
      <c r="AK7" s="277"/>
      <c r="AL7" s="277"/>
      <c r="AM7" s="277"/>
      <c r="AN7" s="277"/>
      <c r="AO7" s="277"/>
      <c r="AP7" s="277"/>
      <c r="AQ7" s="277"/>
      <c r="AR7" s="277"/>
      <c r="AS7" s="277"/>
      <c r="AT7" s="277"/>
      <c r="AU7" s="277"/>
      <c r="AV7" s="277"/>
      <c r="AW7" s="277"/>
      <c r="AX7" s="277"/>
      <c r="AY7" s="277"/>
      <c r="AZ7" s="277"/>
      <c r="BA7" s="277"/>
      <c r="BB7" s="277"/>
      <c r="BC7" s="277"/>
      <c r="BD7" s="277"/>
      <c r="BE7" s="277"/>
      <c r="BF7" s="277"/>
      <c r="BG7" s="277"/>
      <c r="BH7" s="277"/>
      <c r="BI7" s="277"/>
      <c r="BJ7" s="277"/>
      <c r="BK7" s="277"/>
      <c r="BL7" s="277"/>
      <c r="BM7" s="277"/>
      <c r="BN7" s="277"/>
      <c r="BO7" s="277"/>
      <c r="BP7" s="277"/>
      <c r="BQ7" s="277"/>
      <c r="BR7" s="277"/>
      <c r="BS7" s="277"/>
      <c r="BT7" s="277"/>
      <c r="BU7" s="277"/>
      <c r="BV7" s="277"/>
      <c r="BW7" s="277"/>
      <c r="BX7" s="277"/>
      <c r="BY7" s="277"/>
      <c r="BZ7" s="277"/>
      <c r="CA7" s="277"/>
      <c r="CB7" s="277"/>
      <c r="CC7" s="277"/>
      <c r="CD7" s="277"/>
      <c r="CE7" s="277"/>
      <c r="CF7" s="277"/>
      <c r="CG7" s="277"/>
      <c r="CH7" s="277"/>
      <c r="CI7" s="277"/>
      <c r="CJ7" s="277"/>
      <c r="CK7" s="277"/>
      <c r="CL7" s="277"/>
      <c r="CM7" s="277"/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82"/>
      <c r="DC7" s="283"/>
      <c r="DD7" s="283"/>
      <c r="DE7" s="283"/>
      <c r="DF7" s="283"/>
      <c r="DG7" s="283"/>
      <c r="DH7" s="279"/>
      <c r="DI7" s="279"/>
      <c r="DJ7" s="279"/>
      <c r="DK7" s="279"/>
      <c r="DL7" s="279"/>
      <c r="DM7" s="279"/>
      <c r="DN7" s="285"/>
      <c r="DO7" s="288"/>
      <c r="DP7" s="296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70"/>
      <c r="D8" s="272"/>
      <c r="E8" s="274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82"/>
      <c r="DC8" s="283"/>
      <c r="DD8" s="283"/>
      <c r="DE8" s="283"/>
      <c r="DF8" s="283"/>
      <c r="DG8" s="283"/>
      <c r="DH8" s="279"/>
      <c r="DI8" s="279"/>
      <c r="DJ8" s="279"/>
      <c r="DK8" s="279"/>
      <c r="DL8" s="279"/>
      <c r="DM8" s="279"/>
      <c r="DN8" s="285"/>
      <c r="DO8" s="288"/>
      <c r="DP8" s="296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70"/>
      <c r="D9" s="272"/>
      <c r="E9" s="274"/>
      <c r="F9" s="278" t="str">
        <f ca="1">IF(ISBLANK(OFFSET(解答設定!$B$20,F1,3)),"",OFFSET(解答設定!$B$20,F1,3))</f>
        <v/>
      </c>
      <c r="G9" s="278" t="str">
        <f ca="1">IF(ISBLANK(OFFSET(解答設定!$B$20,G1,3)),"",OFFSET(解答設定!$B$20,G1,3))</f>
        <v/>
      </c>
      <c r="H9" s="278" t="str">
        <f ca="1">IF(ISBLANK(OFFSET(解答設定!$B$20,H1,3)),"",OFFSET(解答設定!$B$20,H1,3))</f>
        <v/>
      </c>
      <c r="I9" s="278" t="str">
        <f ca="1">IF(ISBLANK(OFFSET(解答設定!$B$20,I1,3)),"",OFFSET(解答設定!$B$20,I1,3))</f>
        <v/>
      </c>
      <c r="J9" s="278" t="str">
        <f ca="1">IF(ISBLANK(OFFSET(解答設定!$B$20,J1,3)),"",OFFSET(解答設定!$B$20,J1,3))</f>
        <v/>
      </c>
      <c r="K9" s="278" t="str">
        <f ca="1">IF(ISBLANK(OFFSET(解答設定!$B$20,K1,3)),"",OFFSET(解答設定!$B$20,K1,3))</f>
        <v/>
      </c>
      <c r="L9" s="278" t="str">
        <f ca="1">IF(ISBLANK(OFFSET(解答設定!$B$20,L1,3)),"",OFFSET(解答設定!$B$20,L1,3))</f>
        <v/>
      </c>
      <c r="M9" s="278" t="str">
        <f ca="1">IF(ISBLANK(OFFSET(解答設定!$B$20,M1,3)),"",OFFSET(解答設定!$B$20,M1,3))</f>
        <v/>
      </c>
      <c r="N9" s="278" t="str">
        <f ca="1">IF(ISBLANK(OFFSET(解答設定!$B$20,N1,3)),"",OFFSET(解答設定!$B$20,N1,3))</f>
        <v/>
      </c>
      <c r="O9" s="278" t="str">
        <f ca="1">IF(ISBLANK(OFFSET(解答設定!$B$20,O1,3)),"",OFFSET(解答設定!$B$20,O1,3))</f>
        <v/>
      </c>
      <c r="P9" s="278" t="str">
        <f ca="1">IF(ISBLANK(OFFSET(解答設定!$B$20,P1,3)),"",OFFSET(解答設定!$B$20,P1,3))</f>
        <v/>
      </c>
      <c r="Q9" s="278" t="str">
        <f ca="1">IF(ISBLANK(OFFSET(解答設定!$B$20,Q1,3)),"",OFFSET(解答設定!$B$20,Q1,3))</f>
        <v/>
      </c>
      <c r="R9" s="278" t="str">
        <f ca="1">IF(ISBLANK(OFFSET(解答設定!$B$20,R1,3)),"",OFFSET(解答設定!$B$20,R1,3))</f>
        <v/>
      </c>
      <c r="S9" s="278" t="str">
        <f ca="1">IF(ISBLANK(OFFSET(解答設定!$B$20,S1,3)),"",OFFSET(解答設定!$B$20,S1,3))</f>
        <v/>
      </c>
      <c r="T9" s="278" t="str">
        <f ca="1">IF(ISBLANK(OFFSET(解答設定!$B$20,T1,3)),"",OFFSET(解答設定!$B$20,T1,3))</f>
        <v/>
      </c>
      <c r="U9" s="278" t="str">
        <f ca="1">IF(ISBLANK(OFFSET(解答設定!$B$20,U1,3)),"",OFFSET(解答設定!$B$20,U1,3))</f>
        <v/>
      </c>
      <c r="V9" s="278" t="str">
        <f ca="1">IF(ISBLANK(OFFSET(解答設定!$B$20,V1,3)),"",OFFSET(解答設定!$B$20,V1,3))</f>
        <v/>
      </c>
      <c r="W9" s="278" t="str">
        <f ca="1">IF(ISBLANK(OFFSET(解答設定!$B$20,W1,3)),"",OFFSET(解答設定!$B$20,W1,3))</f>
        <v/>
      </c>
      <c r="X9" s="278" t="str">
        <f ca="1">IF(ISBLANK(OFFSET(解答設定!$B$20,X1,3)),"",OFFSET(解答設定!$B$20,X1,3))</f>
        <v/>
      </c>
      <c r="Y9" s="278" t="str">
        <f ca="1">IF(ISBLANK(OFFSET(解答設定!$B$20,Y1,3)),"",OFFSET(解答設定!$B$20,Y1,3))</f>
        <v/>
      </c>
      <c r="Z9" s="278" t="str">
        <f ca="1">IF(ISBLANK(OFFSET(解答設定!$B$20,Z1,3)),"",OFFSET(解答設定!$B$20,Z1,3))</f>
        <v/>
      </c>
      <c r="AA9" s="278" t="str">
        <f ca="1">IF(ISBLANK(OFFSET(解答設定!$B$20,AA1,3)),"",OFFSET(解答設定!$B$20,AA1,3))</f>
        <v/>
      </c>
      <c r="AB9" s="278" t="str">
        <f ca="1">IF(ISBLANK(OFFSET(解答設定!$B$20,AB1,3)),"",OFFSET(解答設定!$B$20,AB1,3))</f>
        <v/>
      </c>
      <c r="AC9" s="278" t="str">
        <f ca="1">IF(ISBLANK(OFFSET(解答設定!$B$20,AC1,3)),"",OFFSET(解答設定!$B$20,AC1,3))</f>
        <v/>
      </c>
      <c r="AD9" s="278" t="str">
        <f ca="1">IF(ISBLANK(OFFSET(解答設定!$B$20,AD1,3)),"",OFFSET(解答設定!$B$20,AD1,3))</f>
        <v/>
      </c>
      <c r="AE9" s="278" t="str">
        <f ca="1">IF(ISBLANK(OFFSET(解答設定!$B$20,AE1,3)),"",OFFSET(解答設定!$B$20,AE1,3))</f>
        <v/>
      </c>
      <c r="AF9" s="278" t="str">
        <f ca="1">IF(ISBLANK(OFFSET(解答設定!$B$20,AF1,3)),"",OFFSET(解答設定!$B$20,AF1,3))</f>
        <v/>
      </c>
      <c r="AG9" s="278" t="str">
        <f ca="1">IF(ISBLANK(OFFSET(解答設定!$B$20,AG1,3)),"",OFFSET(解答設定!$B$20,AG1,3))</f>
        <v/>
      </c>
      <c r="AH9" s="278" t="str">
        <f ca="1">IF(ISBLANK(OFFSET(解答設定!$B$20,AH1,3)),"",OFFSET(解答設定!$B$20,AH1,3))</f>
        <v/>
      </c>
      <c r="AI9" s="278" t="str">
        <f ca="1">IF(ISBLANK(OFFSET(解答設定!$B$20,AI1,3)),"",OFFSET(解答設定!$B$20,AI1,3))</f>
        <v/>
      </c>
      <c r="AJ9" s="278" t="str">
        <f ca="1">IF(ISBLANK(OFFSET(解答設定!$B$20,AJ1,3)),"",OFFSET(解答設定!$B$20,AJ1,3))</f>
        <v/>
      </c>
      <c r="AK9" s="278" t="str">
        <f ca="1">IF(ISBLANK(OFFSET(解答設定!$B$20,AK1,3)),"",OFFSET(解答設定!$B$20,AK1,3))</f>
        <v/>
      </c>
      <c r="AL9" s="278" t="str">
        <f ca="1">IF(ISBLANK(OFFSET(解答設定!$B$20,AL1,3)),"",OFFSET(解答設定!$B$20,AL1,3))</f>
        <v/>
      </c>
      <c r="AM9" s="278" t="str">
        <f ca="1">IF(ISBLANK(OFFSET(解答設定!$B$20,AM1,3)),"",OFFSET(解答設定!$B$20,AM1,3))</f>
        <v/>
      </c>
      <c r="AN9" s="278" t="str">
        <f ca="1">IF(ISBLANK(OFFSET(解答設定!$B$20,AN1,3)),"",OFFSET(解答設定!$B$20,AN1,3))</f>
        <v/>
      </c>
      <c r="AO9" s="278" t="str">
        <f ca="1">IF(ISBLANK(OFFSET(解答設定!$B$20,AO1,3)),"",OFFSET(解答設定!$B$20,AO1,3))</f>
        <v/>
      </c>
      <c r="AP9" s="278" t="str">
        <f ca="1">IF(ISBLANK(OFFSET(解答設定!$B$20,AP1,3)),"",OFFSET(解答設定!$B$20,AP1,3))</f>
        <v/>
      </c>
      <c r="AQ9" s="278" t="str">
        <f ca="1">IF(ISBLANK(OFFSET(解答設定!$B$20,AQ1,3)),"",OFFSET(解答設定!$B$20,AQ1,3))</f>
        <v/>
      </c>
      <c r="AR9" s="278" t="str">
        <f ca="1">IF(ISBLANK(OFFSET(解答設定!$B$20,AR1,3)),"",OFFSET(解答設定!$B$20,AR1,3))</f>
        <v/>
      </c>
      <c r="AS9" s="278" t="str">
        <f ca="1">IF(ISBLANK(OFFSET(解答設定!$B$20,AS1,3)),"",OFFSET(解答設定!$B$20,AS1,3))</f>
        <v/>
      </c>
      <c r="AT9" s="278" t="str">
        <f ca="1">IF(ISBLANK(OFFSET(解答設定!$B$20,AT1,3)),"",OFFSET(解答設定!$B$20,AT1,3))</f>
        <v/>
      </c>
      <c r="AU9" s="278" t="str">
        <f ca="1">IF(ISBLANK(OFFSET(解答設定!$B$20,AU1,3)),"",OFFSET(解答設定!$B$20,AU1,3))</f>
        <v/>
      </c>
      <c r="AV9" s="278" t="str">
        <f ca="1">IF(ISBLANK(OFFSET(解答設定!$B$20,AV1,3)),"",OFFSET(解答設定!$B$20,AV1,3))</f>
        <v/>
      </c>
      <c r="AW9" s="278" t="str">
        <f ca="1">IF(ISBLANK(OFFSET(解答設定!$B$20,AW1,3)),"",OFFSET(解答設定!$B$20,AW1,3))</f>
        <v/>
      </c>
      <c r="AX9" s="278" t="str">
        <f ca="1">IF(ISBLANK(OFFSET(解答設定!$B$20,AX1,3)),"",OFFSET(解答設定!$B$20,AX1,3))</f>
        <v/>
      </c>
      <c r="AY9" s="278" t="str">
        <f ca="1">IF(ISBLANK(OFFSET(解答設定!$B$20,AY1,3)),"",OFFSET(解答設定!$B$20,AY1,3))</f>
        <v/>
      </c>
      <c r="AZ9" s="278" t="str">
        <f ca="1">IF(ISBLANK(OFFSET(解答設定!$B$20,AZ1,3)),"",OFFSET(解答設定!$B$20,AZ1,3))</f>
        <v/>
      </c>
      <c r="BA9" s="278" t="str">
        <f ca="1">IF(ISBLANK(OFFSET(解答設定!$B$20,BA1,3)),"",OFFSET(解答設定!$B$20,BA1,3))</f>
        <v/>
      </c>
      <c r="BB9" s="278" t="str">
        <f ca="1">IF(ISBLANK(OFFSET(解答設定!$B$20,BB1,3)),"",OFFSET(解答設定!$B$20,BB1,3))</f>
        <v/>
      </c>
      <c r="BC9" s="278" t="str">
        <f ca="1">IF(ISBLANK(OFFSET(解答設定!$B$20,BC1,3)),"",OFFSET(解答設定!$B$20,BC1,3))</f>
        <v/>
      </c>
      <c r="BD9" s="278" t="str">
        <f ca="1">IF(ISBLANK(OFFSET(解答設定!$B$20,BD1,3)),"",OFFSET(解答設定!$B$20,BD1,3))</f>
        <v/>
      </c>
      <c r="BE9" s="278" t="str">
        <f ca="1">IF(ISBLANK(OFFSET(解答設定!$B$20,BE1,3)),"",OFFSET(解答設定!$B$20,BE1,3))</f>
        <v/>
      </c>
      <c r="BF9" s="278" t="str">
        <f ca="1">IF(ISBLANK(OFFSET(解答設定!$B$20,BF1,3)),"",OFFSET(解答設定!$B$20,BF1,3))</f>
        <v/>
      </c>
      <c r="BG9" s="278" t="str">
        <f ca="1">IF(ISBLANK(OFFSET(解答設定!$B$20,BG1,3)),"",OFFSET(解答設定!$B$20,BG1,3))</f>
        <v/>
      </c>
      <c r="BH9" s="278" t="str">
        <f ca="1">IF(ISBLANK(OFFSET(解答設定!$B$20,BH1,3)),"",OFFSET(解答設定!$B$20,BH1,3))</f>
        <v/>
      </c>
      <c r="BI9" s="278" t="str">
        <f ca="1">IF(ISBLANK(OFFSET(解答設定!$B$20,BI1,3)),"",OFFSET(解答設定!$B$20,BI1,3))</f>
        <v/>
      </c>
      <c r="BJ9" s="278" t="str">
        <f ca="1">IF(ISBLANK(OFFSET(解答設定!$B$20,BJ1,3)),"",OFFSET(解答設定!$B$20,BJ1,3))</f>
        <v/>
      </c>
      <c r="BK9" s="278" t="str">
        <f ca="1">IF(ISBLANK(OFFSET(解答設定!$B$20,BK1,3)),"",OFFSET(解答設定!$B$20,BK1,3))</f>
        <v/>
      </c>
      <c r="BL9" s="278" t="str">
        <f ca="1">IF(ISBLANK(OFFSET(解答設定!$B$20,BL1,3)),"",OFFSET(解答設定!$B$20,BL1,3))</f>
        <v/>
      </c>
      <c r="BM9" s="278" t="str">
        <f ca="1">IF(ISBLANK(OFFSET(解答設定!$B$20,BM1,3)),"",OFFSET(解答設定!$B$20,BM1,3))</f>
        <v/>
      </c>
      <c r="BN9" s="278" t="str">
        <f ca="1">IF(ISBLANK(OFFSET(解答設定!$B$20,BN1,3)),"",OFFSET(解答設定!$B$20,BN1,3))</f>
        <v/>
      </c>
      <c r="BO9" s="278" t="str">
        <f ca="1">IF(ISBLANK(OFFSET(解答設定!$B$20,BO1,3)),"",OFFSET(解答設定!$B$20,BO1,3))</f>
        <v/>
      </c>
      <c r="BP9" s="278" t="str">
        <f ca="1">IF(ISBLANK(OFFSET(解答設定!$B$20,BP1,3)),"",OFFSET(解答設定!$B$20,BP1,3))</f>
        <v/>
      </c>
      <c r="BQ9" s="278" t="str">
        <f ca="1">IF(ISBLANK(OFFSET(解答設定!$B$20,BQ1,3)),"",OFFSET(解答設定!$B$20,BQ1,3))</f>
        <v/>
      </c>
      <c r="BR9" s="278" t="str">
        <f ca="1">IF(ISBLANK(OFFSET(解答設定!$B$20,BR1,3)),"",OFFSET(解答設定!$B$20,BR1,3))</f>
        <v/>
      </c>
      <c r="BS9" s="278" t="str">
        <f ca="1">IF(ISBLANK(OFFSET(解答設定!$B$20,BS1,3)),"",OFFSET(解答設定!$B$20,BS1,3))</f>
        <v/>
      </c>
      <c r="BT9" s="278" t="str">
        <f ca="1">IF(ISBLANK(OFFSET(解答設定!$B$20,BT1,3)),"",OFFSET(解答設定!$B$20,BT1,3))</f>
        <v/>
      </c>
      <c r="BU9" s="278" t="str">
        <f ca="1">IF(ISBLANK(OFFSET(解答設定!$B$20,BU1,3)),"",OFFSET(解答設定!$B$20,BU1,3))</f>
        <v/>
      </c>
      <c r="BV9" s="278" t="str">
        <f ca="1">IF(ISBLANK(OFFSET(解答設定!$B$20,BV1,3)),"",OFFSET(解答設定!$B$20,BV1,3))</f>
        <v/>
      </c>
      <c r="BW9" s="278" t="str">
        <f ca="1">IF(ISBLANK(OFFSET(解答設定!$B$20,BW1,3)),"",OFFSET(解答設定!$B$20,BW1,3))</f>
        <v/>
      </c>
      <c r="BX9" s="278" t="str">
        <f ca="1">IF(ISBLANK(OFFSET(解答設定!$B$20,BX1,3)),"",OFFSET(解答設定!$B$20,BX1,3))</f>
        <v/>
      </c>
      <c r="BY9" s="278" t="str">
        <f ca="1">IF(ISBLANK(OFFSET(解答設定!$B$20,BY1,3)),"",OFFSET(解答設定!$B$20,BY1,3))</f>
        <v/>
      </c>
      <c r="BZ9" s="278" t="str">
        <f ca="1">IF(ISBLANK(OFFSET(解答設定!$B$20,BZ1,3)),"",OFFSET(解答設定!$B$20,BZ1,3))</f>
        <v/>
      </c>
      <c r="CA9" s="278" t="str">
        <f ca="1">IF(ISBLANK(OFFSET(解答設定!$B$20,CA1,3)),"",OFFSET(解答設定!$B$20,CA1,3))</f>
        <v/>
      </c>
      <c r="CB9" s="278" t="str">
        <f ca="1">IF(ISBLANK(OFFSET(解答設定!$B$20,CB1,3)),"",OFFSET(解答設定!$B$20,CB1,3))</f>
        <v/>
      </c>
      <c r="CC9" s="278" t="str">
        <f ca="1">IF(ISBLANK(OFFSET(解答設定!$B$20,CC1,3)),"",OFFSET(解答設定!$B$20,CC1,3))</f>
        <v/>
      </c>
      <c r="CD9" s="278" t="str">
        <f ca="1">IF(ISBLANK(OFFSET(解答設定!$B$20,CD1,3)),"",OFFSET(解答設定!$B$20,CD1,3))</f>
        <v/>
      </c>
      <c r="CE9" s="278" t="str">
        <f ca="1">IF(ISBLANK(OFFSET(解答設定!$B$20,CE1,3)),"",OFFSET(解答設定!$B$20,CE1,3))</f>
        <v/>
      </c>
      <c r="CF9" s="278" t="str">
        <f ca="1">IF(ISBLANK(OFFSET(解答設定!$B$20,CF1,3)),"",OFFSET(解答設定!$B$20,CF1,3))</f>
        <v/>
      </c>
      <c r="CG9" s="278" t="str">
        <f ca="1">IF(ISBLANK(OFFSET(解答設定!$B$20,CG1,3)),"",OFFSET(解答設定!$B$20,CG1,3))</f>
        <v/>
      </c>
      <c r="CH9" s="278" t="str">
        <f ca="1">IF(ISBLANK(OFFSET(解答設定!$B$20,CH1,3)),"",OFFSET(解答設定!$B$20,CH1,3))</f>
        <v/>
      </c>
      <c r="CI9" s="278" t="str">
        <f ca="1">IF(ISBLANK(OFFSET(解答設定!$B$20,CI1,3)),"",OFFSET(解答設定!$B$20,CI1,3))</f>
        <v/>
      </c>
      <c r="CJ9" s="278" t="str">
        <f ca="1">IF(ISBLANK(OFFSET(解答設定!$B$20,CJ1,3)),"",OFFSET(解答設定!$B$20,CJ1,3))</f>
        <v/>
      </c>
      <c r="CK9" s="278" t="str">
        <f ca="1">IF(ISBLANK(OFFSET(解答設定!$B$20,CK1,3)),"",OFFSET(解答設定!$B$20,CK1,3))</f>
        <v/>
      </c>
      <c r="CL9" s="278" t="str">
        <f ca="1">IF(ISBLANK(OFFSET(解答設定!$B$20,CL1,3)),"",OFFSET(解答設定!$B$20,CL1,3))</f>
        <v/>
      </c>
      <c r="CM9" s="278" t="str">
        <f ca="1">IF(ISBLANK(OFFSET(解答設定!$B$20,CM1,3)),"",OFFSET(解答設定!$B$20,CM1,3))</f>
        <v/>
      </c>
      <c r="CN9" s="278" t="str">
        <f ca="1">IF(ISBLANK(OFFSET(解答設定!$B$20,CN1,3)),"",OFFSET(解答設定!$B$20,CN1,3))</f>
        <v/>
      </c>
      <c r="CO9" s="278" t="str">
        <f ca="1">IF(ISBLANK(OFFSET(解答設定!$B$20,CO1,3)),"",OFFSET(解答設定!$B$20,CO1,3))</f>
        <v/>
      </c>
      <c r="CP9" s="278" t="str">
        <f ca="1">IF(ISBLANK(OFFSET(解答設定!$B$20,CP1,3)),"",OFFSET(解答設定!$B$20,CP1,3))</f>
        <v/>
      </c>
      <c r="CQ9" s="278" t="str">
        <f ca="1">IF(ISBLANK(OFFSET(解答設定!$B$20,CQ1,3)),"",OFFSET(解答設定!$B$20,CQ1,3))</f>
        <v/>
      </c>
      <c r="CR9" s="278" t="str">
        <f ca="1">IF(ISBLANK(OFFSET(解答設定!$B$20,CR1,3)),"",OFFSET(解答設定!$B$20,CR1,3))</f>
        <v/>
      </c>
      <c r="CS9" s="278" t="str">
        <f ca="1">IF(ISBLANK(OFFSET(解答設定!$B$20,CS1,3)),"",OFFSET(解答設定!$B$20,CS1,3))</f>
        <v/>
      </c>
      <c r="CT9" s="278" t="str">
        <f ca="1">IF(ISBLANK(OFFSET(解答設定!$B$20,CT1,3)),"",OFFSET(解答設定!$B$20,CT1,3))</f>
        <v/>
      </c>
      <c r="CU9" s="278" t="str">
        <f ca="1">IF(ISBLANK(OFFSET(解答設定!$B$20,CU1,3)),"",OFFSET(解答設定!$B$20,CU1,3))</f>
        <v/>
      </c>
      <c r="CV9" s="278" t="str">
        <f ca="1">IF(ISBLANK(OFFSET(解答設定!$B$20,CV1,3)),"",OFFSET(解答設定!$B$20,CV1,3))</f>
        <v/>
      </c>
      <c r="CW9" s="278" t="str">
        <f ca="1">IF(ISBLANK(OFFSET(解答設定!$B$20,CW1,3)),"",OFFSET(解答設定!$B$20,CW1,3))</f>
        <v/>
      </c>
      <c r="CX9" s="278" t="str">
        <f ca="1">IF(ISBLANK(OFFSET(解答設定!$B$20,CX1,3)),"",OFFSET(解答設定!$B$20,CX1,3))</f>
        <v/>
      </c>
      <c r="CY9" s="278" t="str">
        <f ca="1">IF(ISBLANK(OFFSET(解答設定!$B$20,CY1,3)),"",OFFSET(解答設定!$B$20,CY1,3))</f>
        <v/>
      </c>
      <c r="CZ9" s="278" t="str">
        <f ca="1">IF(ISBLANK(OFFSET(解答設定!$B$20,CZ1,3)),"",OFFSET(解答設定!$B$20,CZ1,3))</f>
        <v/>
      </c>
      <c r="DA9" s="278" t="str">
        <f ca="1">IF(ISBLANK(OFFSET(解答設定!$B$20,DA1,3)),"",OFFSET(解答設定!$B$20,DA1,3))</f>
        <v/>
      </c>
      <c r="DB9" s="282"/>
      <c r="DC9" s="283"/>
      <c r="DD9" s="283"/>
      <c r="DE9" s="283"/>
      <c r="DF9" s="283"/>
      <c r="DG9" s="283"/>
      <c r="DH9" s="279"/>
      <c r="DI9" s="279"/>
      <c r="DJ9" s="279"/>
      <c r="DK9" s="279"/>
      <c r="DL9" s="279"/>
      <c r="DM9" s="279"/>
      <c r="DN9" s="285"/>
      <c r="DO9" s="288"/>
      <c r="DP9" s="296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70"/>
      <c r="D10" s="272"/>
      <c r="E10" s="274"/>
      <c r="F10" s="278"/>
      <c r="G10" s="278"/>
      <c r="H10" s="278"/>
      <c r="I10" s="278"/>
      <c r="J10" s="278"/>
      <c r="K10" s="278"/>
      <c r="L10" s="278"/>
      <c r="M10" s="278"/>
      <c r="N10" s="278"/>
      <c r="O10" s="278"/>
      <c r="P10" s="278"/>
      <c r="Q10" s="278"/>
      <c r="R10" s="278"/>
      <c r="S10" s="278"/>
      <c r="T10" s="278"/>
      <c r="U10" s="278"/>
      <c r="V10" s="278"/>
      <c r="W10" s="278"/>
      <c r="X10" s="278"/>
      <c r="Y10" s="278"/>
      <c r="Z10" s="278"/>
      <c r="AA10" s="278"/>
      <c r="AB10" s="278"/>
      <c r="AC10" s="278"/>
      <c r="AD10" s="278"/>
      <c r="AE10" s="278"/>
      <c r="AF10" s="278"/>
      <c r="AG10" s="278"/>
      <c r="AH10" s="278"/>
      <c r="AI10" s="278"/>
      <c r="AJ10" s="278"/>
      <c r="AK10" s="278"/>
      <c r="AL10" s="278"/>
      <c r="AM10" s="278"/>
      <c r="AN10" s="278"/>
      <c r="AO10" s="278"/>
      <c r="AP10" s="278"/>
      <c r="AQ10" s="278"/>
      <c r="AR10" s="278"/>
      <c r="AS10" s="278"/>
      <c r="AT10" s="278"/>
      <c r="AU10" s="278"/>
      <c r="AV10" s="278"/>
      <c r="AW10" s="278"/>
      <c r="AX10" s="278"/>
      <c r="AY10" s="278"/>
      <c r="AZ10" s="278"/>
      <c r="BA10" s="278"/>
      <c r="BB10" s="278"/>
      <c r="BC10" s="278"/>
      <c r="BD10" s="278"/>
      <c r="BE10" s="278"/>
      <c r="BF10" s="278"/>
      <c r="BG10" s="278"/>
      <c r="BH10" s="278"/>
      <c r="BI10" s="278"/>
      <c r="BJ10" s="278"/>
      <c r="BK10" s="278"/>
      <c r="BL10" s="278"/>
      <c r="BM10" s="278"/>
      <c r="BN10" s="278"/>
      <c r="BO10" s="278"/>
      <c r="BP10" s="278"/>
      <c r="BQ10" s="278"/>
      <c r="BR10" s="278"/>
      <c r="BS10" s="278"/>
      <c r="BT10" s="278"/>
      <c r="BU10" s="278"/>
      <c r="BV10" s="278"/>
      <c r="BW10" s="278"/>
      <c r="BX10" s="278"/>
      <c r="BY10" s="278"/>
      <c r="BZ10" s="278"/>
      <c r="CA10" s="278"/>
      <c r="CB10" s="278"/>
      <c r="CC10" s="278"/>
      <c r="CD10" s="278"/>
      <c r="CE10" s="278"/>
      <c r="CF10" s="278"/>
      <c r="CG10" s="278"/>
      <c r="CH10" s="278"/>
      <c r="CI10" s="278"/>
      <c r="CJ10" s="278"/>
      <c r="CK10" s="278"/>
      <c r="CL10" s="278"/>
      <c r="CM10" s="278"/>
      <c r="CN10" s="278"/>
      <c r="CO10" s="278"/>
      <c r="CP10" s="278"/>
      <c r="CQ10" s="278"/>
      <c r="CR10" s="278"/>
      <c r="CS10" s="278"/>
      <c r="CT10" s="278"/>
      <c r="CU10" s="278"/>
      <c r="CV10" s="278"/>
      <c r="CW10" s="278"/>
      <c r="CX10" s="278"/>
      <c r="CY10" s="278"/>
      <c r="CZ10" s="278"/>
      <c r="DA10" s="278"/>
      <c r="DB10" s="282"/>
      <c r="DC10" s="283"/>
      <c r="DD10" s="283"/>
      <c r="DE10" s="283"/>
      <c r="DF10" s="283"/>
      <c r="DG10" s="283"/>
      <c r="DH10" s="279"/>
      <c r="DI10" s="279"/>
      <c r="DJ10" s="279"/>
      <c r="DK10" s="279"/>
      <c r="DL10" s="279"/>
      <c r="DM10" s="279"/>
      <c r="DN10" s="285"/>
      <c r="DO10" s="288"/>
      <c r="DP10" s="296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70"/>
      <c r="D11" s="272"/>
      <c r="E11" s="274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82"/>
      <c r="DC11" s="283"/>
      <c r="DD11" s="283"/>
      <c r="DE11" s="283"/>
      <c r="DF11" s="283"/>
      <c r="DG11" s="283"/>
      <c r="DH11" s="279"/>
      <c r="DI11" s="279"/>
      <c r="DJ11" s="279"/>
      <c r="DK11" s="279"/>
      <c r="DL11" s="279"/>
      <c r="DM11" s="279"/>
      <c r="DN11" s="285"/>
      <c r="DO11" s="288"/>
      <c r="DP11" s="296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70"/>
      <c r="D12" s="272"/>
      <c r="E12" s="274"/>
      <c r="F12" s="278" t="str">
        <f ca="1">IF(ISBLANK(OFFSET(解答設定!$B$20,F1,3)),"",OFFSET(解答設定!$B$20,F1,0))</f>
        <v/>
      </c>
      <c r="G12" s="278" t="str">
        <f ca="1">IF(ISBLANK(OFFSET(解答設定!$B$20,G1,3)),"",OFFSET(解答設定!$B$20,G1,0))</f>
        <v/>
      </c>
      <c r="H12" s="278" t="str">
        <f ca="1">IF(ISBLANK(OFFSET(解答設定!$B$20,H1,3)),"",OFFSET(解答設定!$B$20,H1,0))</f>
        <v/>
      </c>
      <c r="I12" s="278" t="str">
        <f ca="1">IF(ISBLANK(OFFSET(解答設定!$B$20,I1,3)),"",OFFSET(解答設定!$B$20,I1,0))</f>
        <v/>
      </c>
      <c r="J12" s="278" t="str">
        <f ca="1">IF(ISBLANK(OFFSET(解答設定!$B$20,J1,3)),"",OFFSET(解答設定!$B$20,J1,0))</f>
        <v/>
      </c>
      <c r="K12" s="278" t="str">
        <f ca="1">IF(ISBLANK(OFFSET(解答設定!$B$20,K1,3)),"",OFFSET(解答設定!$B$20,K1,0))</f>
        <v/>
      </c>
      <c r="L12" s="278" t="str">
        <f ca="1">IF(ISBLANK(OFFSET(解答設定!$B$20,L1,3)),"",OFFSET(解答設定!$B$20,L1,0))</f>
        <v/>
      </c>
      <c r="M12" s="278" t="str">
        <f ca="1">IF(ISBLANK(OFFSET(解答設定!$B$20,M1,3)),"",OFFSET(解答設定!$B$20,M1,0))</f>
        <v/>
      </c>
      <c r="N12" s="278" t="str">
        <f ca="1">IF(ISBLANK(OFFSET(解答設定!$B$20,N1,3)),"",OFFSET(解答設定!$B$20,N1,0))</f>
        <v/>
      </c>
      <c r="O12" s="278" t="str">
        <f ca="1">IF(ISBLANK(OFFSET(解答設定!$B$20,O1,3)),"",OFFSET(解答設定!$B$20,O1,0))</f>
        <v/>
      </c>
      <c r="P12" s="278" t="str">
        <f ca="1">IF(ISBLANK(OFFSET(解答設定!$B$20,P1,3)),"",OFFSET(解答設定!$B$20,P1,0))</f>
        <v/>
      </c>
      <c r="Q12" s="278" t="str">
        <f ca="1">IF(ISBLANK(OFFSET(解答設定!$B$20,Q1,3)),"",OFFSET(解答設定!$B$20,Q1,0))</f>
        <v/>
      </c>
      <c r="R12" s="278" t="str">
        <f ca="1">IF(ISBLANK(OFFSET(解答設定!$B$20,R1,3)),"",OFFSET(解答設定!$B$20,R1,0))</f>
        <v/>
      </c>
      <c r="S12" s="278" t="str">
        <f ca="1">IF(ISBLANK(OFFSET(解答設定!$B$20,S1,3)),"",OFFSET(解答設定!$B$20,S1,0))</f>
        <v/>
      </c>
      <c r="T12" s="278" t="str">
        <f ca="1">IF(ISBLANK(OFFSET(解答設定!$B$20,T1,3)),"",OFFSET(解答設定!$B$20,T1,0))</f>
        <v/>
      </c>
      <c r="U12" s="278" t="str">
        <f ca="1">IF(ISBLANK(OFFSET(解答設定!$B$20,U1,3)),"",OFFSET(解答設定!$B$20,U1,0))</f>
        <v/>
      </c>
      <c r="V12" s="278" t="str">
        <f ca="1">IF(ISBLANK(OFFSET(解答設定!$B$20,V1,3)),"",OFFSET(解答設定!$B$20,V1,0))</f>
        <v/>
      </c>
      <c r="W12" s="278" t="str">
        <f ca="1">IF(ISBLANK(OFFSET(解答設定!$B$20,W1,3)),"",OFFSET(解答設定!$B$20,W1,0))</f>
        <v/>
      </c>
      <c r="X12" s="278" t="str">
        <f ca="1">IF(ISBLANK(OFFSET(解答設定!$B$20,X1,3)),"",OFFSET(解答設定!$B$20,X1,0))</f>
        <v/>
      </c>
      <c r="Y12" s="278" t="str">
        <f ca="1">IF(ISBLANK(OFFSET(解答設定!$B$20,Y1,3)),"",OFFSET(解答設定!$B$20,Y1,0))</f>
        <v/>
      </c>
      <c r="Z12" s="278" t="str">
        <f ca="1">IF(ISBLANK(OFFSET(解答設定!$B$20,Z1,3)),"",OFFSET(解答設定!$B$20,Z1,0))</f>
        <v/>
      </c>
      <c r="AA12" s="278" t="str">
        <f ca="1">IF(ISBLANK(OFFSET(解答設定!$B$20,AA1,3)),"",OFFSET(解答設定!$B$20,AA1,0))</f>
        <v/>
      </c>
      <c r="AB12" s="278" t="str">
        <f ca="1">IF(ISBLANK(OFFSET(解答設定!$B$20,AB1,3)),"",OFFSET(解答設定!$B$20,AB1,0))</f>
        <v/>
      </c>
      <c r="AC12" s="278" t="str">
        <f ca="1">IF(ISBLANK(OFFSET(解答設定!$B$20,AC1,3)),"",OFFSET(解答設定!$B$20,AC1,0))</f>
        <v/>
      </c>
      <c r="AD12" s="278" t="str">
        <f ca="1">IF(ISBLANK(OFFSET(解答設定!$B$20,AD1,3)),"",OFFSET(解答設定!$B$20,AD1,0))</f>
        <v/>
      </c>
      <c r="AE12" s="278" t="str">
        <f ca="1">IF(ISBLANK(OFFSET(解答設定!$B$20,AE1,3)),"",OFFSET(解答設定!$B$20,AE1,0))</f>
        <v/>
      </c>
      <c r="AF12" s="278" t="str">
        <f ca="1">IF(ISBLANK(OFFSET(解答設定!$B$20,AF1,3)),"",OFFSET(解答設定!$B$20,AF1,0))</f>
        <v/>
      </c>
      <c r="AG12" s="278" t="str">
        <f ca="1">IF(ISBLANK(OFFSET(解答設定!$B$20,AG1,3)),"",OFFSET(解答設定!$B$20,AG1,0))</f>
        <v/>
      </c>
      <c r="AH12" s="278" t="str">
        <f ca="1">IF(ISBLANK(OFFSET(解答設定!$B$20,AH1,3)),"",OFFSET(解答設定!$B$20,AH1,0))</f>
        <v/>
      </c>
      <c r="AI12" s="278" t="str">
        <f ca="1">IF(ISBLANK(OFFSET(解答設定!$B$20,AI1,3)),"",OFFSET(解答設定!$B$20,AI1,0))</f>
        <v/>
      </c>
      <c r="AJ12" s="278" t="str">
        <f ca="1">IF(ISBLANK(OFFSET(解答設定!$B$20,AJ1,3)),"",OFFSET(解答設定!$B$20,AJ1,0))</f>
        <v/>
      </c>
      <c r="AK12" s="278" t="str">
        <f ca="1">IF(ISBLANK(OFFSET(解答設定!$B$20,AK1,3)),"",OFFSET(解答設定!$B$20,AK1,0))</f>
        <v/>
      </c>
      <c r="AL12" s="278" t="str">
        <f ca="1">IF(ISBLANK(OFFSET(解答設定!$B$20,AL1,3)),"",OFFSET(解答設定!$B$20,AL1,0))</f>
        <v/>
      </c>
      <c r="AM12" s="278" t="str">
        <f ca="1">IF(ISBLANK(OFFSET(解答設定!$B$20,AM1,3)),"",OFFSET(解答設定!$B$20,AM1,0))</f>
        <v/>
      </c>
      <c r="AN12" s="278" t="str">
        <f ca="1">IF(ISBLANK(OFFSET(解答設定!$B$20,AN1,3)),"",OFFSET(解答設定!$B$20,AN1,0))</f>
        <v/>
      </c>
      <c r="AO12" s="278" t="str">
        <f ca="1">IF(ISBLANK(OFFSET(解答設定!$B$20,AO1,3)),"",OFFSET(解答設定!$B$20,AO1,0))</f>
        <v/>
      </c>
      <c r="AP12" s="278" t="str">
        <f ca="1">IF(ISBLANK(OFFSET(解答設定!$B$20,AP1,3)),"",OFFSET(解答設定!$B$20,AP1,0))</f>
        <v/>
      </c>
      <c r="AQ12" s="278" t="str">
        <f ca="1">IF(ISBLANK(OFFSET(解答設定!$B$20,AQ1,3)),"",OFFSET(解答設定!$B$20,AQ1,0))</f>
        <v/>
      </c>
      <c r="AR12" s="278" t="str">
        <f ca="1">IF(ISBLANK(OFFSET(解答設定!$B$20,AR1,3)),"",OFFSET(解答設定!$B$20,AR1,0))</f>
        <v/>
      </c>
      <c r="AS12" s="278" t="str">
        <f ca="1">IF(ISBLANK(OFFSET(解答設定!$B$20,AS1,3)),"",OFFSET(解答設定!$B$20,AS1,0))</f>
        <v/>
      </c>
      <c r="AT12" s="278" t="str">
        <f ca="1">IF(ISBLANK(OFFSET(解答設定!$B$20,AT1,3)),"",OFFSET(解答設定!$B$20,AT1,0))</f>
        <v/>
      </c>
      <c r="AU12" s="278" t="str">
        <f ca="1">IF(ISBLANK(OFFSET(解答設定!$B$20,AU1,3)),"",OFFSET(解答設定!$B$20,AU1,0))</f>
        <v/>
      </c>
      <c r="AV12" s="278" t="str">
        <f ca="1">IF(ISBLANK(OFFSET(解答設定!$B$20,AV1,3)),"",OFFSET(解答設定!$B$20,AV1,0))</f>
        <v/>
      </c>
      <c r="AW12" s="278" t="str">
        <f ca="1">IF(ISBLANK(OFFSET(解答設定!$B$20,AW1,3)),"",OFFSET(解答設定!$B$20,AW1,0))</f>
        <v/>
      </c>
      <c r="AX12" s="278" t="str">
        <f ca="1">IF(ISBLANK(OFFSET(解答設定!$B$20,AX1,3)),"",OFFSET(解答設定!$B$20,AX1,0))</f>
        <v/>
      </c>
      <c r="AY12" s="278" t="str">
        <f ca="1">IF(ISBLANK(OFFSET(解答設定!$B$20,AY1,3)),"",OFFSET(解答設定!$B$20,AY1,0))</f>
        <v/>
      </c>
      <c r="AZ12" s="278" t="str">
        <f ca="1">IF(ISBLANK(OFFSET(解答設定!$B$20,AZ1,3)),"",OFFSET(解答設定!$B$20,AZ1,0))</f>
        <v/>
      </c>
      <c r="BA12" s="278" t="str">
        <f ca="1">IF(ISBLANK(OFFSET(解答設定!$B$20,BA1,3)),"",OFFSET(解答設定!$B$20,BA1,0))</f>
        <v/>
      </c>
      <c r="BB12" s="278" t="str">
        <f ca="1">IF(ISBLANK(OFFSET(解答設定!$B$20,BB1,3)),"",OFFSET(解答設定!$B$20,BB1,0))</f>
        <v/>
      </c>
      <c r="BC12" s="278" t="str">
        <f ca="1">IF(ISBLANK(OFFSET(解答設定!$B$20,BC1,3)),"",OFFSET(解答設定!$B$20,BC1,0))</f>
        <v/>
      </c>
      <c r="BD12" s="278" t="str">
        <f ca="1">IF(ISBLANK(OFFSET(解答設定!$B$20,BD1,3)),"",OFFSET(解答設定!$B$20,BD1,0))</f>
        <v/>
      </c>
      <c r="BE12" s="278" t="str">
        <f ca="1">IF(ISBLANK(OFFSET(解答設定!$B$20,BE1,3)),"",OFFSET(解答設定!$B$20,BE1,0))</f>
        <v/>
      </c>
      <c r="BF12" s="278" t="str">
        <f ca="1">IF(ISBLANK(OFFSET(解答設定!$B$20,BF1,3)),"",OFFSET(解答設定!$B$20,BF1,0))</f>
        <v/>
      </c>
      <c r="BG12" s="278" t="str">
        <f ca="1">IF(ISBLANK(OFFSET(解答設定!$B$20,BG1,3)),"",OFFSET(解答設定!$B$20,BG1,0))</f>
        <v/>
      </c>
      <c r="BH12" s="278" t="str">
        <f ca="1">IF(ISBLANK(OFFSET(解答設定!$B$20,BH1,3)),"",OFFSET(解答設定!$B$20,BH1,0))</f>
        <v/>
      </c>
      <c r="BI12" s="278" t="str">
        <f ca="1">IF(ISBLANK(OFFSET(解答設定!$B$20,BI1,3)),"",OFFSET(解答設定!$B$20,BI1,0))</f>
        <v/>
      </c>
      <c r="BJ12" s="278" t="str">
        <f ca="1">IF(ISBLANK(OFFSET(解答設定!$B$20,BJ1,3)),"",OFFSET(解答設定!$B$20,BJ1,0))</f>
        <v/>
      </c>
      <c r="BK12" s="278" t="str">
        <f ca="1">IF(ISBLANK(OFFSET(解答設定!$B$20,BK1,3)),"",OFFSET(解答設定!$B$20,BK1,0))</f>
        <v/>
      </c>
      <c r="BL12" s="278" t="str">
        <f ca="1">IF(ISBLANK(OFFSET(解答設定!$B$20,BL1,3)),"",OFFSET(解答設定!$B$20,BL1,0))</f>
        <v/>
      </c>
      <c r="BM12" s="278" t="str">
        <f ca="1">IF(ISBLANK(OFFSET(解答設定!$B$20,BM1,3)),"",OFFSET(解答設定!$B$20,BM1,0))</f>
        <v/>
      </c>
      <c r="BN12" s="278" t="str">
        <f ca="1">IF(ISBLANK(OFFSET(解答設定!$B$20,BN1,3)),"",OFFSET(解答設定!$B$20,BN1,0))</f>
        <v/>
      </c>
      <c r="BO12" s="278" t="str">
        <f ca="1">IF(ISBLANK(OFFSET(解答設定!$B$20,BO1,3)),"",OFFSET(解答設定!$B$20,BO1,0))</f>
        <v/>
      </c>
      <c r="BP12" s="278" t="str">
        <f ca="1">IF(ISBLANK(OFFSET(解答設定!$B$20,BP1,3)),"",OFFSET(解答設定!$B$20,BP1,0))</f>
        <v/>
      </c>
      <c r="BQ12" s="278" t="str">
        <f ca="1">IF(ISBLANK(OFFSET(解答設定!$B$20,BQ1,3)),"",OFFSET(解答設定!$B$20,BQ1,0))</f>
        <v/>
      </c>
      <c r="BR12" s="278" t="str">
        <f ca="1">IF(ISBLANK(OFFSET(解答設定!$B$20,BR1,3)),"",OFFSET(解答設定!$B$20,BR1,0))</f>
        <v/>
      </c>
      <c r="BS12" s="278" t="str">
        <f ca="1">IF(ISBLANK(OFFSET(解答設定!$B$20,BS1,3)),"",OFFSET(解答設定!$B$20,BS1,0))</f>
        <v/>
      </c>
      <c r="BT12" s="278" t="str">
        <f ca="1">IF(ISBLANK(OFFSET(解答設定!$B$20,BT1,3)),"",OFFSET(解答設定!$B$20,BT1,0))</f>
        <v/>
      </c>
      <c r="BU12" s="278" t="str">
        <f ca="1">IF(ISBLANK(OFFSET(解答設定!$B$20,BU1,3)),"",OFFSET(解答設定!$B$20,BU1,0))</f>
        <v/>
      </c>
      <c r="BV12" s="278" t="str">
        <f ca="1">IF(ISBLANK(OFFSET(解答設定!$B$20,BV1,3)),"",OFFSET(解答設定!$B$20,BV1,0))</f>
        <v/>
      </c>
      <c r="BW12" s="278" t="str">
        <f ca="1">IF(ISBLANK(OFFSET(解答設定!$B$20,BW1,3)),"",OFFSET(解答設定!$B$20,BW1,0))</f>
        <v/>
      </c>
      <c r="BX12" s="278" t="str">
        <f ca="1">IF(ISBLANK(OFFSET(解答設定!$B$20,BX1,3)),"",OFFSET(解答設定!$B$20,BX1,0))</f>
        <v/>
      </c>
      <c r="BY12" s="278" t="str">
        <f ca="1">IF(ISBLANK(OFFSET(解答設定!$B$20,BY1,3)),"",OFFSET(解答設定!$B$20,BY1,0))</f>
        <v/>
      </c>
      <c r="BZ12" s="278" t="str">
        <f ca="1">IF(ISBLANK(OFFSET(解答設定!$B$20,BZ1,3)),"",OFFSET(解答設定!$B$20,BZ1,0))</f>
        <v/>
      </c>
      <c r="CA12" s="278" t="str">
        <f ca="1">IF(ISBLANK(OFFSET(解答設定!$B$20,CA1,3)),"",OFFSET(解答設定!$B$20,CA1,0))</f>
        <v/>
      </c>
      <c r="CB12" s="278" t="str">
        <f ca="1">IF(ISBLANK(OFFSET(解答設定!$B$20,CB1,3)),"",OFFSET(解答設定!$B$20,CB1,0))</f>
        <v/>
      </c>
      <c r="CC12" s="278" t="str">
        <f ca="1">IF(ISBLANK(OFFSET(解答設定!$B$20,CC1,3)),"",OFFSET(解答設定!$B$20,CC1,0))</f>
        <v/>
      </c>
      <c r="CD12" s="278" t="str">
        <f ca="1">IF(ISBLANK(OFFSET(解答設定!$B$20,CD1,3)),"",OFFSET(解答設定!$B$20,CD1,0))</f>
        <v/>
      </c>
      <c r="CE12" s="278" t="str">
        <f ca="1">IF(ISBLANK(OFFSET(解答設定!$B$20,CE1,3)),"",OFFSET(解答設定!$B$20,CE1,0))</f>
        <v/>
      </c>
      <c r="CF12" s="278" t="str">
        <f ca="1">IF(ISBLANK(OFFSET(解答設定!$B$20,CF1,3)),"",OFFSET(解答設定!$B$20,CF1,0))</f>
        <v/>
      </c>
      <c r="CG12" s="278" t="str">
        <f ca="1">IF(ISBLANK(OFFSET(解答設定!$B$20,CG1,3)),"",OFFSET(解答設定!$B$20,CG1,0))</f>
        <v/>
      </c>
      <c r="CH12" s="278" t="str">
        <f ca="1">IF(ISBLANK(OFFSET(解答設定!$B$20,CH1,3)),"",OFFSET(解答設定!$B$20,CH1,0))</f>
        <v/>
      </c>
      <c r="CI12" s="278" t="str">
        <f ca="1">IF(ISBLANK(OFFSET(解答設定!$B$20,CI1,3)),"",OFFSET(解答設定!$B$20,CI1,0))</f>
        <v/>
      </c>
      <c r="CJ12" s="278" t="str">
        <f ca="1">IF(ISBLANK(OFFSET(解答設定!$B$20,CJ1,3)),"",OFFSET(解答設定!$B$20,CJ1,0))</f>
        <v/>
      </c>
      <c r="CK12" s="278" t="str">
        <f ca="1">IF(ISBLANK(OFFSET(解答設定!$B$20,CK1,3)),"",OFFSET(解答設定!$B$20,CK1,0))</f>
        <v/>
      </c>
      <c r="CL12" s="278" t="str">
        <f ca="1">IF(ISBLANK(OFFSET(解答設定!$B$20,CL1,3)),"",OFFSET(解答設定!$B$20,CL1,0))</f>
        <v/>
      </c>
      <c r="CM12" s="278" t="str">
        <f ca="1">IF(ISBLANK(OFFSET(解答設定!$B$20,CM1,3)),"",OFFSET(解答設定!$B$20,CM1,0))</f>
        <v/>
      </c>
      <c r="CN12" s="278" t="str">
        <f ca="1">IF(ISBLANK(OFFSET(解答設定!$B$20,CN1,3)),"",OFFSET(解答設定!$B$20,CN1,0))</f>
        <v/>
      </c>
      <c r="CO12" s="278" t="str">
        <f ca="1">IF(ISBLANK(OFFSET(解答設定!$B$20,CO1,3)),"",OFFSET(解答設定!$B$20,CO1,0))</f>
        <v/>
      </c>
      <c r="CP12" s="278" t="str">
        <f ca="1">IF(ISBLANK(OFFSET(解答設定!$B$20,CP1,3)),"",OFFSET(解答設定!$B$20,CP1,0))</f>
        <v/>
      </c>
      <c r="CQ12" s="278" t="str">
        <f ca="1">IF(ISBLANK(OFFSET(解答設定!$B$20,CQ1,3)),"",OFFSET(解答設定!$B$20,CQ1,0))</f>
        <v/>
      </c>
      <c r="CR12" s="278" t="str">
        <f ca="1">IF(ISBLANK(OFFSET(解答設定!$B$20,CR1,3)),"",OFFSET(解答設定!$B$20,CR1,0))</f>
        <v/>
      </c>
      <c r="CS12" s="278" t="str">
        <f ca="1">IF(ISBLANK(OFFSET(解答設定!$B$20,CS1,3)),"",OFFSET(解答設定!$B$20,CS1,0))</f>
        <v/>
      </c>
      <c r="CT12" s="278" t="str">
        <f ca="1">IF(ISBLANK(OFFSET(解答設定!$B$20,CT1,3)),"",OFFSET(解答設定!$B$20,CT1,0))</f>
        <v/>
      </c>
      <c r="CU12" s="278" t="str">
        <f ca="1">IF(ISBLANK(OFFSET(解答設定!$B$20,CU1,3)),"",OFFSET(解答設定!$B$20,CU1,0))</f>
        <v/>
      </c>
      <c r="CV12" s="278" t="str">
        <f ca="1">IF(ISBLANK(OFFSET(解答設定!$B$20,CV1,3)),"",OFFSET(解答設定!$B$20,CV1,0))</f>
        <v/>
      </c>
      <c r="CW12" s="278" t="str">
        <f ca="1">IF(ISBLANK(OFFSET(解答設定!$B$20,CW1,3)),"",OFFSET(解答設定!$B$20,CW1,0))</f>
        <v/>
      </c>
      <c r="CX12" s="278" t="str">
        <f ca="1">IF(ISBLANK(OFFSET(解答設定!$B$20,CX1,3)),"",OFFSET(解答設定!$B$20,CX1,0))</f>
        <v/>
      </c>
      <c r="CY12" s="278" t="str">
        <f ca="1">IF(ISBLANK(OFFSET(解答設定!$B$20,CY1,3)),"",OFFSET(解答設定!$B$20,CY1,0))</f>
        <v/>
      </c>
      <c r="CZ12" s="278" t="str">
        <f ca="1">IF(ISBLANK(OFFSET(解答設定!$B$20,CZ1,3)),"",OFFSET(解答設定!$B$20,CZ1,0))</f>
        <v/>
      </c>
      <c r="DA12" s="278" t="str">
        <f ca="1">IF(ISBLANK(OFFSET(解答設定!$B$20,DA1,3)),"",OFFSET(解答設定!$B$20,DA1,0))</f>
        <v/>
      </c>
      <c r="DB12" s="282"/>
      <c r="DC12" s="283"/>
      <c r="DD12" s="283"/>
      <c r="DE12" s="283"/>
      <c r="DF12" s="283"/>
      <c r="DG12" s="283"/>
      <c r="DH12" s="279"/>
      <c r="DI12" s="279"/>
      <c r="DJ12" s="279"/>
      <c r="DK12" s="279"/>
      <c r="DL12" s="279"/>
      <c r="DM12" s="279"/>
      <c r="DN12" s="285"/>
      <c r="DO12" s="288"/>
      <c r="DP12" s="296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70"/>
      <c r="D13" s="272"/>
      <c r="E13" s="274"/>
      <c r="F13" s="278"/>
      <c r="G13" s="278"/>
      <c r="H13" s="278"/>
      <c r="I13" s="278"/>
      <c r="J13" s="278"/>
      <c r="K13" s="278"/>
      <c r="L13" s="278"/>
      <c r="M13" s="278"/>
      <c r="N13" s="278"/>
      <c r="O13" s="278"/>
      <c r="P13" s="278"/>
      <c r="Q13" s="278"/>
      <c r="R13" s="278"/>
      <c r="S13" s="278"/>
      <c r="T13" s="278"/>
      <c r="U13" s="278"/>
      <c r="V13" s="278"/>
      <c r="W13" s="278"/>
      <c r="X13" s="278"/>
      <c r="Y13" s="278"/>
      <c r="Z13" s="278"/>
      <c r="AA13" s="278"/>
      <c r="AB13" s="278"/>
      <c r="AC13" s="278"/>
      <c r="AD13" s="278"/>
      <c r="AE13" s="278"/>
      <c r="AF13" s="278"/>
      <c r="AG13" s="278"/>
      <c r="AH13" s="278"/>
      <c r="AI13" s="278"/>
      <c r="AJ13" s="278"/>
      <c r="AK13" s="278"/>
      <c r="AL13" s="278"/>
      <c r="AM13" s="278"/>
      <c r="AN13" s="278"/>
      <c r="AO13" s="278"/>
      <c r="AP13" s="278"/>
      <c r="AQ13" s="278"/>
      <c r="AR13" s="278"/>
      <c r="AS13" s="278"/>
      <c r="AT13" s="278"/>
      <c r="AU13" s="278"/>
      <c r="AV13" s="278"/>
      <c r="AW13" s="278"/>
      <c r="AX13" s="278"/>
      <c r="AY13" s="278"/>
      <c r="AZ13" s="278"/>
      <c r="BA13" s="278"/>
      <c r="BB13" s="278"/>
      <c r="BC13" s="278"/>
      <c r="BD13" s="278"/>
      <c r="BE13" s="278"/>
      <c r="BF13" s="278"/>
      <c r="BG13" s="278"/>
      <c r="BH13" s="278"/>
      <c r="BI13" s="278"/>
      <c r="BJ13" s="278"/>
      <c r="BK13" s="278"/>
      <c r="BL13" s="278"/>
      <c r="BM13" s="278"/>
      <c r="BN13" s="278"/>
      <c r="BO13" s="278"/>
      <c r="BP13" s="278"/>
      <c r="BQ13" s="278"/>
      <c r="BR13" s="278"/>
      <c r="BS13" s="278"/>
      <c r="BT13" s="278"/>
      <c r="BU13" s="278"/>
      <c r="BV13" s="278"/>
      <c r="BW13" s="278"/>
      <c r="BX13" s="278"/>
      <c r="BY13" s="278"/>
      <c r="BZ13" s="278"/>
      <c r="CA13" s="278"/>
      <c r="CB13" s="278"/>
      <c r="CC13" s="278"/>
      <c r="CD13" s="278"/>
      <c r="CE13" s="278"/>
      <c r="CF13" s="278"/>
      <c r="CG13" s="278"/>
      <c r="CH13" s="278"/>
      <c r="CI13" s="278"/>
      <c r="CJ13" s="278"/>
      <c r="CK13" s="278"/>
      <c r="CL13" s="278"/>
      <c r="CM13" s="278"/>
      <c r="CN13" s="278"/>
      <c r="CO13" s="278"/>
      <c r="CP13" s="278"/>
      <c r="CQ13" s="278"/>
      <c r="CR13" s="278"/>
      <c r="CS13" s="278"/>
      <c r="CT13" s="278"/>
      <c r="CU13" s="278"/>
      <c r="CV13" s="278"/>
      <c r="CW13" s="278"/>
      <c r="CX13" s="278"/>
      <c r="CY13" s="278"/>
      <c r="CZ13" s="278"/>
      <c r="DA13" s="278"/>
      <c r="DB13" s="282"/>
      <c r="DC13" s="281"/>
      <c r="DD13" s="281"/>
      <c r="DE13" s="281"/>
      <c r="DF13" s="281"/>
      <c r="DG13" s="281"/>
      <c r="DH13" s="280"/>
      <c r="DI13" s="280"/>
      <c r="DJ13" s="280"/>
      <c r="DK13" s="280"/>
      <c r="DL13" s="280"/>
      <c r="DM13" s="280"/>
      <c r="DN13" s="285"/>
      <c r="DO13" s="288"/>
      <c r="DP13" s="296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5" t="str">
        <f>IF(ISBLANK(スキャン結果!C12),"",スキャン結果!C12)</f>
        <v/>
      </c>
      <c r="D14" s="156" t="str">
        <f>IF(ISBLANK(スキャン結果!D12),"",スキャン結果!D12)</f>
        <v/>
      </c>
      <c r="E14" s="156" t="str">
        <f>IF(ISBLANK(スキャン結果!E12),"",スキャン結果!E12)</f>
        <v/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6" t="str">
        <f>IF(OR($B14="",DB$4=""),"",SUMIF($F$3:$DA$4,DB$4,$F14:$DA14))</f>
        <v/>
      </c>
      <c r="DC14" s="156" t="str">
        <f t="shared" ref="DC14:DG29" si="8">IF(OR($B14="",DC$4=""),"",SUMIF($F$3:$DA$4,DC$4,$F14:$DA14))</f>
        <v/>
      </c>
      <c r="DD14" s="156" t="str">
        <f t="shared" si="8"/>
        <v/>
      </c>
      <c r="DE14" s="156" t="str">
        <f t="shared" si="8"/>
        <v/>
      </c>
      <c r="DF14" s="156" t="str">
        <f t="shared" si="8"/>
        <v/>
      </c>
      <c r="DG14" s="156" t="str">
        <f t="shared" si="8"/>
        <v/>
      </c>
      <c r="DH14" s="136"/>
      <c r="DI14" s="136"/>
      <c r="DJ14" s="136"/>
      <c r="DK14" s="136"/>
      <c r="DL14" s="136"/>
      <c r="DM14" s="136"/>
      <c r="DN14" s="158" t="str">
        <f>IF(A14="","",SUM(F14:DA14,DH14:DM14))</f>
        <v/>
      </c>
      <c r="DO14" s="159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0" t="str">
        <f>IF(ISBLANK(スキャン結果!C13),"",スキャン結果!C13)</f>
        <v/>
      </c>
      <c r="D15" s="161" t="str">
        <f>IF(ISBLANK(スキャン結果!D13),"",スキャン結果!D13)</f>
        <v/>
      </c>
      <c r="E15" s="161" t="str">
        <f>IF(ISBLANK(スキャン結果!E13),"",スキャン結果!E13)</f>
        <v/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1" t="str">
        <f t="shared" ref="DB15:DG69" si="11">IF(OR($B15="",DB$4=""),"",SUMIF($F$3:$DA$4,DB$4,$F15:$DA15))</f>
        <v/>
      </c>
      <c r="DC15" s="161" t="str">
        <f t="shared" si="8"/>
        <v/>
      </c>
      <c r="DD15" s="161" t="str">
        <f t="shared" si="8"/>
        <v/>
      </c>
      <c r="DE15" s="161" t="str">
        <f t="shared" si="8"/>
        <v/>
      </c>
      <c r="DF15" s="161" t="str">
        <f t="shared" si="8"/>
        <v/>
      </c>
      <c r="DG15" s="161" t="str">
        <f t="shared" si="8"/>
        <v/>
      </c>
      <c r="DH15" s="141"/>
      <c r="DI15" s="141"/>
      <c r="DJ15" s="141"/>
      <c r="DK15" s="141"/>
      <c r="DL15" s="141"/>
      <c r="DM15" s="141"/>
      <c r="DN15" s="163" t="str">
        <f t="shared" ref="DN15:DN78" si="12">IF(A15="","",SUM(F15:DA15,DH15:DM15))</f>
        <v/>
      </c>
      <c r="DO15" s="164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0" t="str">
        <f>IF(ISBLANK(スキャン結果!C14),"",スキャン結果!C14)</f>
        <v/>
      </c>
      <c r="D16" s="161" t="str">
        <f>IF(ISBLANK(スキャン結果!D14),"",スキャン結果!D14)</f>
        <v/>
      </c>
      <c r="E16" s="161" t="str">
        <f>IF(ISBLANK(スキャン結果!E14),"",スキャン結果!E14)</f>
        <v/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2"/>
      <c r="CJ16" s="162"/>
      <c r="CK16" s="162"/>
      <c r="CL16" s="162"/>
      <c r="CM16" s="162"/>
      <c r="CN16" s="162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2"/>
      <c r="DB16" s="161" t="str">
        <f t="shared" si="11"/>
        <v/>
      </c>
      <c r="DC16" s="161" t="str">
        <f t="shared" si="8"/>
        <v/>
      </c>
      <c r="DD16" s="161" t="str">
        <f t="shared" si="8"/>
        <v/>
      </c>
      <c r="DE16" s="161" t="str">
        <f t="shared" si="8"/>
        <v/>
      </c>
      <c r="DF16" s="161" t="str">
        <f t="shared" si="8"/>
        <v/>
      </c>
      <c r="DG16" s="161" t="str">
        <f t="shared" si="8"/>
        <v/>
      </c>
      <c r="DH16" s="141"/>
      <c r="DI16" s="141"/>
      <c r="DJ16" s="141"/>
      <c r="DK16" s="141"/>
      <c r="DL16" s="141"/>
      <c r="DM16" s="141"/>
      <c r="DN16" s="163" t="str">
        <f t="shared" si="12"/>
        <v/>
      </c>
      <c r="DO16" s="164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0" t="str">
        <f>IF(ISBLANK(スキャン結果!C15),"",スキャン結果!C15)</f>
        <v/>
      </c>
      <c r="D17" s="161" t="str">
        <f>IF(ISBLANK(スキャン結果!D15),"",スキャン結果!D15)</f>
        <v/>
      </c>
      <c r="E17" s="161" t="str">
        <f>IF(ISBLANK(スキャン結果!E15),"",スキャン結果!E15)</f>
        <v/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1" t="str">
        <f t="shared" si="11"/>
        <v/>
      </c>
      <c r="DC17" s="161" t="str">
        <f t="shared" si="8"/>
        <v/>
      </c>
      <c r="DD17" s="161" t="str">
        <f t="shared" si="8"/>
        <v/>
      </c>
      <c r="DE17" s="161" t="str">
        <f t="shared" si="8"/>
        <v/>
      </c>
      <c r="DF17" s="161" t="str">
        <f t="shared" si="8"/>
        <v/>
      </c>
      <c r="DG17" s="161" t="str">
        <f t="shared" si="8"/>
        <v/>
      </c>
      <c r="DH17" s="141"/>
      <c r="DI17" s="141"/>
      <c r="DJ17" s="141"/>
      <c r="DK17" s="141"/>
      <c r="DL17" s="141"/>
      <c r="DM17" s="141"/>
      <c r="DN17" s="163" t="str">
        <f t="shared" si="12"/>
        <v/>
      </c>
      <c r="DO17" s="164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160" t="str">
        <f>IF(ISBLANK(スキャン結果!C16),"",スキャン結果!C16)</f>
        <v/>
      </c>
      <c r="D18" s="161" t="str">
        <f>IF(ISBLANK(スキャン結果!D16),"",スキャン結果!D16)</f>
        <v/>
      </c>
      <c r="E18" s="161" t="str">
        <f>IF(ISBLANK(スキャン結果!E16),"",スキャン結果!E16)</f>
        <v/>
      </c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1" t="str">
        <f t="shared" si="11"/>
        <v/>
      </c>
      <c r="DC18" s="161" t="str">
        <f t="shared" si="8"/>
        <v/>
      </c>
      <c r="DD18" s="161" t="str">
        <f t="shared" si="8"/>
        <v/>
      </c>
      <c r="DE18" s="161" t="str">
        <f t="shared" si="8"/>
        <v/>
      </c>
      <c r="DF18" s="161" t="str">
        <f t="shared" si="8"/>
        <v/>
      </c>
      <c r="DG18" s="161" t="str">
        <f t="shared" si="8"/>
        <v/>
      </c>
      <c r="DH18" s="141"/>
      <c r="DI18" s="141"/>
      <c r="DJ18" s="141"/>
      <c r="DK18" s="141"/>
      <c r="DL18" s="141"/>
      <c r="DM18" s="141"/>
      <c r="DN18" s="163" t="str">
        <f t="shared" si="12"/>
        <v/>
      </c>
      <c r="DO18" s="164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60" t="str">
        <f>IF(ISBLANK(スキャン結果!C17),"",スキャン結果!C17)</f>
        <v/>
      </c>
      <c r="D19" s="161" t="str">
        <f>IF(ISBLANK(スキャン結果!D17),"",スキャン結果!D17)</f>
        <v/>
      </c>
      <c r="E19" s="161" t="str">
        <f>IF(ISBLANK(スキャン結果!E17),"",スキャン結果!E17)</f>
        <v/>
      </c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1" t="str">
        <f t="shared" si="11"/>
        <v/>
      </c>
      <c r="DC19" s="161" t="str">
        <f t="shared" si="8"/>
        <v/>
      </c>
      <c r="DD19" s="161" t="str">
        <f t="shared" si="8"/>
        <v/>
      </c>
      <c r="DE19" s="161" t="str">
        <f t="shared" si="8"/>
        <v/>
      </c>
      <c r="DF19" s="161" t="str">
        <f t="shared" si="8"/>
        <v/>
      </c>
      <c r="DG19" s="161" t="str">
        <f t="shared" si="8"/>
        <v/>
      </c>
      <c r="DH19" s="141"/>
      <c r="DI19" s="141"/>
      <c r="DJ19" s="141"/>
      <c r="DK19" s="141"/>
      <c r="DL19" s="141"/>
      <c r="DM19" s="141"/>
      <c r="DN19" s="163" t="str">
        <f t="shared" si="12"/>
        <v/>
      </c>
      <c r="DO19" s="164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0" t="str">
        <f>IF(ISBLANK(スキャン結果!C18),"",スキャン結果!C18)</f>
        <v/>
      </c>
      <c r="D20" s="161" t="str">
        <f>IF(ISBLANK(スキャン結果!D18),"",スキャン結果!D18)</f>
        <v/>
      </c>
      <c r="E20" s="161" t="str">
        <f>IF(ISBLANK(スキャン結果!E18),"",スキャン結果!E18)</f>
        <v/>
      </c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1" t="str">
        <f t="shared" si="11"/>
        <v/>
      </c>
      <c r="DC20" s="161" t="str">
        <f t="shared" si="8"/>
        <v/>
      </c>
      <c r="DD20" s="161" t="str">
        <f t="shared" si="8"/>
        <v/>
      </c>
      <c r="DE20" s="161" t="str">
        <f t="shared" si="8"/>
        <v/>
      </c>
      <c r="DF20" s="161" t="str">
        <f t="shared" si="8"/>
        <v/>
      </c>
      <c r="DG20" s="161" t="str">
        <f t="shared" si="8"/>
        <v/>
      </c>
      <c r="DH20" s="141"/>
      <c r="DI20" s="141"/>
      <c r="DJ20" s="141"/>
      <c r="DK20" s="141"/>
      <c r="DL20" s="141"/>
      <c r="DM20" s="141"/>
      <c r="DN20" s="163" t="str">
        <f t="shared" si="12"/>
        <v/>
      </c>
      <c r="DO20" s="164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0" t="str">
        <f>IF(ISBLANK(スキャン結果!C19),"",スキャン結果!C19)</f>
        <v/>
      </c>
      <c r="D21" s="161" t="str">
        <f>IF(ISBLANK(スキャン結果!D19),"",スキャン結果!D19)</f>
        <v/>
      </c>
      <c r="E21" s="161" t="str">
        <f>IF(ISBLANK(スキャン結果!E19),"",スキャン結果!E19)</f>
        <v/>
      </c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1" t="str">
        <f t="shared" si="11"/>
        <v/>
      </c>
      <c r="DC21" s="161" t="str">
        <f t="shared" si="8"/>
        <v/>
      </c>
      <c r="DD21" s="161" t="str">
        <f t="shared" si="8"/>
        <v/>
      </c>
      <c r="DE21" s="161" t="str">
        <f t="shared" si="8"/>
        <v/>
      </c>
      <c r="DF21" s="161" t="str">
        <f t="shared" si="8"/>
        <v/>
      </c>
      <c r="DG21" s="161" t="str">
        <f t="shared" si="8"/>
        <v/>
      </c>
      <c r="DH21" s="141"/>
      <c r="DI21" s="141"/>
      <c r="DJ21" s="141"/>
      <c r="DK21" s="141"/>
      <c r="DL21" s="141"/>
      <c r="DM21" s="141"/>
      <c r="DN21" s="163" t="str">
        <f t="shared" si="12"/>
        <v/>
      </c>
      <c r="DO21" s="164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0" t="str">
        <f>IF(ISBLANK(スキャン結果!C20),"",スキャン結果!C20)</f>
        <v/>
      </c>
      <c r="D22" s="161" t="str">
        <f>IF(ISBLANK(スキャン結果!D20),"",スキャン結果!D20)</f>
        <v/>
      </c>
      <c r="E22" s="161" t="str">
        <f>IF(ISBLANK(スキャン結果!E20),"",スキャン結果!E20)</f>
        <v/>
      </c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1" t="str">
        <f t="shared" si="11"/>
        <v/>
      </c>
      <c r="DC22" s="161" t="str">
        <f t="shared" si="8"/>
        <v/>
      </c>
      <c r="DD22" s="161" t="str">
        <f t="shared" si="8"/>
        <v/>
      </c>
      <c r="DE22" s="161" t="str">
        <f t="shared" si="8"/>
        <v/>
      </c>
      <c r="DF22" s="161" t="str">
        <f t="shared" si="8"/>
        <v/>
      </c>
      <c r="DG22" s="161" t="str">
        <f t="shared" si="8"/>
        <v/>
      </c>
      <c r="DH22" s="141"/>
      <c r="DI22" s="141"/>
      <c r="DJ22" s="141"/>
      <c r="DK22" s="141"/>
      <c r="DL22" s="141"/>
      <c r="DM22" s="141"/>
      <c r="DN22" s="163" t="str">
        <f t="shared" si="12"/>
        <v/>
      </c>
      <c r="DO22" s="164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160" t="str">
        <f>IF(ISBLANK(スキャン結果!C21),"",スキャン結果!C21)</f>
        <v/>
      </c>
      <c r="D23" s="161" t="str">
        <f>IF(ISBLANK(スキャン結果!D21),"",スキャン結果!D21)</f>
        <v/>
      </c>
      <c r="E23" s="161" t="str">
        <f>IF(ISBLANK(スキャン結果!E21),"",スキャン結果!E21)</f>
        <v/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1" t="str">
        <f t="shared" si="11"/>
        <v/>
      </c>
      <c r="DC23" s="161" t="str">
        <f t="shared" si="8"/>
        <v/>
      </c>
      <c r="DD23" s="161" t="str">
        <f t="shared" si="8"/>
        <v/>
      </c>
      <c r="DE23" s="161" t="str">
        <f t="shared" si="8"/>
        <v/>
      </c>
      <c r="DF23" s="161" t="str">
        <f t="shared" si="8"/>
        <v/>
      </c>
      <c r="DG23" s="161" t="str">
        <f t="shared" si="8"/>
        <v/>
      </c>
      <c r="DH23" s="141"/>
      <c r="DI23" s="141"/>
      <c r="DJ23" s="141"/>
      <c r="DK23" s="141"/>
      <c r="DL23" s="141"/>
      <c r="DM23" s="141"/>
      <c r="DN23" s="163" t="str">
        <f t="shared" si="12"/>
        <v/>
      </c>
      <c r="DO23" s="164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60" t="str">
        <f>IF(ISBLANK(スキャン結果!C22),"",スキャン結果!C22)</f>
        <v/>
      </c>
      <c r="D24" s="161" t="str">
        <f>IF(ISBLANK(スキャン結果!D22),"",スキャン結果!D22)</f>
        <v/>
      </c>
      <c r="E24" s="161" t="str">
        <f>IF(ISBLANK(スキャン結果!E22),"",スキャン結果!E22)</f>
        <v/>
      </c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1" t="str">
        <f t="shared" si="11"/>
        <v/>
      </c>
      <c r="DC24" s="161" t="str">
        <f t="shared" si="8"/>
        <v/>
      </c>
      <c r="DD24" s="161" t="str">
        <f t="shared" si="8"/>
        <v/>
      </c>
      <c r="DE24" s="161" t="str">
        <f t="shared" si="8"/>
        <v/>
      </c>
      <c r="DF24" s="161" t="str">
        <f t="shared" si="8"/>
        <v/>
      </c>
      <c r="DG24" s="161" t="str">
        <f t="shared" si="8"/>
        <v/>
      </c>
      <c r="DH24" s="141"/>
      <c r="DI24" s="141"/>
      <c r="DJ24" s="141"/>
      <c r="DK24" s="141"/>
      <c r="DL24" s="141"/>
      <c r="DM24" s="141"/>
      <c r="DN24" s="163" t="str">
        <f t="shared" si="12"/>
        <v/>
      </c>
      <c r="DO24" s="164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0" t="str">
        <f>IF(ISBLANK(スキャン結果!C23),"",スキャン結果!C23)</f>
        <v/>
      </c>
      <c r="D25" s="161" t="str">
        <f>IF(ISBLANK(スキャン結果!D23),"",スキャン結果!D23)</f>
        <v/>
      </c>
      <c r="E25" s="161" t="str">
        <f>IF(ISBLANK(スキャン結果!E23),"",スキャン結果!E23)</f>
        <v/>
      </c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1" t="str">
        <f t="shared" si="11"/>
        <v/>
      </c>
      <c r="DC25" s="161" t="str">
        <f t="shared" si="8"/>
        <v/>
      </c>
      <c r="DD25" s="161" t="str">
        <f t="shared" si="8"/>
        <v/>
      </c>
      <c r="DE25" s="161" t="str">
        <f t="shared" si="8"/>
        <v/>
      </c>
      <c r="DF25" s="161" t="str">
        <f t="shared" si="8"/>
        <v/>
      </c>
      <c r="DG25" s="161" t="str">
        <f t="shared" si="8"/>
        <v/>
      </c>
      <c r="DH25" s="141"/>
      <c r="DI25" s="141"/>
      <c r="DJ25" s="141"/>
      <c r="DK25" s="141"/>
      <c r="DL25" s="141"/>
      <c r="DM25" s="141"/>
      <c r="DN25" s="163" t="str">
        <f t="shared" si="12"/>
        <v/>
      </c>
      <c r="DO25" s="164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0" t="str">
        <f>IF(ISBLANK(スキャン結果!C24),"",スキャン結果!C24)</f>
        <v/>
      </c>
      <c r="D26" s="161" t="str">
        <f>IF(ISBLANK(スキャン結果!D24),"",スキャン結果!D24)</f>
        <v/>
      </c>
      <c r="E26" s="161" t="str">
        <f>IF(ISBLANK(スキャン結果!E24),"",スキャン結果!E24)</f>
        <v/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1" t="str">
        <f t="shared" si="11"/>
        <v/>
      </c>
      <c r="DC26" s="161" t="str">
        <f t="shared" si="8"/>
        <v/>
      </c>
      <c r="DD26" s="161" t="str">
        <f t="shared" si="8"/>
        <v/>
      </c>
      <c r="DE26" s="161" t="str">
        <f t="shared" si="8"/>
        <v/>
      </c>
      <c r="DF26" s="161" t="str">
        <f t="shared" si="8"/>
        <v/>
      </c>
      <c r="DG26" s="161" t="str">
        <f t="shared" si="8"/>
        <v/>
      </c>
      <c r="DH26" s="141"/>
      <c r="DI26" s="141"/>
      <c r="DJ26" s="141"/>
      <c r="DK26" s="141"/>
      <c r="DL26" s="141"/>
      <c r="DM26" s="141"/>
      <c r="DN26" s="163" t="str">
        <f t="shared" si="12"/>
        <v/>
      </c>
      <c r="DO26" s="164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0" t="str">
        <f>IF(ISBLANK(スキャン結果!C25),"",スキャン結果!C25)</f>
        <v/>
      </c>
      <c r="D27" s="161" t="str">
        <f>IF(ISBLANK(スキャン結果!D25),"",スキャン結果!D25)</f>
        <v/>
      </c>
      <c r="E27" s="161" t="str">
        <f>IF(ISBLANK(スキャン結果!E25),"",スキャン結果!E25)</f>
        <v/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1" t="str">
        <f t="shared" si="11"/>
        <v/>
      </c>
      <c r="DC27" s="161" t="str">
        <f t="shared" si="8"/>
        <v/>
      </c>
      <c r="DD27" s="161" t="str">
        <f t="shared" si="8"/>
        <v/>
      </c>
      <c r="DE27" s="161" t="str">
        <f t="shared" si="8"/>
        <v/>
      </c>
      <c r="DF27" s="161" t="str">
        <f t="shared" si="8"/>
        <v/>
      </c>
      <c r="DG27" s="161" t="str">
        <f t="shared" si="8"/>
        <v/>
      </c>
      <c r="DH27" s="141"/>
      <c r="DI27" s="141"/>
      <c r="DJ27" s="141"/>
      <c r="DK27" s="141"/>
      <c r="DL27" s="141"/>
      <c r="DM27" s="141"/>
      <c r="DN27" s="163" t="str">
        <f t="shared" si="12"/>
        <v/>
      </c>
      <c r="DO27" s="164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160" t="str">
        <f>IF(ISBLANK(スキャン結果!C26),"",スキャン結果!C26)</f>
        <v/>
      </c>
      <c r="D28" s="161" t="str">
        <f>IF(ISBLANK(スキャン結果!D26),"",スキャン結果!D26)</f>
        <v/>
      </c>
      <c r="E28" s="161" t="str">
        <f>IF(ISBLANK(スキャン結果!E26),"",スキャン結果!E26)</f>
        <v/>
      </c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1" t="str">
        <f t="shared" si="11"/>
        <v/>
      </c>
      <c r="DC28" s="161" t="str">
        <f t="shared" si="8"/>
        <v/>
      </c>
      <c r="DD28" s="161" t="str">
        <f t="shared" si="8"/>
        <v/>
      </c>
      <c r="DE28" s="161" t="str">
        <f t="shared" si="8"/>
        <v/>
      </c>
      <c r="DF28" s="161" t="str">
        <f t="shared" si="8"/>
        <v/>
      </c>
      <c r="DG28" s="161" t="str">
        <f t="shared" si="8"/>
        <v/>
      </c>
      <c r="DH28" s="141"/>
      <c r="DI28" s="141"/>
      <c r="DJ28" s="141"/>
      <c r="DK28" s="141"/>
      <c r="DL28" s="141"/>
      <c r="DM28" s="141"/>
      <c r="DN28" s="163" t="str">
        <f t="shared" si="12"/>
        <v/>
      </c>
      <c r="DO28" s="164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60" t="str">
        <f>IF(ISBLANK(スキャン結果!C27),"",スキャン結果!C27)</f>
        <v/>
      </c>
      <c r="D29" s="161" t="str">
        <f>IF(ISBLANK(スキャン結果!D27),"",スキャン結果!D27)</f>
        <v/>
      </c>
      <c r="E29" s="161" t="str">
        <f>IF(ISBLANK(スキャン結果!E27),"",スキャン結果!E27)</f>
        <v/>
      </c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1" t="str">
        <f t="shared" si="11"/>
        <v/>
      </c>
      <c r="DC29" s="161" t="str">
        <f t="shared" si="8"/>
        <v/>
      </c>
      <c r="DD29" s="161" t="str">
        <f t="shared" si="8"/>
        <v/>
      </c>
      <c r="DE29" s="161" t="str">
        <f t="shared" si="8"/>
        <v/>
      </c>
      <c r="DF29" s="161" t="str">
        <f t="shared" si="8"/>
        <v/>
      </c>
      <c r="DG29" s="161" t="str">
        <f t="shared" si="8"/>
        <v/>
      </c>
      <c r="DH29" s="141"/>
      <c r="DI29" s="141"/>
      <c r="DJ29" s="141"/>
      <c r="DK29" s="141"/>
      <c r="DL29" s="141"/>
      <c r="DM29" s="141"/>
      <c r="DN29" s="163" t="str">
        <f t="shared" si="12"/>
        <v/>
      </c>
      <c r="DO29" s="164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0" t="str">
        <f>IF(ISBLANK(スキャン結果!C28),"",スキャン結果!C28)</f>
        <v/>
      </c>
      <c r="D30" s="161" t="str">
        <f>IF(ISBLANK(スキャン結果!D28),"",スキャン結果!D28)</f>
        <v/>
      </c>
      <c r="E30" s="161" t="str">
        <f>IF(ISBLANK(スキャン結果!E28),"",スキャン結果!E28)</f>
        <v/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1" t="str">
        <f t="shared" si="11"/>
        <v/>
      </c>
      <c r="DC30" s="161" t="str">
        <f t="shared" si="11"/>
        <v/>
      </c>
      <c r="DD30" s="161" t="str">
        <f t="shared" si="11"/>
        <v/>
      </c>
      <c r="DE30" s="161" t="str">
        <f t="shared" si="11"/>
        <v/>
      </c>
      <c r="DF30" s="161" t="str">
        <f t="shared" si="11"/>
        <v/>
      </c>
      <c r="DG30" s="161" t="str">
        <f t="shared" si="11"/>
        <v/>
      </c>
      <c r="DH30" s="141"/>
      <c r="DI30" s="141"/>
      <c r="DJ30" s="141"/>
      <c r="DK30" s="141"/>
      <c r="DL30" s="141"/>
      <c r="DM30" s="141"/>
      <c r="DN30" s="163" t="str">
        <f t="shared" si="12"/>
        <v/>
      </c>
      <c r="DO30" s="164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0" t="str">
        <f>IF(ISBLANK(スキャン結果!C29),"",スキャン結果!C29)</f>
        <v/>
      </c>
      <c r="D31" s="161" t="str">
        <f>IF(ISBLANK(スキャン結果!D29),"",スキャン結果!D29)</f>
        <v/>
      </c>
      <c r="E31" s="161" t="str">
        <f>IF(ISBLANK(スキャン結果!E29),"",スキャン結果!E29)</f>
        <v/>
      </c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1" t="str">
        <f t="shared" si="11"/>
        <v/>
      </c>
      <c r="DC31" s="161" t="str">
        <f t="shared" si="11"/>
        <v/>
      </c>
      <c r="DD31" s="161" t="str">
        <f t="shared" si="11"/>
        <v/>
      </c>
      <c r="DE31" s="161" t="str">
        <f t="shared" si="11"/>
        <v/>
      </c>
      <c r="DF31" s="161" t="str">
        <f t="shared" si="11"/>
        <v/>
      </c>
      <c r="DG31" s="161" t="str">
        <f t="shared" si="11"/>
        <v/>
      </c>
      <c r="DH31" s="141"/>
      <c r="DI31" s="141"/>
      <c r="DJ31" s="141"/>
      <c r="DK31" s="141"/>
      <c r="DL31" s="141"/>
      <c r="DM31" s="141"/>
      <c r="DN31" s="163" t="str">
        <f t="shared" si="12"/>
        <v/>
      </c>
      <c r="DO31" s="164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0" t="str">
        <f>IF(ISBLANK(スキャン結果!C30),"",スキャン結果!C30)</f>
        <v/>
      </c>
      <c r="D32" s="161" t="str">
        <f>IF(ISBLANK(スキャン結果!D30),"",スキャン結果!D30)</f>
        <v/>
      </c>
      <c r="E32" s="161" t="str">
        <f>IF(ISBLANK(スキャン結果!E30),"",スキャン結果!E30)</f>
        <v/>
      </c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1" t="str">
        <f t="shared" si="11"/>
        <v/>
      </c>
      <c r="DC32" s="161" t="str">
        <f t="shared" si="11"/>
        <v/>
      </c>
      <c r="DD32" s="161" t="str">
        <f t="shared" si="11"/>
        <v/>
      </c>
      <c r="DE32" s="161" t="str">
        <f t="shared" si="11"/>
        <v/>
      </c>
      <c r="DF32" s="161" t="str">
        <f t="shared" si="11"/>
        <v/>
      </c>
      <c r="DG32" s="161" t="str">
        <f t="shared" si="11"/>
        <v/>
      </c>
      <c r="DH32" s="141"/>
      <c r="DI32" s="141"/>
      <c r="DJ32" s="141"/>
      <c r="DK32" s="141"/>
      <c r="DL32" s="141"/>
      <c r="DM32" s="141"/>
      <c r="DN32" s="163" t="str">
        <f t="shared" si="12"/>
        <v/>
      </c>
      <c r="DO32" s="164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160" t="str">
        <f>IF(ISBLANK(スキャン結果!C31),"",スキャン結果!C31)</f>
        <v/>
      </c>
      <c r="D33" s="161" t="str">
        <f>IF(ISBLANK(スキャン結果!D31),"",スキャン結果!D31)</f>
        <v/>
      </c>
      <c r="E33" s="161" t="str">
        <f>IF(ISBLANK(スキャン結果!E31),"",スキャン結果!E31)</f>
        <v/>
      </c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1" t="str">
        <f t="shared" si="11"/>
        <v/>
      </c>
      <c r="DC33" s="161" t="str">
        <f t="shared" si="11"/>
        <v/>
      </c>
      <c r="DD33" s="161" t="str">
        <f t="shared" si="11"/>
        <v/>
      </c>
      <c r="DE33" s="161" t="str">
        <f t="shared" si="11"/>
        <v/>
      </c>
      <c r="DF33" s="161" t="str">
        <f t="shared" si="11"/>
        <v/>
      </c>
      <c r="DG33" s="161" t="str">
        <f t="shared" si="11"/>
        <v/>
      </c>
      <c r="DH33" s="141"/>
      <c r="DI33" s="141"/>
      <c r="DJ33" s="141"/>
      <c r="DK33" s="141"/>
      <c r="DL33" s="141"/>
      <c r="DM33" s="141"/>
      <c r="DN33" s="163" t="str">
        <f t="shared" si="12"/>
        <v/>
      </c>
      <c r="DO33" s="164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60" t="str">
        <f>IF(ISBLANK(スキャン結果!C32),"",スキャン結果!C32)</f>
        <v/>
      </c>
      <c r="D34" s="161" t="str">
        <f>IF(ISBLANK(スキャン結果!D32),"",スキャン結果!D32)</f>
        <v/>
      </c>
      <c r="E34" s="161" t="str">
        <f>IF(ISBLANK(スキャン結果!E32),"",スキャン結果!E32)</f>
        <v/>
      </c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1" t="str">
        <f t="shared" si="11"/>
        <v/>
      </c>
      <c r="DC34" s="161" t="str">
        <f t="shared" si="11"/>
        <v/>
      </c>
      <c r="DD34" s="161" t="str">
        <f t="shared" si="11"/>
        <v/>
      </c>
      <c r="DE34" s="161" t="str">
        <f t="shared" si="11"/>
        <v/>
      </c>
      <c r="DF34" s="161" t="str">
        <f t="shared" si="11"/>
        <v/>
      </c>
      <c r="DG34" s="161" t="str">
        <f t="shared" si="11"/>
        <v/>
      </c>
      <c r="DH34" s="141"/>
      <c r="DI34" s="141"/>
      <c r="DJ34" s="141"/>
      <c r="DK34" s="141"/>
      <c r="DL34" s="141"/>
      <c r="DM34" s="141"/>
      <c r="DN34" s="163" t="str">
        <f t="shared" si="12"/>
        <v/>
      </c>
      <c r="DO34" s="164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0" t="str">
        <f>IF(ISBLANK(スキャン結果!C33),"",スキャン結果!C33)</f>
        <v/>
      </c>
      <c r="D35" s="161" t="str">
        <f>IF(ISBLANK(スキャン結果!D33),"",スキャン結果!D33)</f>
        <v/>
      </c>
      <c r="E35" s="161" t="str">
        <f>IF(ISBLANK(スキャン結果!E33),"",スキャン結果!E33)</f>
        <v/>
      </c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1" t="str">
        <f t="shared" si="11"/>
        <v/>
      </c>
      <c r="DC35" s="161" t="str">
        <f t="shared" si="11"/>
        <v/>
      </c>
      <c r="DD35" s="161" t="str">
        <f t="shared" si="11"/>
        <v/>
      </c>
      <c r="DE35" s="161" t="str">
        <f t="shared" si="11"/>
        <v/>
      </c>
      <c r="DF35" s="161" t="str">
        <f t="shared" si="11"/>
        <v/>
      </c>
      <c r="DG35" s="161" t="str">
        <f t="shared" si="11"/>
        <v/>
      </c>
      <c r="DH35" s="141"/>
      <c r="DI35" s="141"/>
      <c r="DJ35" s="141"/>
      <c r="DK35" s="141"/>
      <c r="DL35" s="141"/>
      <c r="DM35" s="141"/>
      <c r="DN35" s="163" t="str">
        <f t="shared" si="12"/>
        <v/>
      </c>
      <c r="DO35" s="164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0" t="str">
        <f>IF(ISBLANK(スキャン結果!C34),"",スキャン結果!C34)</f>
        <v/>
      </c>
      <c r="D36" s="161" t="str">
        <f>IF(ISBLANK(スキャン結果!D34),"",スキャン結果!D34)</f>
        <v/>
      </c>
      <c r="E36" s="161" t="str">
        <f>IF(ISBLANK(スキャン結果!E34),"",スキャン結果!E34)</f>
        <v/>
      </c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1" t="str">
        <f t="shared" si="11"/>
        <v/>
      </c>
      <c r="DC36" s="161" t="str">
        <f t="shared" si="11"/>
        <v/>
      </c>
      <c r="DD36" s="161" t="str">
        <f t="shared" si="11"/>
        <v/>
      </c>
      <c r="DE36" s="161" t="str">
        <f t="shared" si="11"/>
        <v/>
      </c>
      <c r="DF36" s="161" t="str">
        <f t="shared" si="11"/>
        <v/>
      </c>
      <c r="DG36" s="161" t="str">
        <f t="shared" si="11"/>
        <v/>
      </c>
      <c r="DH36" s="141"/>
      <c r="DI36" s="141"/>
      <c r="DJ36" s="141"/>
      <c r="DK36" s="141"/>
      <c r="DL36" s="141"/>
      <c r="DM36" s="141"/>
      <c r="DN36" s="163" t="str">
        <f t="shared" si="12"/>
        <v/>
      </c>
      <c r="DO36" s="164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0" t="str">
        <f>IF(ISBLANK(スキャン結果!C35),"",スキャン結果!C35)</f>
        <v/>
      </c>
      <c r="D37" s="161" t="str">
        <f>IF(ISBLANK(スキャン結果!D35),"",スキャン結果!D35)</f>
        <v/>
      </c>
      <c r="E37" s="161" t="str">
        <f>IF(ISBLANK(スキャン結果!E35),"",スキャン結果!E35)</f>
        <v/>
      </c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1" t="str">
        <f t="shared" si="11"/>
        <v/>
      </c>
      <c r="DC37" s="161" t="str">
        <f t="shared" si="11"/>
        <v/>
      </c>
      <c r="DD37" s="161" t="str">
        <f t="shared" si="11"/>
        <v/>
      </c>
      <c r="DE37" s="161" t="str">
        <f t="shared" si="11"/>
        <v/>
      </c>
      <c r="DF37" s="161" t="str">
        <f t="shared" si="11"/>
        <v/>
      </c>
      <c r="DG37" s="161" t="str">
        <f t="shared" si="11"/>
        <v/>
      </c>
      <c r="DH37" s="141"/>
      <c r="DI37" s="141"/>
      <c r="DJ37" s="141"/>
      <c r="DK37" s="141"/>
      <c r="DL37" s="141"/>
      <c r="DM37" s="141"/>
      <c r="DN37" s="163" t="str">
        <f t="shared" si="12"/>
        <v/>
      </c>
      <c r="DO37" s="164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160" t="str">
        <f>IF(ISBLANK(スキャン結果!C36),"",スキャン結果!C36)</f>
        <v/>
      </c>
      <c r="D38" s="161" t="str">
        <f>IF(ISBLANK(スキャン結果!D36),"",スキャン結果!D36)</f>
        <v/>
      </c>
      <c r="E38" s="161" t="str">
        <f>IF(ISBLANK(スキャン結果!E36),"",スキャン結果!E36)</f>
        <v/>
      </c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1" t="str">
        <f t="shared" si="11"/>
        <v/>
      </c>
      <c r="DC38" s="161" t="str">
        <f t="shared" si="11"/>
        <v/>
      </c>
      <c r="DD38" s="161" t="str">
        <f t="shared" si="11"/>
        <v/>
      </c>
      <c r="DE38" s="161" t="str">
        <f t="shared" si="11"/>
        <v/>
      </c>
      <c r="DF38" s="161" t="str">
        <f t="shared" si="11"/>
        <v/>
      </c>
      <c r="DG38" s="161" t="str">
        <f t="shared" si="11"/>
        <v/>
      </c>
      <c r="DH38" s="141"/>
      <c r="DI38" s="141"/>
      <c r="DJ38" s="141"/>
      <c r="DK38" s="141"/>
      <c r="DL38" s="141"/>
      <c r="DM38" s="141"/>
      <c r="DN38" s="163" t="str">
        <f t="shared" si="12"/>
        <v/>
      </c>
      <c r="DO38" s="164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60" t="str">
        <f>IF(ISBLANK(スキャン結果!C37),"",スキャン結果!C37)</f>
        <v/>
      </c>
      <c r="D39" s="161" t="str">
        <f>IF(ISBLANK(スキャン結果!D37),"",スキャン結果!D37)</f>
        <v/>
      </c>
      <c r="E39" s="161" t="str">
        <f>IF(ISBLANK(スキャン結果!E37),"",スキャン結果!E37)</f>
        <v/>
      </c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1" t="str">
        <f t="shared" si="11"/>
        <v/>
      </c>
      <c r="DC39" s="161" t="str">
        <f t="shared" si="11"/>
        <v/>
      </c>
      <c r="DD39" s="161" t="str">
        <f t="shared" si="11"/>
        <v/>
      </c>
      <c r="DE39" s="161" t="str">
        <f t="shared" si="11"/>
        <v/>
      </c>
      <c r="DF39" s="161" t="str">
        <f t="shared" si="11"/>
        <v/>
      </c>
      <c r="DG39" s="161" t="str">
        <f t="shared" si="11"/>
        <v/>
      </c>
      <c r="DH39" s="141"/>
      <c r="DI39" s="141"/>
      <c r="DJ39" s="141"/>
      <c r="DK39" s="141"/>
      <c r="DL39" s="141"/>
      <c r="DM39" s="141"/>
      <c r="DN39" s="163" t="str">
        <f t="shared" si="12"/>
        <v/>
      </c>
      <c r="DO39" s="164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0" t="str">
        <f>IF(ISBLANK(スキャン結果!C38),"",スキャン結果!C38)</f>
        <v/>
      </c>
      <c r="D40" s="161" t="str">
        <f>IF(ISBLANK(スキャン結果!D38),"",スキャン結果!D38)</f>
        <v/>
      </c>
      <c r="E40" s="161" t="str">
        <f>IF(ISBLANK(スキャン結果!E38),"",スキャン結果!E38)</f>
        <v/>
      </c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1" t="str">
        <f t="shared" si="11"/>
        <v/>
      </c>
      <c r="DC40" s="161" t="str">
        <f t="shared" si="11"/>
        <v/>
      </c>
      <c r="DD40" s="161" t="str">
        <f t="shared" si="11"/>
        <v/>
      </c>
      <c r="DE40" s="161" t="str">
        <f t="shared" si="11"/>
        <v/>
      </c>
      <c r="DF40" s="161" t="str">
        <f t="shared" si="11"/>
        <v/>
      </c>
      <c r="DG40" s="161" t="str">
        <f t="shared" si="11"/>
        <v/>
      </c>
      <c r="DH40" s="141"/>
      <c r="DI40" s="141"/>
      <c r="DJ40" s="141"/>
      <c r="DK40" s="141"/>
      <c r="DL40" s="141"/>
      <c r="DM40" s="141"/>
      <c r="DN40" s="163" t="str">
        <f t="shared" si="12"/>
        <v/>
      </c>
      <c r="DO40" s="164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0" t="str">
        <f>IF(ISBLANK(スキャン結果!C39),"",スキャン結果!C39)</f>
        <v/>
      </c>
      <c r="D41" s="161" t="str">
        <f>IF(ISBLANK(スキャン結果!D39),"",スキャン結果!D39)</f>
        <v/>
      </c>
      <c r="E41" s="161" t="str">
        <f>IF(ISBLANK(スキャン結果!E39),"",スキャン結果!E39)</f>
        <v/>
      </c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1" t="str">
        <f t="shared" si="11"/>
        <v/>
      </c>
      <c r="DC41" s="161" t="str">
        <f t="shared" si="11"/>
        <v/>
      </c>
      <c r="DD41" s="161" t="str">
        <f t="shared" si="11"/>
        <v/>
      </c>
      <c r="DE41" s="161" t="str">
        <f t="shared" si="11"/>
        <v/>
      </c>
      <c r="DF41" s="161" t="str">
        <f t="shared" si="11"/>
        <v/>
      </c>
      <c r="DG41" s="161" t="str">
        <f t="shared" si="11"/>
        <v/>
      </c>
      <c r="DH41" s="141"/>
      <c r="DI41" s="141"/>
      <c r="DJ41" s="141"/>
      <c r="DK41" s="141"/>
      <c r="DL41" s="141"/>
      <c r="DM41" s="141"/>
      <c r="DN41" s="163" t="str">
        <f t="shared" si="12"/>
        <v/>
      </c>
      <c r="DO41" s="164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0" t="str">
        <f>IF(ISBLANK(スキャン結果!C40),"",スキャン結果!C40)</f>
        <v/>
      </c>
      <c r="D42" s="161" t="str">
        <f>IF(ISBLANK(スキャン結果!D40),"",スキャン結果!D40)</f>
        <v/>
      </c>
      <c r="E42" s="161" t="str">
        <f>IF(ISBLANK(スキャン結果!E40),"",スキャン結果!E40)</f>
        <v/>
      </c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1" t="str">
        <f t="shared" si="11"/>
        <v/>
      </c>
      <c r="DC42" s="161" t="str">
        <f t="shared" si="11"/>
        <v/>
      </c>
      <c r="DD42" s="161" t="str">
        <f t="shared" si="11"/>
        <v/>
      </c>
      <c r="DE42" s="161" t="str">
        <f t="shared" si="11"/>
        <v/>
      </c>
      <c r="DF42" s="161" t="str">
        <f t="shared" si="11"/>
        <v/>
      </c>
      <c r="DG42" s="161" t="str">
        <f t="shared" si="11"/>
        <v/>
      </c>
      <c r="DH42" s="141"/>
      <c r="DI42" s="141"/>
      <c r="DJ42" s="141"/>
      <c r="DK42" s="141"/>
      <c r="DL42" s="141"/>
      <c r="DM42" s="141"/>
      <c r="DN42" s="163" t="str">
        <f t="shared" si="12"/>
        <v/>
      </c>
      <c r="DO42" s="164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160" t="str">
        <f>IF(ISBLANK(スキャン結果!C41),"",スキャン結果!C41)</f>
        <v/>
      </c>
      <c r="D43" s="161" t="str">
        <f>IF(ISBLANK(スキャン結果!D41),"",スキャン結果!D41)</f>
        <v/>
      </c>
      <c r="E43" s="161" t="str">
        <f>IF(ISBLANK(スキャン結果!E41),"",スキャン結果!E41)</f>
        <v/>
      </c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1" t="str">
        <f t="shared" si="11"/>
        <v/>
      </c>
      <c r="DC43" s="161" t="str">
        <f t="shared" si="11"/>
        <v/>
      </c>
      <c r="DD43" s="161" t="str">
        <f t="shared" si="11"/>
        <v/>
      </c>
      <c r="DE43" s="161" t="str">
        <f t="shared" si="11"/>
        <v/>
      </c>
      <c r="DF43" s="161" t="str">
        <f t="shared" si="11"/>
        <v/>
      </c>
      <c r="DG43" s="161" t="str">
        <f t="shared" si="11"/>
        <v/>
      </c>
      <c r="DH43" s="141"/>
      <c r="DI43" s="141"/>
      <c r="DJ43" s="141"/>
      <c r="DK43" s="141"/>
      <c r="DL43" s="141"/>
      <c r="DM43" s="141"/>
      <c r="DN43" s="163" t="str">
        <f t="shared" si="12"/>
        <v/>
      </c>
      <c r="DO43" s="164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60" t="str">
        <f>IF(ISBLANK(スキャン結果!C42),"",スキャン結果!C42)</f>
        <v/>
      </c>
      <c r="D44" s="161" t="str">
        <f>IF(ISBLANK(スキャン結果!D42),"",スキャン結果!D42)</f>
        <v/>
      </c>
      <c r="E44" s="161" t="str">
        <f>IF(ISBLANK(スキャン結果!E42),"",スキャン結果!E42)</f>
        <v/>
      </c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1" t="str">
        <f t="shared" si="11"/>
        <v/>
      </c>
      <c r="DC44" s="161" t="str">
        <f t="shared" si="11"/>
        <v/>
      </c>
      <c r="DD44" s="161" t="str">
        <f t="shared" si="11"/>
        <v/>
      </c>
      <c r="DE44" s="161" t="str">
        <f t="shared" si="11"/>
        <v/>
      </c>
      <c r="DF44" s="161" t="str">
        <f t="shared" si="11"/>
        <v/>
      </c>
      <c r="DG44" s="161" t="str">
        <f t="shared" si="11"/>
        <v/>
      </c>
      <c r="DH44" s="141"/>
      <c r="DI44" s="141"/>
      <c r="DJ44" s="141"/>
      <c r="DK44" s="141"/>
      <c r="DL44" s="141"/>
      <c r="DM44" s="141"/>
      <c r="DN44" s="163" t="str">
        <f t="shared" si="12"/>
        <v/>
      </c>
      <c r="DO44" s="164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0" t="str">
        <f>IF(ISBLANK(スキャン結果!C43),"",スキャン結果!C43)</f>
        <v/>
      </c>
      <c r="D45" s="161" t="str">
        <f>IF(ISBLANK(スキャン結果!D43),"",スキャン結果!D43)</f>
        <v/>
      </c>
      <c r="E45" s="161" t="str">
        <f>IF(ISBLANK(スキャン結果!E43),"",スキャン結果!E43)</f>
        <v/>
      </c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1" t="str">
        <f t="shared" si="11"/>
        <v/>
      </c>
      <c r="DC45" s="161" t="str">
        <f t="shared" si="11"/>
        <v/>
      </c>
      <c r="DD45" s="161" t="str">
        <f t="shared" si="11"/>
        <v/>
      </c>
      <c r="DE45" s="161" t="str">
        <f t="shared" si="11"/>
        <v/>
      </c>
      <c r="DF45" s="161" t="str">
        <f t="shared" si="11"/>
        <v/>
      </c>
      <c r="DG45" s="161" t="str">
        <f t="shared" si="11"/>
        <v/>
      </c>
      <c r="DH45" s="141"/>
      <c r="DI45" s="141"/>
      <c r="DJ45" s="141"/>
      <c r="DK45" s="141"/>
      <c r="DL45" s="141"/>
      <c r="DM45" s="141"/>
      <c r="DN45" s="163" t="str">
        <f t="shared" si="12"/>
        <v/>
      </c>
      <c r="DO45" s="164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0" t="str">
        <f>IF(ISBLANK(スキャン結果!C44),"",スキャン結果!C44)</f>
        <v/>
      </c>
      <c r="D46" s="161" t="str">
        <f>IF(ISBLANK(スキャン結果!D44),"",スキャン結果!D44)</f>
        <v/>
      </c>
      <c r="E46" s="161" t="str">
        <f>IF(ISBLANK(スキャン結果!E44),"",スキャン結果!E44)</f>
        <v/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1" t="str">
        <f t="shared" si="11"/>
        <v/>
      </c>
      <c r="DC46" s="161" t="str">
        <f t="shared" si="11"/>
        <v/>
      </c>
      <c r="DD46" s="161" t="str">
        <f t="shared" si="11"/>
        <v/>
      </c>
      <c r="DE46" s="161" t="str">
        <f t="shared" si="11"/>
        <v/>
      </c>
      <c r="DF46" s="161" t="str">
        <f t="shared" si="11"/>
        <v/>
      </c>
      <c r="DG46" s="161" t="str">
        <f t="shared" si="11"/>
        <v/>
      </c>
      <c r="DH46" s="141"/>
      <c r="DI46" s="141"/>
      <c r="DJ46" s="141"/>
      <c r="DK46" s="141"/>
      <c r="DL46" s="141"/>
      <c r="DM46" s="141"/>
      <c r="DN46" s="163" t="str">
        <f t="shared" si="12"/>
        <v/>
      </c>
      <c r="DO46" s="164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0" t="str">
        <f>IF(ISBLANK(スキャン結果!C45),"",スキャン結果!C45)</f>
        <v/>
      </c>
      <c r="D47" s="161" t="str">
        <f>IF(ISBLANK(スキャン結果!D45),"",スキャン結果!D45)</f>
        <v/>
      </c>
      <c r="E47" s="161" t="str">
        <f>IF(ISBLANK(スキャン結果!E45),"",スキャン結果!E45)</f>
        <v/>
      </c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1" t="str">
        <f t="shared" si="11"/>
        <v/>
      </c>
      <c r="DC47" s="161" t="str">
        <f t="shared" si="11"/>
        <v/>
      </c>
      <c r="DD47" s="161" t="str">
        <f t="shared" si="11"/>
        <v/>
      </c>
      <c r="DE47" s="161" t="str">
        <f t="shared" si="11"/>
        <v/>
      </c>
      <c r="DF47" s="161" t="str">
        <f t="shared" si="11"/>
        <v/>
      </c>
      <c r="DG47" s="161" t="str">
        <f t="shared" si="11"/>
        <v/>
      </c>
      <c r="DH47" s="141"/>
      <c r="DI47" s="141"/>
      <c r="DJ47" s="141"/>
      <c r="DK47" s="141"/>
      <c r="DL47" s="141"/>
      <c r="DM47" s="141"/>
      <c r="DN47" s="163" t="str">
        <f t="shared" si="12"/>
        <v/>
      </c>
      <c r="DO47" s="164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160" t="str">
        <f>IF(ISBLANK(スキャン結果!C46),"",スキャン結果!C46)</f>
        <v/>
      </c>
      <c r="D48" s="161" t="str">
        <f>IF(ISBLANK(スキャン結果!D46),"",スキャン結果!D46)</f>
        <v/>
      </c>
      <c r="E48" s="161" t="str">
        <f>IF(ISBLANK(スキャン結果!E46),"",スキャン結果!E46)</f>
        <v/>
      </c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1" t="str">
        <f t="shared" si="11"/>
        <v/>
      </c>
      <c r="DC48" s="161" t="str">
        <f t="shared" si="11"/>
        <v/>
      </c>
      <c r="DD48" s="161" t="str">
        <f t="shared" si="11"/>
        <v/>
      </c>
      <c r="DE48" s="161" t="str">
        <f t="shared" si="11"/>
        <v/>
      </c>
      <c r="DF48" s="161" t="str">
        <f t="shared" si="11"/>
        <v/>
      </c>
      <c r="DG48" s="161" t="str">
        <f t="shared" si="11"/>
        <v/>
      </c>
      <c r="DH48" s="141"/>
      <c r="DI48" s="141"/>
      <c r="DJ48" s="141"/>
      <c r="DK48" s="141"/>
      <c r="DL48" s="141"/>
      <c r="DM48" s="141"/>
      <c r="DN48" s="163" t="str">
        <f t="shared" si="12"/>
        <v/>
      </c>
      <c r="DO48" s="164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60" t="str">
        <f>IF(ISBLANK(スキャン結果!C47),"",スキャン結果!C47)</f>
        <v/>
      </c>
      <c r="D49" s="161" t="str">
        <f>IF(ISBLANK(スキャン結果!D47),"",スキャン結果!D47)</f>
        <v/>
      </c>
      <c r="E49" s="161" t="str">
        <f>IF(ISBLANK(スキャン結果!E47),"",スキャン結果!E47)</f>
        <v/>
      </c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1" t="str">
        <f t="shared" si="11"/>
        <v/>
      </c>
      <c r="DC49" s="161" t="str">
        <f t="shared" si="11"/>
        <v/>
      </c>
      <c r="DD49" s="161" t="str">
        <f t="shared" si="11"/>
        <v/>
      </c>
      <c r="DE49" s="161" t="str">
        <f t="shared" si="11"/>
        <v/>
      </c>
      <c r="DF49" s="161" t="str">
        <f t="shared" si="11"/>
        <v/>
      </c>
      <c r="DG49" s="161" t="str">
        <f t="shared" si="11"/>
        <v/>
      </c>
      <c r="DH49" s="141"/>
      <c r="DI49" s="141"/>
      <c r="DJ49" s="141"/>
      <c r="DK49" s="141"/>
      <c r="DL49" s="141"/>
      <c r="DM49" s="141"/>
      <c r="DN49" s="163" t="str">
        <f t="shared" si="12"/>
        <v/>
      </c>
      <c r="DO49" s="164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0" t="str">
        <f>IF(ISBLANK(スキャン結果!C48),"",スキャン結果!C48)</f>
        <v/>
      </c>
      <c r="D50" s="161" t="str">
        <f>IF(ISBLANK(スキャン結果!D48),"",スキャン結果!D48)</f>
        <v/>
      </c>
      <c r="E50" s="161" t="str">
        <f>IF(ISBLANK(スキャン結果!E48),"",スキャン結果!E48)</f>
        <v/>
      </c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1" t="str">
        <f t="shared" si="11"/>
        <v/>
      </c>
      <c r="DC50" s="161" t="str">
        <f t="shared" si="11"/>
        <v/>
      </c>
      <c r="DD50" s="161" t="str">
        <f t="shared" si="11"/>
        <v/>
      </c>
      <c r="DE50" s="161" t="str">
        <f t="shared" si="11"/>
        <v/>
      </c>
      <c r="DF50" s="161" t="str">
        <f t="shared" si="11"/>
        <v/>
      </c>
      <c r="DG50" s="161" t="str">
        <f t="shared" si="11"/>
        <v/>
      </c>
      <c r="DH50" s="141"/>
      <c r="DI50" s="141"/>
      <c r="DJ50" s="141"/>
      <c r="DK50" s="141"/>
      <c r="DL50" s="141"/>
      <c r="DM50" s="141"/>
      <c r="DN50" s="163" t="str">
        <f t="shared" si="12"/>
        <v/>
      </c>
      <c r="DO50" s="164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0" t="str">
        <f>IF(ISBLANK(スキャン結果!C49),"",スキャン結果!C49)</f>
        <v/>
      </c>
      <c r="D51" s="161" t="str">
        <f>IF(ISBLANK(スキャン結果!D49),"",スキャン結果!D49)</f>
        <v/>
      </c>
      <c r="E51" s="161" t="str">
        <f>IF(ISBLANK(スキャン結果!E49),"",スキャン結果!E49)</f>
        <v/>
      </c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1" t="str">
        <f t="shared" si="11"/>
        <v/>
      </c>
      <c r="DC51" s="161" t="str">
        <f t="shared" si="11"/>
        <v/>
      </c>
      <c r="DD51" s="161" t="str">
        <f t="shared" si="11"/>
        <v/>
      </c>
      <c r="DE51" s="161" t="str">
        <f t="shared" si="11"/>
        <v/>
      </c>
      <c r="DF51" s="161" t="str">
        <f t="shared" si="11"/>
        <v/>
      </c>
      <c r="DG51" s="161" t="str">
        <f t="shared" si="11"/>
        <v/>
      </c>
      <c r="DH51" s="141"/>
      <c r="DI51" s="141"/>
      <c r="DJ51" s="141"/>
      <c r="DK51" s="141"/>
      <c r="DL51" s="141"/>
      <c r="DM51" s="141"/>
      <c r="DN51" s="163" t="str">
        <f t="shared" si="12"/>
        <v/>
      </c>
      <c r="DO51" s="164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0" t="str">
        <f>IF(ISBLANK(スキャン結果!C50),"",スキャン結果!C50)</f>
        <v/>
      </c>
      <c r="D52" s="161" t="str">
        <f>IF(ISBLANK(スキャン結果!D50),"",スキャン結果!D50)</f>
        <v/>
      </c>
      <c r="E52" s="161" t="str">
        <f>IF(ISBLANK(スキャン結果!E50),"",スキャン結果!E50)</f>
        <v/>
      </c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1" t="str">
        <f t="shared" si="11"/>
        <v/>
      </c>
      <c r="DC52" s="161" t="str">
        <f t="shared" si="11"/>
        <v/>
      </c>
      <c r="DD52" s="161" t="str">
        <f t="shared" si="11"/>
        <v/>
      </c>
      <c r="DE52" s="161" t="str">
        <f t="shared" si="11"/>
        <v/>
      </c>
      <c r="DF52" s="161" t="str">
        <f t="shared" si="11"/>
        <v/>
      </c>
      <c r="DG52" s="161" t="str">
        <f t="shared" si="11"/>
        <v/>
      </c>
      <c r="DH52" s="141"/>
      <c r="DI52" s="141"/>
      <c r="DJ52" s="141"/>
      <c r="DK52" s="141"/>
      <c r="DL52" s="141"/>
      <c r="DM52" s="141"/>
      <c r="DN52" s="163" t="str">
        <f t="shared" si="12"/>
        <v/>
      </c>
      <c r="DO52" s="164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160" t="str">
        <f>IF(ISBLANK(スキャン結果!C51),"",スキャン結果!C51)</f>
        <v/>
      </c>
      <c r="D53" s="161" t="str">
        <f>IF(ISBLANK(スキャン結果!D51),"",スキャン結果!D51)</f>
        <v/>
      </c>
      <c r="E53" s="161" t="str">
        <f>IF(ISBLANK(スキャン結果!E51),"",スキャン結果!E51)</f>
        <v/>
      </c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1" t="str">
        <f t="shared" si="11"/>
        <v/>
      </c>
      <c r="DC53" s="161" t="str">
        <f t="shared" si="11"/>
        <v/>
      </c>
      <c r="DD53" s="161" t="str">
        <f t="shared" si="11"/>
        <v/>
      </c>
      <c r="DE53" s="161" t="str">
        <f t="shared" si="11"/>
        <v/>
      </c>
      <c r="DF53" s="161" t="str">
        <f t="shared" si="11"/>
        <v/>
      </c>
      <c r="DG53" s="161" t="str">
        <f t="shared" si="11"/>
        <v/>
      </c>
      <c r="DH53" s="141"/>
      <c r="DI53" s="141"/>
      <c r="DJ53" s="141"/>
      <c r="DK53" s="141"/>
      <c r="DL53" s="141"/>
      <c r="DM53" s="141"/>
      <c r="DN53" s="163" t="str">
        <f t="shared" si="12"/>
        <v/>
      </c>
      <c r="DO53" s="164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60" t="str">
        <f>IF(ISBLANK(スキャン結果!C52),"",スキャン結果!C52)</f>
        <v/>
      </c>
      <c r="D54" s="161" t="str">
        <f>IF(ISBLANK(スキャン結果!D52),"",スキャン結果!D52)</f>
        <v/>
      </c>
      <c r="E54" s="161" t="str">
        <f>IF(ISBLANK(スキャン結果!E52),"",スキャン結果!E52)</f>
        <v/>
      </c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1" t="str">
        <f t="shared" si="11"/>
        <v/>
      </c>
      <c r="DC54" s="161" t="str">
        <f t="shared" si="11"/>
        <v/>
      </c>
      <c r="DD54" s="161" t="str">
        <f t="shared" si="11"/>
        <v/>
      </c>
      <c r="DE54" s="161" t="str">
        <f t="shared" si="11"/>
        <v/>
      </c>
      <c r="DF54" s="161" t="str">
        <f t="shared" si="11"/>
        <v/>
      </c>
      <c r="DG54" s="161" t="str">
        <f t="shared" si="11"/>
        <v/>
      </c>
      <c r="DH54" s="141"/>
      <c r="DI54" s="141"/>
      <c r="DJ54" s="141"/>
      <c r="DK54" s="141"/>
      <c r="DL54" s="141"/>
      <c r="DM54" s="141"/>
      <c r="DN54" s="163" t="str">
        <f t="shared" si="12"/>
        <v/>
      </c>
      <c r="DO54" s="164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0" t="str">
        <f>IF(ISBLANK(スキャン結果!C53),"",スキャン結果!C53)</f>
        <v/>
      </c>
      <c r="D55" s="161" t="str">
        <f>IF(ISBLANK(スキャン結果!D53),"",スキャン結果!D53)</f>
        <v/>
      </c>
      <c r="E55" s="161" t="str">
        <f>IF(ISBLANK(スキャン結果!E53),"",スキャン結果!E53)</f>
        <v/>
      </c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1" t="str">
        <f t="shared" si="11"/>
        <v/>
      </c>
      <c r="DC55" s="161" t="str">
        <f t="shared" si="11"/>
        <v/>
      </c>
      <c r="DD55" s="161" t="str">
        <f t="shared" si="11"/>
        <v/>
      </c>
      <c r="DE55" s="161" t="str">
        <f t="shared" si="11"/>
        <v/>
      </c>
      <c r="DF55" s="161" t="str">
        <f t="shared" si="11"/>
        <v/>
      </c>
      <c r="DG55" s="161" t="str">
        <f t="shared" si="11"/>
        <v/>
      </c>
      <c r="DH55" s="141"/>
      <c r="DI55" s="141"/>
      <c r="DJ55" s="141"/>
      <c r="DK55" s="141"/>
      <c r="DL55" s="141"/>
      <c r="DM55" s="141"/>
      <c r="DN55" s="163" t="str">
        <f t="shared" si="12"/>
        <v/>
      </c>
      <c r="DO55" s="164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0" t="str">
        <f>IF(ISBLANK(スキャン結果!C54),"",スキャン結果!C54)</f>
        <v/>
      </c>
      <c r="D56" s="161" t="str">
        <f>IF(ISBLANK(スキャン結果!D54),"",スキャン結果!D54)</f>
        <v/>
      </c>
      <c r="E56" s="161" t="str">
        <f>IF(ISBLANK(スキャン結果!E54),"",スキャン結果!E54)</f>
        <v/>
      </c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1" t="str">
        <f t="shared" si="11"/>
        <v/>
      </c>
      <c r="DC56" s="161" t="str">
        <f t="shared" si="11"/>
        <v/>
      </c>
      <c r="DD56" s="161" t="str">
        <f t="shared" si="11"/>
        <v/>
      </c>
      <c r="DE56" s="161" t="str">
        <f t="shared" si="11"/>
        <v/>
      </c>
      <c r="DF56" s="161" t="str">
        <f t="shared" si="11"/>
        <v/>
      </c>
      <c r="DG56" s="161" t="str">
        <f t="shared" si="11"/>
        <v/>
      </c>
      <c r="DH56" s="141"/>
      <c r="DI56" s="141"/>
      <c r="DJ56" s="141"/>
      <c r="DK56" s="141"/>
      <c r="DL56" s="141"/>
      <c r="DM56" s="141"/>
      <c r="DN56" s="163" t="str">
        <f t="shared" si="12"/>
        <v/>
      </c>
      <c r="DO56" s="164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0" t="str">
        <f>IF(ISBLANK(スキャン結果!C55),"",スキャン結果!C55)</f>
        <v/>
      </c>
      <c r="D57" s="161" t="str">
        <f>IF(ISBLANK(スキャン結果!D55),"",スキャン結果!D55)</f>
        <v/>
      </c>
      <c r="E57" s="161" t="str">
        <f>IF(ISBLANK(スキャン結果!E55),"",スキャン結果!E55)</f>
        <v/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1" t="str">
        <f t="shared" si="11"/>
        <v/>
      </c>
      <c r="DC57" s="161" t="str">
        <f t="shared" si="11"/>
        <v/>
      </c>
      <c r="DD57" s="161" t="str">
        <f t="shared" si="11"/>
        <v/>
      </c>
      <c r="DE57" s="161" t="str">
        <f t="shared" si="11"/>
        <v/>
      </c>
      <c r="DF57" s="161" t="str">
        <f t="shared" si="11"/>
        <v/>
      </c>
      <c r="DG57" s="161" t="str">
        <f t="shared" si="11"/>
        <v/>
      </c>
      <c r="DH57" s="141"/>
      <c r="DI57" s="141"/>
      <c r="DJ57" s="141"/>
      <c r="DK57" s="141"/>
      <c r="DL57" s="141"/>
      <c r="DM57" s="141"/>
      <c r="DN57" s="163" t="str">
        <f t="shared" si="12"/>
        <v/>
      </c>
      <c r="DO57" s="164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160" t="str">
        <f>IF(ISBLANK(スキャン結果!C56),"",スキャン結果!C56)</f>
        <v/>
      </c>
      <c r="D58" s="161" t="str">
        <f>IF(ISBLANK(スキャン結果!D56),"",スキャン結果!D56)</f>
        <v/>
      </c>
      <c r="E58" s="161" t="str">
        <f>IF(ISBLANK(スキャン結果!E56),"",スキャン結果!E56)</f>
        <v/>
      </c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1" t="str">
        <f t="shared" si="11"/>
        <v/>
      </c>
      <c r="DC58" s="161" t="str">
        <f t="shared" si="11"/>
        <v/>
      </c>
      <c r="DD58" s="161" t="str">
        <f t="shared" si="11"/>
        <v/>
      </c>
      <c r="DE58" s="161" t="str">
        <f t="shared" si="11"/>
        <v/>
      </c>
      <c r="DF58" s="161" t="str">
        <f t="shared" si="11"/>
        <v/>
      </c>
      <c r="DG58" s="161" t="str">
        <f t="shared" si="11"/>
        <v/>
      </c>
      <c r="DH58" s="141"/>
      <c r="DI58" s="141"/>
      <c r="DJ58" s="141"/>
      <c r="DK58" s="141"/>
      <c r="DL58" s="141"/>
      <c r="DM58" s="141"/>
      <c r="DN58" s="163" t="str">
        <f t="shared" si="12"/>
        <v/>
      </c>
      <c r="DO58" s="164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60" t="str">
        <f>IF(ISBLANK(スキャン結果!C57),"",スキャン結果!C57)</f>
        <v/>
      </c>
      <c r="D59" s="161" t="str">
        <f>IF(ISBLANK(スキャン結果!D57),"",スキャン結果!D57)</f>
        <v/>
      </c>
      <c r="E59" s="161" t="str">
        <f>IF(ISBLANK(スキャン結果!E57),"",スキャン結果!E57)</f>
        <v/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1" t="str">
        <f t="shared" si="11"/>
        <v/>
      </c>
      <c r="DC59" s="161" t="str">
        <f t="shared" si="11"/>
        <v/>
      </c>
      <c r="DD59" s="161" t="str">
        <f t="shared" si="11"/>
        <v/>
      </c>
      <c r="DE59" s="161" t="str">
        <f t="shared" si="11"/>
        <v/>
      </c>
      <c r="DF59" s="161" t="str">
        <f t="shared" si="11"/>
        <v/>
      </c>
      <c r="DG59" s="161" t="str">
        <f t="shared" si="11"/>
        <v/>
      </c>
      <c r="DH59" s="141"/>
      <c r="DI59" s="141"/>
      <c r="DJ59" s="141"/>
      <c r="DK59" s="141"/>
      <c r="DL59" s="141"/>
      <c r="DM59" s="141"/>
      <c r="DN59" s="163" t="str">
        <f t="shared" si="12"/>
        <v/>
      </c>
      <c r="DO59" s="164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0" t="str">
        <f>IF(ISBLANK(スキャン結果!C58),"",スキャン結果!C58)</f>
        <v/>
      </c>
      <c r="D60" s="161" t="str">
        <f>IF(ISBLANK(スキャン結果!D58),"",スキャン結果!D58)</f>
        <v/>
      </c>
      <c r="E60" s="161" t="str">
        <f>IF(ISBLANK(スキャン結果!E58),"",スキャン結果!E58)</f>
        <v/>
      </c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1" t="str">
        <f t="shared" si="11"/>
        <v/>
      </c>
      <c r="DC60" s="161" t="str">
        <f t="shared" si="11"/>
        <v/>
      </c>
      <c r="DD60" s="161" t="str">
        <f t="shared" si="11"/>
        <v/>
      </c>
      <c r="DE60" s="161" t="str">
        <f t="shared" si="11"/>
        <v/>
      </c>
      <c r="DF60" s="161" t="str">
        <f t="shared" si="11"/>
        <v/>
      </c>
      <c r="DG60" s="161" t="str">
        <f t="shared" si="11"/>
        <v/>
      </c>
      <c r="DH60" s="141"/>
      <c r="DI60" s="141"/>
      <c r="DJ60" s="141"/>
      <c r="DK60" s="141"/>
      <c r="DL60" s="141"/>
      <c r="DM60" s="141"/>
      <c r="DN60" s="163" t="str">
        <f t="shared" si="12"/>
        <v/>
      </c>
      <c r="DO60" s="164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0" t="str">
        <f>IF(ISBLANK(スキャン結果!C59),"",スキャン結果!C59)</f>
        <v/>
      </c>
      <c r="D61" s="161" t="str">
        <f>IF(ISBLANK(スキャン結果!D59),"",スキャン結果!D59)</f>
        <v/>
      </c>
      <c r="E61" s="161" t="str">
        <f>IF(ISBLANK(スキャン結果!E59),"",スキャン結果!E59)</f>
        <v/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1" t="str">
        <f t="shared" si="11"/>
        <v/>
      </c>
      <c r="DC61" s="161" t="str">
        <f t="shared" si="11"/>
        <v/>
      </c>
      <c r="DD61" s="161" t="str">
        <f t="shared" si="11"/>
        <v/>
      </c>
      <c r="DE61" s="161" t="str">
        <f t="shared" si="11"/>
        <v/>
      </c>
      <c r="DF61" s="161" t="str">
        <f t="shared" si="11"/>
        <v/>
      </c>
      <c r="DG61" s="161" t="str">
        <f t="shared" si="11"/>
        <v/>
      </c>
      <c r="DH61" s="141"/>
      <c r="DI61" s="141"/>
      <c r="DJ61" s="141"/>
      <c r="DK61" s="141"/>
      <c r="DL61" s="141"/>
      <c r="DM61" s="141"/>
      <c r="DN61" s="163" t="str">
        <f t="shared" si="12"/>
        <v/>
      </c>
      <c r="DO61" s="164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0" t="str">
        <f>IF(ISBLANK(スキャン結果!C60),"",スキャン結果!C60)</f>
        <v/>
      </c>
      <c r="D62" s="161" t="str">
        <f>IF(ISBLANK(スキャン結果!D60),"",スキャン結果!D60)</f>
        <v/>
      </c>
      <c r="E62" s="161" t="str">
        <f>IF(ISBLANK(スキャン結果!E60),"",スキャン結果!E60)</f>
        <v/>
      </c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1" t="str">
        <f t="shared" si="11"/>
        <v/>
      </c>
      <c r="DC62" s="161" t="str">
        <f t="shared" si="11"/>
        <v/>
      </c>
      <c r="DD62" s="161" t="str">
        <f t="shared" si="11"/>
        <v/>
      </c>
      <c r="DE62" s="161" t="str">
        <f t="shared" si="11"/>
        <v/>
      </c>
      <c r="DF62" s="161" t="str">
        <f t="shared" si="11"/>
        <v/>
      </c>
      <c r="DG62" s="161" t="str">
        <f t="shared" si="11"/>
        <v/>
      </c>
      <c r="DH62" s="141"/>
      <c r="DI62" s="141"/>
      <c r="DJ62" s="141"/>
      <c r="DK62" s="141"/>
      <c r="DL62" s="141"/>
      <c r="DM62" s="141"/>
      <c r="DN62" s="163" t="str">
        <f t="shared" si="12"/>
        <v/>
      </c>
      <c r="DO62" s="164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160" t="str">
        <f>IF(ISBLANK(スキャン結果!C61),"",スキャン結果!C61)</f>
        <v/>
      </c>
      <c r="D63" s="161" t="str">
        <f>IF(ISBLANK(スキャン結果!D61),"",スキャン結果!D61)</f>
        <v/>
      </c>
      <c r="E63" s="161" t="str">
        <f>IF(ISBLANK(スキャン結果!E61),"",スキャン結果!E61)</f>
        <v/>
      </c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1" t="str">
        <f t="shared" si="11"/>
        <v/>
      </c>
      <c r="DC63" s="161" t="str">
        <f t="shared" si="11"/>
        <v/>
      </c>
      <c r="DD63" s="161" t="str">
        <f t="shared" si="11"/>
        <v/>
      </c>
      <c r="DE63" s="161" t="str">
        <f t="shared" si="11"/>
        <v/>
      </c>
      <c r="DF63" s="161" t="str">
        <f t="shared" si="11"/>
        <v/>
      </c>
      <c r="DG63" s="161" t="str">
        <f t="shared" si="11"/>
        <v/>
      </c>
      <c r="DH63" s="141"/>
      <c r="DI63" s="141"/>
      <c r="DJ63" s="141"/>
      <c r="DK63" s="141"/>
      <c r="DL63" s="141"/>
      <c r="DM63" s="141"/>
      <c r="DN63" s="163" t="str">
        <f t="shared" si="12"/>
        <v/>
      </c>
      <c r="DO63" s="164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60" t="str">
        <f>IF(ISBLANK(スキャン結果!C62),"",スキャン結果!C62)</f>
        <v/>
      </c>
      <c r="D64" s="161" t="str">
        <f>IF(ISBLANK(スキャン結果!D62),"",スキャン結果!D62)</f>
        <v/>
      </c>
      <c r="E64" s="161" t="str">
        <f>IF(ISBLANK(スキャン結果!E62),"",スキャン結果!E62)</f>
        <v/>
      </c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1" t="str">
        <f t="shared" si="11"/>
        <v/>
      </c>
      <c r="DC64" s="161" t="str">
        <f t="shared" si="11"/>
        <v/>
      </c>
      <c r="DD64" s="161" t="str">
        <f t="shared" si="11"/>
        <v/>
      </c>
      <c r="DE64" s="161" t="str">
        <f t="shared" si="11"/>
        <v/>
      </c>
      <c r="DF64" s="161" t="str">
        <f t="shared" si="11"/>
        <v/>
      </c>
      <c r="DG64" s="161" t="str">
        <f t="shared" si="11"/>
        <v/>
      </c>
      <c r="DH64" s="141"/>
      <c r="DI64" s="141"/>
      <c r="DJ64" s="141"/>
      <c r="DK64" s="141"/>
      <c r="DL64" s="141"/>
      <c r="DM64" s="141"/>
      <c r="DN64" s="163" t="str">
        <f t="shared" si="12"/>
        <v/>
      </c>
      <c r="DO64" s="164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0" t="str">
        <f>IF(ISBLANK(スキャン結果!C63),"",スキャン結果!C63)</f>
        <v/>
      </c>
      <c r="D65" s="161" t="str">
        <f>IF(ISBLANK(スキャン結果!D63),"",スキャン結果!D63)</f>
        <v/>
      </c>
      <c r="E65" s="161" t="str">
        <f>IF(ISBLANK(スキャン結果!E63),"",スキャン結果!E63)</f>
        <v/>
      </c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1" t="str">
        <f t="shared" si="11"/>
        <v/>
      </c>
      <c r="DC65" s="161" t="str">
        <f t="shared" si="11"/>
        <v/>
      </c>
      <c r="DD65" s="161" t="str">
        <f t="shared" si="11"/>
        <v/>
      </c>
      <c r="DE65" s="161" t="str">
        <f t="shared" si="11"/>
        <v/>
      </c>
      <c r="DF65" s="161" t="str">
        <f t="shared" si="11"/>
        <v/>
      </c>
      <c r="DG65" s="161" t="str">
        <f t="shared" si="11"/>
        <v/>
      </c>
      <c r="DH65" s="141"/>
      <c r="DI65" s="141"/>
      <c r="DJ65" s="141"/>
      <c r="DK65" s="141"/>
      <c r="DL65" s="141"/>
      <c r="DM65" s="141"/>
      <c r="DN65" s="163" t="str">
        <f t="shared" si="12"/>
        <v/>
      </c>
      <c r="DO65" s="164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0" t="str">
        <f>IF(ISBLANK(スキャン結果!C64),"",スキャン結果!C64)</f>
        <v/>
      </c>
      <c r="D66" s="161" t="str">
        <f>IF(ISBLANK(スキャン結果!D64),"",スキャン結果!D64)</f>
        <v/>
      </c>
      <c r="E66" s="161" t="str">
        <f>IF(ISBLANK(スキャン結果!E64),"",スキャン結果!E64)</f>
        <v/>
      </c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1" t="str">
        <f t="shared" si="11"/>
        <v/>
      </c>
      <c r="DC66" s="161" t="str">
        <f t="shared" si="11"/>
        <v/>
      </c>
      <c r="DD66" s="161" t="str">
        <f t="shared" si="11"/>
        <v/>
      </c>
      <c r="DE66" s="161" t="str">
        <f t="shared" si="11"/>
        <v/>
      </c>
      <c r="DF66" s="161" t="str">
        <f t="shared" si="11"/>
        <v/>
      </c>
      <c r="DG66" s="161" t="str">
        <f t="shared" si="11"/>
        <v/>
      </c>
      <c r="DH66" s="141"/>
      <c r="DI66" s="141"/>
      <c r="DJ66" s="141"/>
      <c r="DK66" s="141"/>
      <c r="DL66" s="141"/>
      <c r="DM66" s="141"/>
      <c r="DN66" s="163" t="str">
        <f t="shared" si="12"/>
        <v/>
      </c>
      <c r="DO66" s="164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0" t="str">
        <f>IF(ISBLANK(スキャン結果!C65),"",スキャン結果!C65)</f>
        <v/>
      </c>
      <c r="D67" s="161" t="str">
        <f>IF(ISBLANK(スキャン結果!D65),"",スキャン結果!D65)</f>
        <v/>
      </c>
      <c r="E67" s="161" t="str">
        <f>IF(ISBLANK(スキャン結果!E65),"",スキャン結果!E65)</f>
        <v/>
      </c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1" t="str">
        <f t="shared" si="11"/>
        <v/>
      </c>
      <c r="DC67" s="161" t="str">
        <f t="shared" si="11"/>
        <v/>
      </c>
      <c r="DD67" s="161" t="str">
        <f t="shared" si="11"/>
        <v/>
      </c>
      <c r="DE67" s="161" t="str">
        <f t="shared" si="11"/>
        <v/>
      </c>
      <c r="DF67" s="161" t="str">
        <f t="shared" si="11"/>
        <v/>
      </c>
      <c r="DG67" s="161" t="str">
        <f t="shared" si="11"/>
        <v/>
      </c>
      <c r="DH67" s="141"/>
      <c r="DI67" s="141"/>
      <c r="DJ67" s="141"/>
      <c r="DK67" s="141"/>
      <c r="DL67" s="141"/>
      <c r="DM67" s="141"/>
      <c r="DN67" s="163" t="str">
        <f t="shared" si="12"/>
        <v/>
      </c>
      <c r="DO67" s="164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160" t="str">
        <f>IF(ISBLANK(スキャン結果!C66),"",スキャン結果!C66)</f>
        <v/>
      </c>
      <c r="D68" s="161" t="str">
        <f>IF(ISBLANK(スキャン結果!D66),"",スキャン結果!D66)</f>
        <v/>
      </c>
      <c r="E68" s="161" t="str">
        <f>IF(ISBLANK(スキャン結果!E66),"",スキャン結果!E66)</f>
        <v/>
      </c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1" t="str">
        <f t="shared" si="11"/>
        <v/>
      </c>
      <c r="DC68" s="161" t="str">
        <f t="shared" si="11"/>
        <v/>
      </c>
      <c r="DD68" s="161" t="str">
        <f t="shared" si="11"/>
        <v/>
      </c>
      <c r="DE68" s="161" t="str">
        <f t="shared" si="11"/>
        <v/>
      </c>
      <c r="DF68" s="161" t="str">
        <f t="shared" si="11"/>
        <v/>
      </c>
      <c r="DG68" s="161" t="str">
        <f t="shared" si="11"/>
        <v/>
      </c>
      <c r="DH68" s="141"/>
      <c r="DI68" s="141"/>
      <c r="DJ68" s="141"/>
      <c r="DK68" s="141"/>
      <c r="DL68" s="141"/>
      <c r="DM68" s="141"/>
      <c r="DN68" s="163" t="str">
        <f t="shared" si="12"/>
        <v/>
      </c>
      <c r="DO68" s="164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60" t="str">
        <f>IF(ISBLANK(スキャン結果!C67),"",スキャン結果!C67)</f>
        <v/>
      </c>
      <c r="D69" s="161" t="str">
        <f>IF(ISBLANK(スキャン結果!D67),"",スキャン結果!D67)</f>
        <v/>
      </c>
      <c r="E69" s="161" t="str">
        <f>IF(ISBLANK(スキャン結果!E67),"",スキャン結果!E67)</f>
        <v/>
      </c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1" t="str">
        <f t="shared" si="11"/>
        <v/>
      </c>
      <c r="DC69" s="161" t="str">
        <f t="shared" si="11"/>
        <v/>
      </c>
      <c r="DD69" s="161" t="str">
        <f t="shared" si="11"/>
        <v/>
      </c>
      <c r="DE69" s="161" t="str">
        <f t="shared" si="11"/>
        <v/>
      </c>
      <c r="DF69" s="161" t="str">
        <f t="shared" si="11"/>
        <v/>
      </c>
      <c r="DG69" s="161" t="str">
        <f t="shared" si="11"/>
        <v/>
      </c>
      <c r="DH69" s="141"/>
      <c r="DI69" s="141"/>
      <c r="DJ69" s="141"/>
      <c r="DK69" s="141"/>
      <c r="DL69" s="141"/>
      <c r="DM69" s="141"/>
      <c r="DN69" s="163" t="str">
        <f t="shared" si="12"/>
        <v/>
      </c>
      <c r="DO69" s="164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0" t="str">
        <f>IF(ISBLANK(スキャン結果!C68),"",スキャン結果!C68)</f>
        <v/>
      </c>
      <c r="D70" s="161" t="str">
        <f>IF(ISBLANK(スキャン結果!D68),"",スキャン結果!D68)</f>
        <v/>
      </c>
      <c r="E70" s="161" t="str">
        <f>IF(ISBLANK(スキャン結果!E68),"",スキャン結果!E68)</f>
        <v/>
      </c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1" t="str">
        <f t="shared" ref="DB70:DG112" si="13">IF(OR($B70="",DB$4=""),"",SUMIF($F$3:$DA$4,DB$4,$F70:$DA70))</f>
        <v/>
      </c>
      <c r="DC70" s="161" t="str">
        <f t="shared" si="13"/>
        <v/>
      </c>
      <c r="DD70" s="161" t="str">
        <f t="shared" si="13"/>
        <v/>
      </c>
      <c r="DE70" s="161" t="str">
        <f t="shared" si="13"/>
        <v/>
      </c>
      <c r="DF70" s="161" t="str">
        <f t="shared" si="13"/>
        <v/>
      </c>
      <c r="DG70" s="161" t="str">
        <f t="shared" si="13"/>
        <v/>
      </c>
      <c r="DH70" s="141"/>
      <c r="DI70" s="141"/>
      <c r="DJ70" s="141"/>
      <c r="DK70" s="141"/>
      <c r="DL70" s="141"/>
      <c r="DM70" s="141"/>
      <c r="DN70" s="163" t="str">
        <f t="shared" si="12"/>
        <v/>
      </c>
      <c r="DO70" s="164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0" t="str">
        <f>IF(ISBLANK(スキャン結果!C69),"",スキャン結果!C69)</f>
        <v/>
      </c>
      <c r="D71" s="161" t="str">
        <f>IF(ISBLANK(スキャン結果!D69),"",スキャン結果!D69)</f>
        <v/>
      </c>
      <c r="E71" s="161" t="str">
        <f>IF(ISBLANK(スキャン結果!E69),"",スキャン結果!E69)</f>
        <v/>
      </c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1" t="str">
        <f t="shared" si="13"/>
        <v/>
      </c>
      <c r="DC71" s="161" t="str">
        <f t="shared" si="13"/>
        <v/>
      </c>
      <c r="DD71" s="161" t="str">
        <f t="shared" si="13"/>
        <v/>
      </c>
      <c r="DE71" s="161" t="str">
        <f t="shared" si="13"/>
        <v/>
      </c>
      <c r="DF71" s="161" t="str">
        <f t="shared" si="13"/>
        <v/>
      </c>
      <c r="DG71" s="161" t="str">
        <f t="shared" si="13"/>
        <v/>
      </c>
      <c r="DH71" s="141"/>
      <c r="DI71" s="141"/>
      <c r="DJ71" s="141"/>
      <c r="DK71" s="141"/>
      <c r="DL71" s="141"/>
      <c r="DM71" s="141"/>
      <c r="DN71" s="163" t="str">
        <f t="shared" si="12"/>
        <v/>
      </c>
      <c r="DO71" s="164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0" t="str">
        <f>IF(ISBLANK(スキャン結果!C70),"",スキャン結果!C70)</f>
        <v/>
      </c>
      <c r="D72" s="161" t="str">
        <f>IF(ISBLANK(スキャン結果!D70),"",スキャン結果!D70)</f>
        <v/>
      </c>
      <c r="E72" s="161" t="str">
        <f>IF(ISBLANK(スキャン結果!E70),"",スキャン結果!E70)</f>
        <v/>
      </c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1" t="str">
        <f t="shared" si="13"/>
        <v/>
      </c>
      <c r="DC72" s="161" t="str">
        <f t="shared" si="13"/>
        <v/>
      </c>
      <c r="DD72" s="161" t="str">
        <f t="shared" si="13"/>
        <v/>
      </c>
      <c r="DE72" s="161" t="str">
        <f t="shared" si="13"/>
        <v/>
      </c>
      <c r="DF72" s="161" t="str">
        <f t="shared" si="13"/>
        <v/>
      </c>
      <c r="DG72" s="161" t="str">
        <f t="shared" si="13"/>
        <v/>
      </c>
      <c r="DH72" s="141"/>
      <c r="DI72" s="141"/>
      <c r="DJ72" s="141"/>
      <c r="DK72" s="141"/>
      <c r="DL72" s="141"/>
      <c r="DM72" s="141"/>
      <c r="DN72" s="163" t="str">
        <f t="shared" si="12"/>
        <v/>
      </c>
      <c r="DO72" s="164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160" t="str">
        <f>IF(ISBLANK(スキャン結果!C71),"",スキャン結果!C71)</f>
        <v/>
      </c>
      <c r="D73" s="161" t="str">
        <f>IF(ISBLANK(スキャン結果!D71),"",スキャン結果!D71)</f>
        <v/>
      </c>
      <c r="E73" s="161" t="str">
        <f>IF(ISBLANK(スキャン結果!E71),"",スキャン結果!E71)</f>
        <v/>
      </c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1" t="str">
        <f t="shared" si="13"/>
        <v/>
      </c>
      <c r="DC73" s="161" t="str">
        <f t="shared" si="13"/>
        <v/>
      </c>
      <c r="DD73" s="161" t="str">
        <f t="shared" si="13"/>
        <v/>
      </c>
      <c r="DE73" s="161" t="str">
        <f t="shared" si="13"/>
        <v/>
      </c>
      <c r="DF73" s="161" t="str">
        <f t="shared" si="13"/>
        <v/>
      </c>
      <c r="DG73" s="161" t="str">
        <f t="shared" si="13"/>
        <v/>
      </c>
      <c r="DH73" s="141"/>
      <c r="DI73" s="141"/>
      <c r="DJ73" s="141"/>
      <c r="DK73" s="141"/>
      <c r="DL73" s="141"/>
      <c r="DM73" s="141"/>
      <c r="DN73" s="163" t="str">
        <f t="shared" si="12"/>
        <v/>
      </c>
      <c r="DO73" s="164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60" t="str">
        <f>IF(ISBLANK(スキャン結果!C72),"",スキャン結果!C72)</f>
        <v/>
      </c>
      <c r="D74" s="161" t="str">
        <f>IF(ISBLANK(スキャン結果!D72),"",スキャン結果!D72)</f>
        <v/>
      </c>
      <c r="E74" s="161" t="str">
        <f>IF(ISBLANK(スキャン結果!E72),"",スキャン結果!E72)</f>
        <v/>
      </c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1" t="str">
        <f t="shared" si="13"/>
        <v/>
      </c>
      <c r="DC74" s="161" t="str">
        <f t="shared" si="13"/>
        <v/>
      </c>
      <c r="DD74" s="161" t="str">
        <f t="shared" si="13"/>
        <v/>
      </c>
      <c r="DE74" s="161" t="str">
        <f t="shared" si="13"/>
        <v/>
      </c>
      <c r="DF74" s="161" t="str">
        <f t="shared" si="13"/>
        <v/>
      </c>
      <c r="DG74" s="161" t="str">
        <f t="shared" si="13"/>
        <v/>
      </c>
      <c r="DH74" s="141"/>
      <c r="DI74" s="141"/>
      <c r="DJ74" s="141"/>
      <c r="DK74" s="141"/>
      <c r="DL74" s="141"/>
      <c r="DM74" s="141"/>
      <c r="DN74" s="163" t="str">
        <f t="shared" si="12"/>
        <v/>
      </c>
      <c r="DO74" s="164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0" t="str">
        <f>IF(ISBLANK(スキャン結果!C73),"",スキャン結果!C73)</f>
        <v/>
      </c>
      <c r="D75" s="161" t="str">
        <f>IF(ISBLANK(スキャン結果!D73),"",スキャン結果!D73)</f>
        <v/>
      </c>
      <c r="E75" s="161" t="str">
        <f>IF(ISBLANK(スキャン結果!E73),"",スキャン結果!E73)</f>
        <v/>
      </c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1" t="str">
        <f t="shared" si="13"/>
        <v/>
      </c>
      <c r="DC75" s="161" t="str">
        <f t="shared" si="13"/>
        <v/>
      </c>
      <c r="DD75" s="161" t="str">
        <f t="shared" si="13"/>
        <v/>
      </c>
      <c r="DE75" s="161" t="str">
        <f t="shared" si="13"/>
        <v/>
      </c>
      <c r="DF75" s="161" t="str">
        <f t="shared" si="13"/>
        <v/>
      </c>
      <c r="DG75" s="161" t="str">
        <f t="shared" si="13"/>
        <v/>
      </c>
      <c r="DH75" s="141"/>
      <c r="DI75" s="141"/>
      <c r="DJ75" s="141"/>
      <c r="DK75" s="141"/>
      <c r="DL75" s="141"/>
      <c r="DM75" s="141"/>
      <c r="DN75" s="163" t="str">
        <f t="shared" si="12"/>
        <v/>
      </c>
      <c r="DO75" s="164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0" t="str">
        <f>IF(ISBLANK(スキャン結果!C74),"",スキャン結果!C74)</f>
        <v/>
      </c>
      <c r="D76" s="161" t="str">
        <f>IF(ISBLANK(スキャン結果!D74),"",スキャン結果!D74)</f>
        <v/>
      </c>
      <c r="E76" s="161" t="str">
        <f>IF(ISBLANK(スキャン結果!E74),"",スキャン結果!E74)</f>
        <v/>
      </c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1" t="str">
        <f t="shared" si="13"/>
        <v/>
      </c>
      <c r="DC76" s="161" t="str">
        <f t="shared" si="13"/>
        <v/>
      </c>
      <c r="DD76" s="161" t="str">
        <f t="shared" si="13"/>
        <v/>
      </c>
      <c r="DE76" s="161" t="str">
        <f t="shared" si="13"/>
        <v/>
      </c>
      <c r="DF76" s="161" t="str">
        <f t="shared" si="13"/>
        <v/>
      </c>
      <c r="DG76" s="161" t="str">
        <f t="shared" si="13"/>
        <v/>
      </c>
      <c r="DH76" s="141"/>
      <c r="DI76" s="141"/>
      <c r="DJ76" s="141"/>
      <c r="DK76" s="141"/>
      <c r="DL76" s="141"/>
      <c r="DM76" s="141"/>
      <c r="DN76" s="163" t="str">
        <f t="shared" si="12"/>
        <v/>
      </c>
      <c r="DO76" s="164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0" t="str">
        <f>IF(ISBLANK(スキャン結果!C75),"",スキャン結果!C75)</f>
        <v/>
      </c>
      <c r="D77" s="161" t="str">
        <f>IF(ISBLANK(スキャン結果!D75),"",スキャン結果!D75)</f>
        <v/>
      </c>
      <c r="E77" s="161" t="str">
        <f>IF(ISBLANK(スキャン結果!E75),"",スキャン結果!E75)</f>
        <v/>
      </c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1" t="str">
        <f t="shared" si="13"/>
        <v/>
      </c>
      <c r="DC77" s="161" t="str">
        <f t="shared" si="13"/>
        <v/>
      </c>
      <c r="DD77" s="161" t="str">
        <f t="shared" si="13"/>
        <v/>
      </c>
      <c r="DE77" s="161" t="str">
        <f t="shared" si="13"/>
        <v/>
      </c>
      <c r="DF77" s="161" t="str">
        <f t="shared" si="13"/>
        <v/>
      </c>
      <c r="DG77" s="161" t="str">
        <f t="shared" si="13"/>
        <v/>
      </c>
      <c r="DH77" s="141"/>
      <c r="DI77" s="141"/>
      <c r="DJ77" s="141"/>
      <c r="DK77" s="141"/>
      <c r="DL77" s="141"/>
      <c r="DM77" s="141"/>
      <c r="DN77" s="163" t="str">
        <f t="shared" si="12"/>
        <v/>
      </c>
      <c r="DO77" s="164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160" t="str">
        <f>IF(ISBLANK(スキャン結果!C76),"",スキャン結果!C76)</f>
        <v/>
      </c>
      <c r="D78" s="161" t="str">
        <f>IF(ISBLANK(スキャン結果!D76),"",スキャン結果!D76)</f>
        <v/>
      </c>
      <c r="E78" s="161" t="str">
        <f>IF(ISBLANK(スキャン結果!E76),"",スキャン結果!E76)</f>
        <v/>
      </c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1" t="str">
        <f t="shared" si="13"/>
        <v/>
      </c>
      <c r="DC78" s="161" t="str">
        <f t="shared" si="13"/>
        <v/>
      </c>
      <c r="DD78" s="161" t="str">
        <f t="shared" si="13"/>
        <v/>
      </c>
      <c r="DE78" s="161" t="str">
        <f t="shared" si="13"/>
        <v/>
      </c>
      <c r="DF78" s="161" t="str">
        <f t="shared" si="13"/>
        <v/>
      </c>
      <c r="DG78" s="161" t="str">
        <f t="shared" si="13"/>
        <v/>
      </c>
      <c r="DH78" s="141"/>
      <c r="DI78" s="141"/>
      <c r="DJ78" s="141"/>
      <c r="DK78" s="141"/>
      <c r="DL78" s="141"/>
      <c r="DM78" s="141"/>
      <c r="DN78" s="163" t="str">
        <f t="shared" si="12"/>
        <v/>
      </c>
      <c r="DO78" s="164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60" t="str">
        <f>IF(ISBLANK(スキャン結果!C77),"",スキャン結果!C77)</f>
        <v/>
      </c>
      <c r="D79" s="161" t="str">
        <f>IF(ISBLANK(スキャン結果!D77),"",スキャン結果!D77)</f>
        <v/>
      </c>
      <c r="E79" s="161" t="str">
        <f>IF(ISBLANK(スキャン結果!E77),"",スキャン結果!E77)</f>
        <v/>
      </c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1" t="str">
        <f t="shared" si="13"/>
        <v/>
      </c>
      <c r="DC79" s="161" t="str">
        <f t="shared" si="13"/>
        <v/>
      </c>
      <c r="DD79" s="161" t="str">
        <f t="shared" si="13"/>
        <v/>
      </c>
      <c r="DE79" s="161" t="str">
        <f t="shared" si="13"/>
        <v/>
      </c>
      <c r="DF79" s="161" t="str">
        <f t="shared" si="13"/>
        <v/>
      </c>
      <c r="DG79" s="161" t="str">
        <f t="shared" si="13"/>
        <v/>
      </c>
      <c r="DH79" s="141"/>
      <c r="DI79" s="141"/>
      <c r="DJ79" s="141"/>
      <c r="DK79" s="141"/>
      <c r="DL79" s="141"/>
      <c r="DM79" s="141"/>
      <c r="DN79" s="163" t="str">
        <f t="shared" ref="DN79:DN142" si="16">IF(A79="","",SUM(F79:DA79,DH79:DM79))</f>
        <v/>
      </c>
      <c r="DO79" s="164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0" t="str">
        <f>IF(ISBLANK(スキャン結果!C78),"",スキャン結果!C78)</f>
        <v/>
      </c>
      <c r="D80" s="161" t="str">
        <f>IF(ISBLANK(スキャン結果!D78),"",スキャン結果!D78)</f>
        <v/>
      </c>
      <c r="E80" s="161" t="str">
        <f>IF(ISBLANK(スキャン結果!E78),"",スキャン結果!E78)</f>
        <v/>
      </c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1" t="str">
        <f t="shared" si="13"/>
        <v/>
      </c>
      <c r="DC80" s="161" t="str">
        <f t="shared" si="13"/>
        <v/>
      </c>
      <c r="DD80" s="161" t="str">
        <f t="shared" si="13"/>
        <v/>
      </c>
      <c r="DE80" s="161" t="str">
        <f t="shared" si="13"/>
        <v/>
      </c>
      <c r="DF80" s="161" t="str">
        <f t="shared" si="13"/>
        <v/>
      </c>
      <c r="DG80" s="161" t="str">
        <f t="shared" si="13"/>
        <v/>
      </c>
      <c r="DH80" s="141"/>
      <c r="DI80" s="141"/>
      <c r="DJ80" s="141"/>
      <c r="DK80" s="141"/>
      <c r="DL80" s="141"/>
      <c r="DM80" s="141"/>
      <c r="DN80" s="163" t="str">
        <f t="shared" si="16"/>
        <v/>
      </c>
      <c r="DO80" s="164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0" t="str">
        <f>IF(ISBLANK(スキャン結果!C79),"",スキャン結果!C79)</f>
        <v/>
      </c>
      <c r="D81" s="161" t="str">
        <f>IF(ISBLANK(スキャン結果!D79),"",スキャン結果!D79)</f>
        <v/>
      </c>
      <c r="E81" s="161" t="str">
        <f>IF(ISBLANK(スキャン結果!E79),"",スキャン結果!E79)</f>
        <v/>
      </c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1" t="str">
        <f t="shared" si="13"/>
        <v/>
      </c>
      <c r="DC81" s="161" t="str">
        <f t="shared" si="13"/>
        <v/>
      </c>
      <c r="DD81" s="161" t="str">
        <f t="shared" si="13"/>
        <v/>
      </c>
      <c r="DE81" s="161" t="str">
        <f t="shared" si="13"/>
        <v/>
      </c>
      <c r="DF81" s="161" t="str">
        <f t="shared" si="13"/>
        <v/>
      </c>
      <c r="DG81" s="161" t="str">
        <f t="shared" si="13"/>
        <v/>
      </c>
      <c r="DH81" s="141"/>
      <c r="DI81" s="141"/>
      <c r="DJ81" s="141"/>
      <c r="DK81" s="141"/>
      <c r="DL81" s="141"/>
      <c r="DM81" s="141"/>
      <c r="DN81" s="163" t="str">
        <f t="shared" si="16"/>
        <v/>
      </c>
      <c r="DO81" s="164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0" t="str">
        <f>IF(ISBLANK(スキャン結果!C80),"",スキャン結果!C80)</f>
        <v/>
      </c>
      <c r="D82" s="161" t="str">
        <f>IF(ISBLANK(スキャン結果!D80),"",スキャン結果!D80)</f>
        <v/>
      </c>
      <c r="E82" s="161" t="str">
        <f>IF(ISBLANK(スキャン結果!E80),"",スキャン結果!E80)</f>
        <v/>
      </c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1" t="str">
        <f t="shared" si="13"/>
        <v/>
      </c>
      <c r="DC82" s="161" t="str">
        <f t="shared" si="13"/>
        <v/>
      </c>
      <c r="DD82" s="161" t="str">
        <f t="shared" si="13"/>
        <v/>
      </c>
      <c r="DE82" s="161" t="str">
        <f t="shared" si="13"/>
        <v/>
      </c>
      <c r="DF82" s="161" t="str">
        <f t="shared" si="13"/>
        <v/>
      </c>
      <c r="DG82" s="161" t="str">
        <f t="shared" si="13"/>
        <v/>
      </c>
      <c r="DH82" s="141"/>
      <c r="DI82" s="141"/>
      <c r="DJ82" s="141"/>
      <c r="DK82" s="141"/>
      <c r="DL82" s="141"/>
      <c r="DM82" s="141"/>
      <c r="DN82" s="163" t="str">
        <f t="shared" si="16"/>
        <v/>
      </c>
      <c r="DO82" s="164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160" t="str">
        <f>IF(ISBLANK(スキャン結果!C81),"",スキャン結果!C81)</f>
        <v/>
      </c>
      <c r="D83" s="161" t="str">
        <f>IF(ISBLANK(スキャン結果!D81),"",スキャン結果!D81)</f>
        <v/>
      </c>
      <c r="E83" s="161" t="str">
        <f>IF(ISBLANK(スキャン結果!E81),"",スキャン結果!E81)</f>
        <v/>
      </c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1" t="str">
        <f t="shared" si="13"/>
        <v/>
      </c>
      <c r="DC83" s="161" t="str">
        <f t="shared" si="13"/>
        <v/>
      </c>
      <c r="DD83" s="161" t="str">
        <f t="shared" si="13"/>
        <v/>
      </c>
      <c r="DE83" s="161" t="str">
        <f t="shared" si="13"/>
        <v/>
      </c>
      <c r="DF83" s="161" t="str">
        <f t="shared" si="13"/>
        <v/>
      </c>
      <c r="DG83" s="161" t="str">
        <f t="shared" si="13"/>
        <v/>
      </c>
      <c r="DH83" s="141"/>
      <c r="DI83" s="141"/>
      <c r="DJ83" s="141"/>
      <c r="DK83" s="141"/>
      <c r="DL83" s="141"/>
      <c r="DM83" s="141"/>
      <c r="DN83" s="163" t="str">
        <f t="shared" si="16"/>
        <v/>
      </c>
      <c r="DO83" s="164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60" t="str">
        <f>IF(ISBLANK(スキャン結果!C82),"",スキャン結果!C82)</f>
        <v/>
      </c>
      <c r="D84" s="161" t="str">
        <f>IF(ISBLANK(スキャン結果!D82),"",スキャン結果!D82)</f>
        <v/>
      </c>
      <c r="E84" s="161" t="str">
        <f>IF(ISBLANK(スキャン結果!E82),"",スキャン結果!E82)</f>
        <v/>
      </c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1" t="str">
        <f t="shared" si="13"/>
        <v/>
      </c>
      <c r="DC84" s="161" t="str">
        <f t="shared" si="13"/>
        <v/>
      </c>
      <c r="DD84" s="161" t="str">
        <f t="shared" si="13"/>
        <v/>
      </c>
      <c r="DE84" s="161" t="str">
        <f t="shared" si="13"/>
        <v/>
      </c>
      <c r="DF84" s="161" t="str">
        <f t="shared" si="13"/>
        <v/>
      </c>
      <c r="DG84" s="161" t="str">
        <f t="shared" si="13"/>
        <v/>
      </c>
      <c r="DH84" s="141"/>
      <c r="DI84" s="141"/>
      <c r="DJ84" s="141"/>
      <c r="DK84" s="141"/>
      <c r="DL84" s="141"/>
      <c r="DM84" s="141"/>
      <c r="DN84" s="163" t="str">
        <f t="shared" si="16"/>
        <v/>
      </c>
      <c r="DO84" s="164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0" t="str">
        <f>IF(ISBLANK(スキャン結果!C83),"",スキャン結果!C83)</f>
        <v/>
      </c>
      <c r="D85" s="161" t="str">
        <f>IF(ISBLANK(スキャン結果!D83),"",スキャン結果!D83)</f>
        <v/>
      </c>
      <c r="E85" s="161" t="str">
        <f>IF(ISBLANK(スキャン結果!E83),"",スキャン結果!E83)</f>
        <v/>
      </c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1" t="str">
        <f t="shared" si="13"/>
        <v/>
      </c>
      <c r="DC85" s="161" t="str">
        <f t="shared" si="13"/>
        <v/>
      </c>
      <c r="DD85" s="161" t="str">
        <f t="shared" si="13"/>
        <v/>
      </c>
      <c r="DE85" s="161" t="str">
        <f t="shared" si="13"/>
        <v/>
      </c>
      <c r="DF85" s="161" t="str">
        <f t="shared" si="13"/>
        <v/>
      </c>
      <c r="DG85" s="161" t="str">
        <f t="shared" si="13"/>
        <v/>
      </c>
      <c r="DH85" s="141"/>
      <c r="DI85" s="141"/>
      <c r="DJ85" s="141"/>
      <c r="DK85" s="141"/>
      <c r="DL85" s="141"/>
      <c r="DM85" s="141"/>
      <c r="DN85" s="163" t="str">
        <f t="shared" si="16"/>
        <v/>
      </c>
      <c r="DO85" s="164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0" t="str">
        <f>IF(ISBLANK(スキャン結果!C84),"",スキャン結果!C84)</f>
        <v/>
      </c>
      <c r="D86" s="161" t="str">
        <f>IF(ISBLANK(スキャン結果!D84),"",スキャン結果!D84)</f>
        <v/>
      </c>
      <c r="E86" s="161" t="str">
        <f>IF(ISBLANK(スキャン結果!E84),"",スキャン結果!E84)</f>
        <v/>
      </c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1" t="str">
        <f t="shared" si="13"/>
        <v/>
      </c>
      <c r="DC86" s="161" t="str">
        <f t="shared" si="13"/>
        <v/>
      </c>
      <c r="DD86" s="161" t="str">
        <f t="shared" si="13"/>
        <v/>
      </c>
      <c r="DE86" s="161" t="str">
        <f t="shared" si="13"/>
        <v/>
      </c>
      <c r="DF86" s="161" t="str">
        <f t="shared" si="13"/>
        <v/>
      </c>
      <c r="DG86" s="161" t="str">
        <f t="shared" si="13"/>
        <v/>
      </c>
      <c r="DH86" s="141"/>
      <c r="DI86" s="141"/>
      <c r="DJ86" s="141"/>
      <c r="DK86" s="141"/>
      <c r="DL86" s="141"/>
      <c r="DM86" s="141"/>
      <c r="DN86" s="163" t="str">
        <f t="shared" si="16"/>
        <v/>
      </c>
      <c r="DO86" s="164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0" t="str">
        <f>IF(ISBLANK(スキャン結果!C85),"",スキャン結果!C85)</f>
        <v/>
      </c>
      <c r="D87" s="161" t="str">
        <f>IF(ISBLANK(スキャン結果!D85),"",スキャン結果!D85)</f>
        <v/>
      </c>
      <c r="E87" s="161" t="str">
        <f>IF(ISBLANK(スキャン結果!E85),"",スキャン結果!E85)</f>
        <v/>
      </c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1" t="str">
        <f t="shared" si="13"/>
        <v/>
      </c>
      <c r="DC87" s="161" t="str">
        <f t="shared" si="13"/>
        <v/>
      </c>
      <c r="DD87" s="161" t="str">
        <f t="shared" si="13"/>
        <v/>
      </c>
      <c r="DE87" s="161" t="str">
        <f t="shared" si="13"/>
        <v/>
      </c>
      <c r="DF87" s="161" t="str">
        <f t="shared" si="13"/>
        <v/>
      </c>
      <c r="DG87" s="161" t="str">
        <f t="shared" si="13"/>
        <v/>
      </c>
      <c r="DH87" s="141"/>
      <c r="DI87" s="141"/>
      <c r="DJ87" s="141"/>
      <c r="DK87" s="141"/>
      <c r="DL87" s="141"/>
      <c r="DM87" s="141"/>
      <c r="DN87" s="163" t="str">
        <f t="shared" si="16"/>
        <v/>
      </c>
      <c r="DO87" s="164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160" t="str">
        <f>IF(ISBLANK(スキャン結果!C86),"",スキャン結果!C86)</f>
        <v/>
      </c>
      <c r="D88" s="161" t="str">
        <f>IF(ISBLANK(スキャン結果!D86),"",スキャン結果!D86)</f>
        <v/>
      </c>
      <c r="E88" s="161" t="str">
        <f>IF(ISBLANK(スキャン結果!E86),"",スキャン結果!E86)</f>
        <v/>
      </c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1" t="str">
        <f t="shared" si="13"/>
        <v/>
      </c>
      <c r="DC88" s="161" t="str">
        <f t="shared" si="13"/>
        <v/>
      </c>
      <c r="DD88" s="161" t="str">
        <f t="shared" si="13"/>
        <v/>
      </c>
      <c r="DE88" s="161" t="str">
        <f t="shared" si="13"/>
        <v/>
      </c>
      <c r="DF88" s="161" t="str">
        <f t="shared" si="13"/>
        <v/>
      </c>
      <c r="DG88" s="161" t="str">
        <f t="shared" si="13"/>
        <v/>
      </c>
      <c r="DH88" s="141"/>
      <c r="DI88" s="141"/>
      <c r="DJ88" s="141"/>
      <c r="DK88" s="141"/>
      <c r="DL88" s="141"/>
      <c r="DM88" s="141"/>
      <c r="DN88" s="163" t="str">
        <f t="shared" si="16"/>
        <v/>
      </c>
      <c r="DO88" s="164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60" t="str">
        <f>IF(ISBLANK(スキャン結果!C87),"",スキャン結果!C87)</f>
        <v/>
      </c>
      <c r="D89" s="161" t="str">
        <f>IF(ISBLANK(スキャン結果!D87),"",スキャン結果!D87)</f>
        <v/>
      </c>
      <c r="E89" s="161" t="str">
        <f>IF(ISBLANK(スキャン結果!E87),"",スキャン結果!E87)</f>
        <v/>
      </c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1" t="str">
        <f t="shared" si="13"/>
        <v/>
      </c>
      <c r="DC89" s="161" t="str">
        <f t="shared" si="13"/>
        <v/>
      </c>
      <c r="DD89" s="161" t="str">
        <f t="shared" si="13"/>
        <v/>
      </c>
      <c r="DE89" s="161" t="str">
        <f t="shared" si="13"/>
        <v/>
      </c>
      <c r="DF89" s="161" t="str">
        <f t="shared" si="13"/>
        <v/>
      </c>
      <c r="DG89" s="161" t="str">
        <f t="shared" si="13"/>
        <v/>
      </c>
      <c r="DH89" s="141"/>
      <c r="DI89" s="141"/>
      <c r="DJ89" s="141"/>
      <c r="DK89" s="141"/>
      <c r="DL89" s="141"/>
      <c r="DM89" s="141"/>
      <c r="DN89" s="163" t="str">
        <f t="shared" si="16"/>
        <v/>
      </c>
      <c r="DO89" s="164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0" t="str">
        <f>IF(ISBLANK(スキャン結果!C88),"",スキャン結果!C88)</f>
        <v/>
      </c>
      <c r="D90" s="161" t="str">
        <f>IF(ISBLANK(スキャン結果!D88),"",スキャン結果!D88)</f>
        <v/>
      </c>
      <c r="E90" s="161" t="str">
        <f>IF(ISBLANK(スキャン結果!E88),"",スキャン結果!E88)</f>
        <v/>
      </c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1" t="str">
        <f t="shared" si="13"/>
        <v/>
      </c>
      <c r="DC90" s="161" t="str">
        <f t="shared" si="13"/>
        <v/>
      </c>
      <c r="DD90" s="161" t="str">
        <f t="shared" si="13"/>
        <v/>
      </c>
      <c r="DE90" s="161" t="str">
        <f t="shared" si="13"/>
        <v/>
      </c>
      <c r="DF90" s="161" t="str">
        <f t="shared" si="13"/>
        <v/>
      </c>
      <c r="DG90" s="161" t="str">
        <f t="shared" si="13"/>
        <v/>
      </c>
      <c r="DH90" s="141"/>
      <c r="DI90" s="141"/>
      <c r="DJ90" s="141"/>
      <c r="DK90" s="141"/>
      <c r="DL90" s="141"/>
      <c r="DM90" s="141"/>
      <c r="DN90" s="163" t="str">
        <f t="shared" si="16"/>
        <v/>
      </c>
      <c r="DO90" s="164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0" t="str">
        <f>IF(ISBLANK(スキャン結果!C89),"",スキャン結果!C89)</f>
        <v/>
      </c>
      <c r="D91" s="161" t="str">
        <f>IF(ISBLANK(スキャン結果!D89),"",スキャン結果!D89)</f>
        <v/>
      </c>
      <c r="E91" s="161" t="str">
        <f>IF(ISBLANK(スキャン結果!E89),"",スキャン結果!E89)</f>
        <v/>
      </c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1" t="str">
        <f t="shared" si="13"/>
        <v/>
      </c>
      <c r="DC91" s="161" t="str">
        <f t="shared" si="13"/>
        <v/>
      </c>
      <c r="DD91" s="161" t="str">
        <f t="shared" si="13"/>
        <v/>
      </c>
      <c r="DE91" s="161" t="str">
        <f t="shared" si="13"/>
        <v/>
      </c>
      <c r="DF91" s="161" t="str">
        <f t="shared" si="13"/>
        <v/>
      </c>
      <c r="DG91" s="161" t="str">
        <f t="shared" si="13"/>
        <v/>
      </c>
      <c r="DH91" s="141"/>
      <c r="DI91" s="141"/>
      <c r="DJ91" s="141"/>
      <c r="DK91" s="141"/>
      <c r="DL91" s="141"/>
      <c r="DM91" s="141"/>
      <c r="DN91" s="163" t="str">
        <f t="shared" si="16"/>
        <v/>
      </c>
      <c r="DO91" s="164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0" t="str">
        <f>IF(ISBLANK(スキャン結果!C90),"",スキャン結果!C90)</f>
        <v/>
      </c>
      <c r="D92" s="161" t="str">
        <f>IF(ISBLANK(スキャン結果!D90),"",スキャン結果!D90)</f>
        <v/>
      </c>
      <c r="E92" s="161" t="str">
        <f>IF(ISBLANK(スキャン結果!E90),"",スキャン結果!E90)</f>
        <v/>
      </c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1" t="str">
        <f t="shared" si="13"/>
        <v/>
      </c>
      <c r="DC92" s="161" t="str">
        <f t="shared" si="13"/>
        <v/>
      </c>
      <c r="DD92" s="161" t="str">
        <f t="shared" si="13"/>
        <v/>
      </c>
      <c r="DE92" s="161" t="str">
        <f t="shared" si="13"/>
        <v/>
      </c>
      <c r="DF92" s="161" t="str">
        <f t="shared" si="13"/>
        <v/>
      </c>
      <c r="DG92" s="161" t="str">
        <f t="shared" si="13"/>
        <v/>
      </c>
      <c r="DH92" s="141"/>
      <c r="DI92" s="141"/>
      <c r="DJ92" s="141"/>
      <c r="DK92" s="141"/>
      <c r="DL92" s="141"/>
      <c r="DM92" s="141"/>
      <c r="DN92" s="163" t="str">
        <f t="shared" si="16"/>
        <v/>
      </c>
      <c r="DO92" s="164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160" t="str">
        <f>IF(ISBLANK(スキャン結果!C91),"",スキャン結果!C91)</f>
        <v/>
      </c>
      <c r="D93" s="161" t="str">
        <f>IF(ISBLANK(スキャン結果!D91),"",スキャン結果!D91)</f>
        <v/>
      </c>
      <c r="E93" s="161" t="str">
        <f>IF(ISBLANK(スキャン結果!E91),"",スキャン結果!E91)</f>
        <v/>
      </c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1" t="str">
        <f t="shared" si="13"/>
        <v/>
      </c>
      <c r="DC93" s="161" t="str">
        <f t="shared" si="13"/>
        <v/>
      </c>
      <c r="DD93" s="161" t="str">
        <f t="shared" si="13"/>
        <v/>
      </c>
      <c r="DE93" s="161" t="str">
        <f t="shared" si="13"/>
        <v/>
      </c>
      <c r="DF93" s="161" t="str">
        <f t="shared" si="13"/>
        <v/>
      </c>
      <c r="DG93" s="161" t="str">
        <f t="shared" si="13"/>
        <v/>
      </c>
      <c r="DH93" s="141"/>
      <c r="DI93" s="141"/>
      <c r="DJ93" s="141"/>
      <c r="DK93" s="141"/>
      <c r="DL93" s="141"/>
      <c r="DM93" s="141"/>
      <c r="DN93" s="163" t="str">
        <f t="shared" si="16"/>
        <v/>
      </c>
      <c r="DO93" s="164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60" t="str">
        <f>IF(ISBLANK(スキャン結果!C92),"",スキャン結果!C92)</f>
        <v/>
      </c>
      <c r="D94" s="161" t="str">
        <f>IF(ISBLANK(スキャン結果!D92),"",スキャン結果!D92)</f>
        <v/>
      </c>
      <c r="E94" s="161" t="str">
        <f>IF(ISBLANK(スキャン結果!E92),"",スキャン結果!E92)</f>
        <v/>
      </c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1" t="str">
        <f t="shared" si="13"/>
        <v/>
      </c>
      <c r="DC94" s="161" t="str">
        <f t="shared" si="13"/>
        <v/>
      </c>
      <c r="DD94" s="161" t="str">
        <f t="shared" si="13"/>
        <v/>
      </c>
      <c r="DE94" s="161" t="str">
        <f t="shared" si="13"/>
        <v/>
      </c>
      <c r="DF94" s="161" t="str">
        <f t="shared" si="13"/>
        <v/>
      </c>
      <c r="DG94" s="161" t="str">
        <f t="shared" si="13"/>
        <v/>
      </c>
      <c r="DH94" s="141"/>
      <c r="DI94" s="141"/>
      <c r="DJ94" s="141"/>
      <c r="DK94" s="141"/>
      <c r="DL94" s="141"/>
      <c r="DM94" s="141"/>
      <c r="DN94" s="163" t="str">
        <f t="shared" si="16"/>
        <v/>
      </c>
      <c r="DO94" s="164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0" t="str">
        <f>IF(ISBLANK(スキャン結果!C93),"",スキャン結果!C93)</f>
        <v/>
      </c>
      <c r="D95" s="161" t="str">
        <f>IF(ISBLANK(スキャン結果!D93),"",スキャン結果!D93)</f>
        <v/>
      </c>
      <c r="E95" s="161" t="str">
        <f>IF(ISBLANK(スキャン結果!E93),"",スキャン結果!E93)</f>
        <v/>
      </c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1" t="str">
        <f t="shared" si="13"/>
        <v/>
      </c>
      <c r="DC95" s="161" t="str">
        <f t="shared" si="13"/>
        <v/>
      </c>
      <c r="DD95" s="161" t="str">
        <f t="shared" si="13"/>
        <v/>
      </c>
      <c r="DE95" s="161" t="str">
        <f t="shared" si="13"/>
        <v/>
      </c>
      <c r="DF95" s="161" t="str">
        <f t="shared" si="13"/>
        <v/>
      </c>
      <c r="DG95" s="161" t="str">
        <f t="shared" si="13"/>
        <v/>
      </c>
      <c r="DH95" s="141"/>
      <c r="DI95" s="141"/>
      <c r="DJ95" s="141"/>
      <c r="DK95" s="141"/>
      <c r="DL95" s="141"/>
      <c r="DM95" s="141"/>
      <c r="DN95" s="163" t="str">
        <f t="shared" si="16"/>
        <v/>
      </c>
      <c r="DO95" s="164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0" t="str">
        <f>IF(ISBLANK(スキャン結果!C94),"",スキャン結果!C94)</f>
        <v/>
      </c>
      <c r="D96" s="161" t="str">
        <f>IF(ISBLANK(スキャン結果!D94),"",スキャン結果!D94)</f>
        <v/>
      </c>
      <c r="E96" s="161" t="str">
        <f>IF(ISBLANK(スキャン結果!E94),"",スキャン結果!E94)</f>
        <v/>
      </c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1" t="str">
        <f t="shared" si="13"/>
        <v/>
      </c>
      <c r="DC96" s="161" t="str">
        <f t="shared" si="13"/>
        <v/>
      </c>
      <c r="DD96" s="161" t="str">
        <f t="shared" si="13"/>
        <v/>
      </c>
      <c r="DE96" s="161" t="str">
        <f t="shared" si="13"/>
        <v/>
      </c>
      <c r="DF96" s="161" t="str">
        <f t="shared" si="13"/>
        <v/>
      </c>
      <c r="DG96" s="161" t="str">
        <f t="shared" si="13"/>
        <v/>
      </c>
      <c r="DH96" s="141"/>
      <c r="DI96" s="141"/>
      <c r="DJ96" s="141"/>
      <c r="DK96" s="141"/>
      <c r="DL96" s="141"/>
      <c r="DM96" s="141"/>
      <c r="DN96" s="163" t="str">
        <f t="shared" si="16"/>
        <v/>
      </c>
      <c r="DO96" s="164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0" t="str">
        <f>IF(ISBLANK(スキャン結果!C95),"",スキャン結果!C95)</f>
        <v/>
      </c>
      <c r="D97" s="161" t="str">
        <f>IF(ISBLANK(スキャン結果!D95),"",スキャン結果!D95)</f>
        <v/>
      </c>
      <c r="E97" s="161" t="str">
        <f>IF(ISBLANK(スキャン結果!E95),"",スキャン結果!E95)</f>
        <v/>
      </c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1" t="str">
        <f t="shared" si="13"/>
        <v/>
      </c>
      <c r="DC97" s="161" t="str">
        <f t="shared" si="13"/>
        <v/>
      </c>
      <c r="DD97" s="161" t="str">
        <f t="shared" si="13"/>
        <v/>
      </c>
      <c r="DE97" s="161" t="str">
        <f t="shared" si="13"/>
        <v/>
      </c>
      <c r="DF97" s="161" t="str">
        <f t="shared" si="13"/>
        <v/>
      </c>
      <c r="DG97" s="161" t="str">
        <f t="shared" si="13"/>
        <v/>
      </c>
      <c r="DH97" s="141"/>
      <c r="DI97" s="141"/>
      <c r="DJ97" s="141"/>
      <c r="DK97" s="141"/>
      <c r="DL97" s="141"/>
      <c r="DM97" s="141"/>
      <c r="DN97" s="163" t="str">
        <f t="shared" si="16"/>
        <v/>
      </c>
      <c r="DO97" s="164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160" t="str">
        <f>IF(ISBLANK(スキャン結果!C96),"",スキャン結果!C96)</f>
        <v/>
      </c>
      <c r="D98" s="161" t="str">
        <f>IF(ISBLANK(スキャン結果!D96),"",スキャン結果!D96)</f>
        <v/>
      </c>
      <c r="E98" s="161" t="str">
        <f>IF(ISBLANK(スキャン結果!E96),"",スキャン結果!E96)</f>
        <v/>
      </c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1" t="str">
        <f t="shared" si="13"/>
        <v/>
      </c>
      <c r="DC98" s="161" t="str">
        <f t="shared" si="13"/>
        <v/>
      </c>
      <c r="DD98" s="161" t="str">
        <f t="shared" si="13"/>
        <v/>
      </c>
      <c r="DE98" s="161" t="str">
        <f t="shared" si="13"/>
        <v/>
      </c>
      <c r="DF98" s="161" t="str">
        <f t="shared" si="13"/>
        <v/>
      </c>
      <c r="DG98" s="161" t="str">
        <f t="shared" si="13"/>
        <v/>
      </c>
      <c r="DH98" s="141"/>
      <c r="DI98" s="141"/>
      <c r="DJ98" s="141"/>
      <c r="DK98" s="141"/>
      <c r="DL98" s="141"/>
      <c r="DM98" s="141"/>
      <c r="DN98" s="163" t="str">
        <f t="shared" si="16"/>
        <v/>
      </c>
      <c r="DO98" s="164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60" t="str">
        <f>IF(ISBLANK(スキャン結果!C97),"",スキャン結果!C97)</f>
        <v/>
      </c>
      <c r="D99" s="161" t="str">
        <f>IF(ISBLANK(スキャン結果!D97),"",スキャン結果!D97)</f>
        <v/>
      </c>
      <c r="E99" s="161" t="str">
        <f>IF(ISBLANK(スキャン結果!E97),"",スキャン結果!E97)</f>
        <v/>
      </c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1" t="str">
        <f t="shared" si="13"/>
        <v/>
      </c>
      <c r="DC99" s="161" t="str">
        <f t="shared" si="13"/>
        <v/>
      </c>
      <c r="DD99" s="161" t="str">
        <f t="shared" si="13"/>
        <v/>
      </c>
      <c r="DE99" s="161" t="str">
        <f t="shared" si="13"/>
        <v/>
      </c>
      <c r="DF99" s="161" t="str">
        <f t="shared" si="13"/>
        <v/>
      </c>
      <c r="DG99" s="161" t="str">
        <f t="shared" si="13"/>
        <v/>
      </c>
      <c r="DH99" s="141"/>
      <c r="DI99" s="141"/>
      <c r="DJ99" s="141"/>
      <c r="DK99" s="141"/>
      <c r="DL99" s="141"/>
      <c r="DM99" s="141"/>
      <c r="DN99" s="163" t="str">
        <f t="shared" si="16"/>
        <v/>
      </c>
      <c r="DO99" s="164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0" t="str">
        <f>IF(ISBLANK(スキャン結果!C98),"",スキャン結果!C98)</f>
        <v/>
      </c>
      <c r="D100" s="161" t="str">
        <f>IF(ISBLANK(スキャン結果!D98),"",スキャン結果!D98)</f>
        <v/>
      </c>
      <c r="E100" s="161" t="str">
        <f>IF(ISBLANK(スキャン結果!E98),"",スキャン結果!E98)</f>
        <v/>
      </c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1" t="str">
        <f t="shared" si="13"/>
        <v/>
      </c>
      <c r="DC100" s="161" t="str">
        <f t="shared" si="13"/>
        <v/>
      </c>
      <c r="DD100" s="161" t="str">
        <f t="shared" si="13"/>
        <v/>
      </c>
      <c r="DE100" s="161" t="str">
        <f t="shared" si="13"/>
        <v/>
      </c>
      <c r="DF100" s="161" t="str">
        <f t="shared" si="13"/>
        <v/>
      </c>
      <c r="DG100" s="161" t="str">
        <f t="shared" si="13"/>
        <v/>
      </c>
      <c r="DH100" s="141"/>
      <c r="DI100" s="141"/>
      <c r="DJ100" s="141"/>
      <c r="DK100" s="141"/>
      <c r="DL100" s="141"/>
      <c r="DM100" s="141"/>
      <c r="DN100" s="163" t="str">
        <f t="shared" si="16"/>
        <v/>
      </c>
      <c r="DO100" s="164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0" t="str">
        <f>IF(ISBLANK(スキャン結果!C99),"",スキャン結果!C99)</f>
        <v/>
      </c>
      <c r="D101" s="161" t="str">
        <f>IF(ISBLANK(スキャン結果!D99),"",スキャン結果!D99)</f>
        <v/>
      </c>
      <c r="E101" s="161" t="str">
        <f>IF(ISBLANK(スキャン結果!E99),"",スキャン結果!E99)</f>
        <v/>
      </c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1" t="str">
        <f t="shared" si="13"/>
        <v/>
      </c>
      <c r="DC101" s="161" t="str">
        <f t="shared" si="13"/>
        <v/>
      </c>
      <c r="DD101" s="161" t="str">
        <f t="shared" si="13"/>
        <v/>
      </c>
      <c r="DE101" s="161" t="str">
        <f t="shared" si="13"/>
        <v/>
      </c>
      <c r="DF101" s="161" t="str">
        <f t="shared" si="13"/>
        <v/>
      </c>
      <c r="DG101" s="161" t="str">
        <f t="shared" si="13"/>
        <v/>
      </c>
      <c r="DH101" s="141"/>
      <c r="DI101" s="141"/>
      <c r="DJ101" s="141"/>
      <c r="DK101" s="141"/>
      <c r="DL101" s="141"/>
      <c r="DM101" s="141"/>
      <c r="DN101" s="163" t="str">
        <f t="shared" si="16"/>
        <v/>
      </c>
      <c r="DO101" s="164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0" t="str">
        <f>IF(ISBLANK(スキャン結果!C100),"",スキャン結果!C100)</f>
        <v/>
      </c>
      <c r="D102" s="161" t="str">
        <f>IF(ISBLANK(スキャン結果!D100),"",スキャン結果!D100)</f>
        <v/>
      </c>
      <c r="E102" s="161" t="str">
        <f>IF(ISBLANK(スキャン結果!E100),"",スキャン結果!E100)</f>
        <v/>
      </c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1" t="str">
        <f t="shared" si="13"/>
        <v/>
      </c>
      <c r="DC102" s="161" t="str">
        <f t="shared" si="13"/>
        <v/>
      </c>
      <c r="DD102" s="161" t="str">
        <f t="shared" si="13"/>
        <v/>
      </c>
      <c r="DE102" s="161" t="str">
        <f t="shared" si="13"/>
        <v/>
      </c>
      <c r="DF102" s="161" t="str">
        <f t="shared" si="13"/>
        <v/>
      </c>
      <c r="DG102" s="161" t="str">
        <f t="shared" si="13"/>
        <v/>
      </c>
      <c r="DH102" s="141"/>
      <c r="DI102" s="141"/>
      <c r="DJ102" s="141"/>
      <c r="DK102" s="141"/>
      <c r="DL102" s="141"/>
      <c r="DM102" s="141"/>
      <c r="DN102" s="163" t="str">
        <f t="shared" si="16"/>
        <v/>
      </c>
      <c r="DO102" s="164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160" t="str">
        <f>IF(ISBLANK(スキャン結果!C101),"",スキャン結果!C101)</f>
        <v/>
      </c>
      <c r="D103" s="161" t="str">
        <f>IF(ISBLANK(スキャン結果!D101),"",スキャン結果!D101)</f>
        <v/>
      </c>
      <c r="E103" s="161" t="str">
        <f>IF(ISBLANK(スキャン結果!E101),"",スキャン結果!E101)</f>
        <v/>
      </c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1" t="str">
        <f t="shared" si="13"/>
        <v/>
      </c>
      <c r="DC103" s="161" t="str">
        <f t="shared" si="13"/>
        <v/>
      </c>
      <c r="DD103" s="161" t="str">
        <f t="shared" si="13"/>
        <v/>
      </c>
      <c r="DE103" s="161" t="str">
        <f t="shared" si="13"/>
        <v/>
      </c>
      <c r="DF103" s="161" t="str">
        <f t="shared" si="13"/>
        <v/>
      </c>
      <c r="DG103" s="161" t="str">
        <f t="shared" si="13"/>
        <v/>
      </c>
      <c r="DH103" s="141"/>
      <c r="DI103" s="141"/>
      <c r="DJ103" s="141"/>
      <c r="DK103" s="141"/>
      <c r="DL103" s="141"/>
      <c r="DM103" s="141"/>
      <c r="DN103" s="163" t="str">
        <f t="shared" si="16"/>
        <v/>
      </c>
      <c r="DO103" s="164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60" t="str">
        <f>IF(ISBLANK(スキャン結果!C102),"",スキャン結果!C102)</f>
        <v/>
      </c>
      <c r="D104" s="161" t="str">
        <f>IF(ISBLANK(スキャン結果!D102),"",スキャン結果!D102)</f>
        <v/>
      </c>
      <c r="E104" s="161" t="str">
        <f>IF(ISBLANK(スキャン結果!E102),"",スキャン結果!E102)</f>
        <v/>
      </c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1" t="str">
        <f t="shared" si="13"/>
        <v/>
      </c>
      <c r="DC104" s="161" t="str">
        <f t="shared" si="13"/>
        <v/>
      </c>
      <c r="DD104" s="161" t="str">
        <f t="shared" si="13"/>
        <v/>
      </c>
      <c r="DE104" s="161" t="str">
        <f t="shared" si="13"/>
        <v/>
      </c>
      <c r="DF104" s="161" t="str">
        <f t="shared" si="13"/>
        <v/>
      </c>
      <c r="DG104" s="161" t="str">
        <f t="shared" si="13"/>
        <v/>
      </c>
      <c r="DH104" s="141"/>
      <c r="DI104" s="141"/>
      <c r="DJ104" s="141"/>
      <c r="DK104" s="141"/>
      <c r="DL104" s="141"/>
      <c r="DM104" s="141"/>
      <c r="DN104" s="163" t="str">
        <f t="shared" si="16"/>
        <v/>
      </c>
      <c r="DO104" s="164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0" t="str">
        <f>IF(ISBLANK(スキャン結果!C103),"",スキャン結果!C103)</f>
        <v/>
      </c>
      <c r="D105" s="161" t="str">
        <f>IF(ISBLANK(スキャン結果!D103),"",スキャン結果!D103)</f>
        <v/>
      </c>
      <c r="E105" s="161" t="str">
        <f>IF(ISBLANK(スキャン結果!E103),"",スキャン結果!E103)</f>
        <v/>
      </c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1" t="str">
        <f t="shared" si="13"/>
        <v/>
      </c>
      <c r="DC105" s="161" t="str">
        <f t="shared" si="13"/>
        <v/>
      </c>
      <c r="DD105" s="161" t="str">
        <f t="shared" si="13"/>
        <v/>
      </c>
      <c r="DE105" s="161" t="str">
        <f t="shared" si="13"/>
        <v/>
      </c>
      <c r="DF105" s="161" t="str">
        <f t="shared" si="13"/>
        <v/>
      </c>
      <c r="DG105" s="161" t="str">
        <f t="shared" si="13"/>
        <v/>
      </c>
      <c r="DH105" s="141"/>
      <c r="DI105" s="141"/>
      <c r="DJ105" s="141"/>
      <c r="DK105" s="141"/>
      <c r="DL105" s="141"/>
      <c r="DM105" s="141"/>
      <c r="DN105" s="163" t="str">
        <f t="shared" si="16"/>
        <v/>
      </c>
      <c r="DO105" s="164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0" t="str">
        <f>IF(ISBLANK(スキャン結果!C104),"",スキャン結果!C104)</f>
        <v/>
      </c>
      <c r="D106" s="161" t="str">
        <f>IF(ISBLANK(スキャン結果!D104),"",スキャン結果!D104)</f>
        <v/>
      </c>
      <c r="E106" s="161" t="str">
        <f>IF(ISBLANK(スキャン結果!E104),"",スキャン結果!E104)</f>
        <v/>
      </c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1" t="str">
        <f t="shared" si="13"/>
        <v/>
      </c>
      <c r="DC106" s="161" t="str">
        <f t="shared" si="13"/>
        <v/>
      </c>
      <c r="DD106" s="161" t="str">
        <f t="shared" si="13"/>
        <v/>
      </c>
      <c r="DE106" s="161" t="str">
        <f t="shared" si="13"/>
        <v/>
      </c>
      <c r="DF106" s="161" t="str">
        <f t="shared" si="13"/>
        <v/>
      </c>
      <c r="DG106" s="161" t="str">
        <f t="shared" si="13"/>
        <v/>
      </c>
      <c r="DH106" s="141"/>
      <c r="DI106" s="141"/>
      <c r="DJ106" s="141"/>
      <c r="DK106" s="141"/>
      <c r="DL106" s="141"/>
      <c r="DM106" s="141"/>
      <c r="DN106" s="163" t="str">
        <f t="shared" si="16"/>
        <v/>
      </c>
      <c r="DO106" s="164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0" t="str">
        <f>IF(ISBLANK(スキャン結果!C105),"",スキャン結果!C105)</f>
        <v/>
      </c>
      <c r="D107" s="161" t="str">
        <f>IF(ISBLANK(スキャン結果!D105),"",スキャン結果!D105)</f>
        <v/>
      </c>
      <c r="E107" s="161" t="str">
        <f>IF(ISBLANK(スキャン結果!E105),"",スキャン結果!E105)</f>
        <v/>
      </c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1" t="str">
        <f t="shared" si="13"/>
        <v/>
      </c>
      <c r="DC107" s="161" t="str">
        <f t="shared" si="13"/>
        <v/>
      </c>
      <c r="DD107" s="161" t="str">
        <f t="shared" si="13"/>
        <v/>
      </c>
      <c r="DE107" s="161" t="str">
        <f t="shared" si="13"/>
        <v/>
      </c>
      <c r="DF107" s="161" t="str">
        <f t="shared" si="13"/>
        <v/>
      </c>
      <c r="DG107" s="161" t="str">
        <f t="shared" si="13"/>
        <v/>
      </c>
      <c r="DH107" s="141"/>
      <c r="DI107" s="141"/>
      <c r="DJ107" s="141"/>
      <c r="DK107" s="141"/>
      <c r="DL107" s="141"/>
      <c r="DM107" s="141"/>
      <c r="DN107" s="163" t="str">
        <f t="shared" si="16"/>
        <v/>
      </c>
      <c r="DO107" s="164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160" t="str">
        <f>IF(ISBLANK(スキャン結果!C106),"",スキャン結果!C106)</f>
        <v/>
      </c>
      <c r="D108" s="161" t="str">
        <f>IF(ISBLANK(スキャン結果!D106),"",スキャン結果!D106)</f>
        <v/>
      </c>
      <c r="E108" s="161" t="str">
        <f>IF(ISBLANK(スキャン結果!E106),"",スキャン結果!E106)</f>
        <v/>
      </c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1" t="str">
        <f t="shared" si="13"/>
        <v/>
      </c>
      <c r="DC108" s="161" t="str">
        <f t="shared" si="13"/>
        <v/>
      </c>
      <c r="DD108" s="161" t="str">
        <f t="shared" si="13"/>
        <v/>
      </c>
      <c r="DE108" s="161" t="str">
        <f t="shared" si="13"/>
        <v/>
      </c>
      <c r="DF108" s="161" t="str">
        <f t="shared" si="13"/>
        <v/>
      </c>
      <c r="DG108" s="161" t="str">
        <f t="shared" si="13"/>
        <v/>
      </c>
      <c r="DH108" s="141"/>
      <c r="DI108" s="141"/>
      <c r="DJ108" s="141"/>
      <c r="DK108" s="141"/>
      <c r="DL108" s="141"/>
      <c r="DM108" s="141"/>
      <c r="DN108" s="163" t="str">
        <f t="shared" si="16"/>
        <v/>
      </c>
      <c r="DO108" s="164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60" t="str">
        <f>IF(ISBLANK(スキャン結果!C107),"",スキャン結果!C107)</f>
        <v/>
      </c>
      <c r="D109" s="161" t="str">
        <f>IF(ISBLANK(スキャン結果!D107),"",スキャン結果!D107)</f>
        <v/>
      </c>
      <c r="E109" s="161" t="str">
        <f>IF(ISBLANK(スキャン結果!E107),"",スキャン結果!E107)</f>
        <v/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1" t="str">
        <f t="shared" si="13"/>
        <v/>
      </c>
      <c r="DC109" s="161" t="str">
        <f t="shared" si="13"/>
        <v/>
      </c>
      <c r="DD109" s="161" t="str">
        <f t="shared" si="13"/>
        <v/>
      </c>
      <c r="DE109" s="161" t="str">
        <f t="shared" si="13"/>
        <v/>
      </c>
      <c r="DF109" s="161" t="str">
        <f t="shared" si="13"/>
        <v/>
      </c>
      <c r="DG109" s="161" t="str">
        <f t="shared" si="13"/>
        <v/>
      </c>
      <c r="DH109" s="141"/>
      <c r="DI109" s="141"/>
      <c r="DJ109" s="141"/>
      <c r="DK109" s="141"/>
      <c r="DL109" s="141"/>
      <c r="DM109" s="141"/>
      <c r="DN109" s="163" t="str">
        <f t="shared" si="16"/>
        <v/>
      </c>
      <c r="DO109" s="164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0" t="str">
        <f>IF(ISBLANK(スキャン結果!C108),"",スキャン結果!C108)</f>
        <v/>
      </c>
      <c r="D110" s="161" t="str">
        <f>IF(ISBLANK(スキャン結果!D108),"",スキャン結果!D108)</f>
        <v/>
      </c>
      <c r="E110" s="161" t="str">
        <f>IF(ISBLANK(スキャン結果!E108),"",スキャン結果!E108)</f>
        <v/>
      </c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1" t="str">
        <f t="shared" si="13"/>
        <v/>
      </c>
      <c r="DC110" s="161" t="str">
        <f t="shared" si="13"/>
        <v/>
      </c>
      <c r="DD110" s="161" t="str">
        <f t="shared" si="13"/>
        <v/>
      </c>
      <c r="DE110" s="161" t="str">
        <f t="shared" si="13"/>
        <v/>
      </c>
      <c r="DF110" s="161" t="str">
        <f t="shared" si="13"/>
        <v/>
      </c>
      <c r="DG110" s="161" t="str">
        <f t="shared" si="13"/>
        <v/>
      </c>
      <c r="DH110" s="141"/>
      <c r="DI110" s="141"/>
      <c r="DJ110" s="141"/>
      <c r="DK110" s="141"/>
      <c r="DL110" s="141"/>
      <c r="DM110" s="141"/>
      <c r="DN110" s="163" t="str">
        <f t="shared" si="16"/>
        <v/>
      </c>
      <c r="DO110" s="164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0" t="str">
        <f>IF(ISBLANK(スキャン結果!C109),"",スキャン結果!C109)</f>
        <v/>
      </c>
      <c r="D111" s="161" t="str">
        <f>IF(ISBLANK(スキャン結果!D109),"",スキャン結果!D109)</f>
        <v/>
      </c>
      <c r="E111" s="161" t="str">
        <f>IF(ISBLANK(スキャン結果!E109),"",スキャン結果!E109)</f>
        <v/>
      </c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1" t="str">
        <f t="shared" si="13"/>
        <v/>
      </c>
      <c r="DC111" s="161" t="str">
        <f t="shared" si="13"/>
        <v/>
      </c>
      <c r="DD111" s="161" t="str">
        <f t="shared" si="13"/>
        <v/>
      </c>
      <c r="DE111" s="161" t="str">
        <f t="shared" si="13"/>
        <v/>
      </c>
      <c r="DF111" s="161" t="str">
        <f t="shared" si="13"/>
        <v/>
      </c>
      <c r="DG111" s="161" t="str">
        <f t="shared" si="13"/>
        <v/>
      </c>
      <c r="DH111" s="141"/>
      <c r="DI111" s="141"/>
      <c r="DJ111" s="141"/>
      <c r="DK111" s="141"/>
      <c r="DL111" s="141"/>
      <c r="DM111" s="141"/>
      <c r="DN111" s="163" t="str">
        <f t="shared" si="16"/>
        <v/>
      </c>
      <c r="DO111" s="164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0" t="str">
        <f>IF(ISBLANK(スキャン結果!C110),"",スキャン結果!C110)</f>
        <v/>
      </c>
      <c r="D112" s="161" t="str">
        <f>IF(ISBLANK(スキャン結果!D110),"",スキャン結果!D110)</f>
        <v/>
      </c>
      <c r="E112" s="161" t="str">
        <f>IF(ISBLANK(スキャン結果!E110),"",スキャン結果!E110)</f>
        <v/>
      </c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1" t="str">
        <f t="shared" si="13"/>
        <v/>
      </c>
      <c r="DC112" s="161" t="str">
        <f t="shared" si="13"/>
        <v/>
      </c>
      <c r="DD112" s="161" t="str">
        <f t="shared" si="13"/>
        <v/>
      </c>
      <c r="DE112" s="161" t="str">
        <f t="shared" ref="DC112:DG163" si="17">IF(OR($B112="",DE$4=""),"",SUMIF($F$3:$DA$4,DE$4,$F112:$DA112))</f>
        <v/>
      </c>
      <c r="DF112" s="161" t="str">
        <f t="shared" si="17"/>
        <v/>
      </c>
      <c r="DG112" s="161" t="str">
        <f t="shared" si="17"/>
        <v/>
      </c>
      <c r="DH112" s="141"/>
      <c r="DI112" s="141"/>
      <c r="DJ112" s="141"/>
      <c r="DK112" s="141"/>
      <c r="DL112" s="141"/>
      <c r="DM112" s="141"/>
      <c r="DN112" s="163" t="str">
        <f t="shared" si="16"/>
        <v/>
      </c>
      <c r="DO112" s="164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160" t="str">
        <f>IF(ISBLANK(スキャン結果!C111),"",スキャン結果!C111)</f>
        <v/>
      </c>
      <c r="D113" s="161" t="str">
        <f>IF(ISBLANK(スキャン結果!D111),"",スキャン結果!D111)</f>
        <v/>
      </c>
      <c r="E113" s="161" t="str">
        <f>IF(ISBLANK(スキャン結果!E111),"",スキャン結果!E111)</f>
        <v/>
      </c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1" t="str">
        <f t="shared" ref="DB113:DB176" si="18">IF(OR($B113="",DB$4=""),"",SUMIF($F$3:$DA$4,DB$4,$F113:$DA113))</f>
        <v/>
      </c>
      <c r="DC113" s="161" t="str">
        <f t="shared" si="17"/>
        <v/>
      </c>
      <c r="DD113" s="161" t="str">
        <f t="shared" si="17"/>
        <v/>
      </c>
      <c r="DE113" s="161" t="str">
        <f t="shared" si="17"/>
        <v/>
      </c>
      <c r="DF113" s="161" t="str">
        <f t="shared" si="17"/>
        <v/>
      </c>
      <c r="DG113" s="161" t="str">
        <f t="shared" si="17"/>
        <v/>
      </c>
      <c r="DH113" s="141"/>
      <c r="DI113" s="141"/>
      <c r="DJ113" s="141"/>
      <c r="DK113" s="141"/>
      <c r="DL113" s="141"/>
      <c r="DM113" s="141"/>
      <c r="DN113" s="163" t="str">
        <f t="shared" si="16"/>
        <v/>
      </c>
      <c r="DO113" s="164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60" t="str">
        <f>IF(ISBLANK(スキャン結果!C112),"",スキャン結果!C112)</f>
        <v/>
      </c>
      <c r="D114" s="161" t="str">
        <f>IF(ISBLANK(スキャン結果!D112),"",スキャン結果!D112)</f>
        <v/>
      </c>
      <c r="E114" s="161" t="str">
        <f>IF(ISBLANK(スキャン結果!E112),"",スキャン結果!E112)</f>
        <v/>
      </c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1" t="str">
        <f t="shared" si="18"/>
        <v/>
      </c>
      <c r="DC114" s="161" t="str">
        <f t="shared" si="17"/>
        <v/>
      </c>
      <c r="DD114" s="161" t="str">
        <f t="shared" si="17"/>
        <v/>
      </c>
      <c r="DE114" s="161" t="str">
        <f t="shared" si="17"/>
        <v/>
      </c>
      <c r="DF114" s="161" t="str">
        <f t="shared" si="17"/>
        <v/>
      </c>
      <c r="DG114" s="161" t="str">
        <f t="shared" si="17"/>
        <v/>
      </c>
      <c r="DH114" s="141"/>
      <c r="DI114" s="141"/>
      <c r="DJ114" s="141"/>
      <c r="DK114" s="141"/>
      <c r="DL114" s="141"/>
      <c r="DM114" s="141"/>
      <c r="DN114" s="163" t="str">
        <f t="shared" si="16"/>
        <v/>
      </c>
      <c r="DO114" s="164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0" t="str">
        <f>IF(ISBLANK(スキャン結果!C113),"",スキャン結果!C113)</f>
        <v/>
      </c>
      <c r="D115" s="161" t="str">
        <f>IF(ISBLANK(スキャン結果!D113),"",スキャン結果!D113)</f>
        <v/>
      </c>
      <c r="E115" s="161" t="str">
        <f>IF(ISBLANK(スキャン結果!E113),"",スキャン結果!E113)</f>
        <v/>
      </c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1" t="str">
        <f t="shared" si="18"/>
        <v/>
      </c>
      <c r="DC115" s="161" t="str">
        <f t="shared" si="17"/>
        <v/>
      </c>
      <c r="DD115" s="161" t="str">
        <f t="shared" si="17"/>
        <v/>
      </c>
      <c r="DE115" s="161" t="str">
        <f t="shared" si="17"/>
        <v/>
      </c>
      <c r="DF115" s="161" t="str">
        <f t="shared" si="17"/>
        <v/>
      </c>
      <c r="DG115" s="161" t="str">
        <f t="shared" si="17"/>
        <v/>
      </c>
      <c r="DH115" s="141"/>
      <c r="DI115" s="141"/>
      <c r="DJ115" s="141"/>
      <c r="DK115" s="141"/>
      <c r="DL115" s="141"/>
      <c r="DM115" s="141"/>
      <c r="DN115" s="163" t="str">
        <f t="shared" si="16"/>
        <v/>
      </c>
      <c r="DO115" s="164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0" t="str">
        <f>IF(ISBLANK(スキャン結果!C114),"",スキャン結果!C114)</f>
        <v/>
      </c>
      <c r="D116" s="161" t="str">
        <f>IF(ISBLANK(スキャン結果!D114),"",スキャン結果!D114)</f>
        <v/>
      </c>
      <c r="E116" s="161" t="str">
        <f>IF(ISBLANK(スキャン結果!E114),"",スキャン結果!E114)</f>
        <v/>
      </c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1" t="str">
        <f t="shared" si="18"/>
        <v/>
      </c>
      <c r="DC116" s="161" t="str">
        <f t="shared" si="17"/>
        <v/>
      </c>
      <c r="DD116" s="161" t="str">
        <f t="shared" si="17"/>
        <v/>
      </c>
      <c r="DE116" s="161" t="str">
        <f t="shared" si="17"/>
        <v/>
      </c>
      <c r="DF116" s="161" t="str">
        <f t="shared" si="17"/>
        <v/>
      </c>
      <c r="DG116" s="161" t="str">
        <f t="shared" si="17"/>
        <v/>
      </c>
      <c r="DH116" s="141"/>
      <c r="DI116" s="141"/>
      <c r="DJ116" s="141"/>
      <c r="DK116" s="141"/>
      <c r="DL116" s="141"/>
      <c r="DM116" s="141"/>
      <c r="DN116" s="163" t="str">
        <f t="shared" si="16"/>
        <v/>
      </c>
      <c r="DO116" s="164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0" t="str">
        <f>IF(ISBLANK(スキャン結果!C115),"",スキャン結果!C115)</f>
        <v/>
      </c>
      <c r="D117" s="161" t="str">
        <f>IF(ISBLANK(スキャン結果!D115),"",スキャン結果!D115)</f>
        <v/>
      </c>
      <c r="E117" s="161" t="str">
        <f>IF(ISBLANK(スキャン結果!E115),"",スキャン結果!E115)</f>
        <v/>
      </c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1" t="str">
        <f t="shared" si="18"/>
        <v/>
      </c>
      <c r="DC117" s="161" t="str">
        <f t="shared" si="17"/>
        <v/>
      </c>
      <c r="DD117" s="161" t="str">
        <f t="shared" si="17"/>
        <v/>
      </c>
      <c r="DE117" s="161" t="str">
        <f t="shared" si="17"/>
        <v/>
      </c>
      <c r="DF117" s="161" t="str">
        <f t="shared" si="17"/>
        <v/>
      </c>
      <c r="DG117" s="161" t="str">
        <f t="shared" si="17"/>
        <v/>
      </c>
      <c r="DH117" s="141"/>
      <c r="DI117" s="141"/>
      <c r="DJ117" s="141"/>
      <c r="DK117" s="141"/>
      <c r="DL117" s="141"/>
      <c r="DM117" s="141"/>
      <c r="DN117" s="163" t="str">
        <f t="shared" si="16"/>
        <v/>
      </c>
      <c r="DO117" s="164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160" t="str">
        <f>IF(ISBLANK(スキャン結果!C116),"",スキャン結果!C116)</f>
        <v/>
      </c>
      <c r="D118" s="161" t="str">
        <f>IF(ISBLANK(スキャン結果!D116),"",スキャン結果!D116)</f>
        <v/>
      </c>
      <c r="E118" s="161" t="str">
        <f>IF(ISBLANK(スキャン結果!E116),"",スキャン結果!E116)</f>
        <v/>
      </c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1" t="str">
        <f t="shared" si="18"/>
        <v/>
      </c>
      <c r="DC118" s="161" t="str">
        <f t="shared" si="17"/>
        <v/>
      </c>
      <c r="DD118" s="161" t="str">
        <f t="shared" si="17"/>
        <v/>
      </c>
      <c r="DE118" s="161" t="str">
        <f t="shared" si="17"/>
        <v/>
      </c>
      <c r="DF118" s="161" t="str">
        <f t="shared" si="17"/>
        <v/>
      </c>
      <c r="DG118" s="161" t="str">
        <f t="shared" si="17"/>
        <v/>
      </c>
      <c r="DH118" s="141"/>
      <c r="DI118" s="141"/>
      <c r="DJ118" s="141"/>
      <c r="DK118" s="141"/>
      <c r="DL118" s="141"/>
      <c r="DM118" s="141"/>
      <c r="DN118" s="163" t="str">
        <f t="shared" si="16"/>
        <v/>
      </c>
      <c r="DO118" s="164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60" t="str">
        <f>IF(ISBLANK(スキャン結果!C117),"",スキャン結果!C117)</f>
        <v/>
      </c>
      <c r="D119" s="161" t="str">
        <f>IF(ISBLANK(スキャン結果!D117),"",スキャン結果!D117)</f>
        <v/>
      </c>
      <c r="E119" s="161" t="str">
        <f>IF(ISBLANK(スキャン結果!E117),"",スキャン結果!E117)</f>
        <v/>
      </c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1" t="str">
        <f t="shared" si="18"/>
        <v/>
      </c>
      <c r="DC119" s="161" t="str">
        <f t="shared" si="17"/>
        <v/>
      </c>
      <c r="DD119" s="161" t="str">
        <f t="shared" si="17"/>
        <v/>
      </c>
      <c r="DE119" s="161" t="str">
        <f t="shared" si="17"/>
        <v/>
      </c>
      <c r="DF119" s="161" t="str">
        <f t="shared" si="17"/>
        <v/>
      </c>
      <c r="DG119" s="161" t="str">
        <f t="shared" si="17"/>
        <v/>
      </c>
      <c r="DH119" s="141"/>
      <c r="DI119" s="141"/>
      <c r="DJ119" s="141"/>
      <c r="DK119" s="141"/>
      <c r="DL119" s="141"/>
      <c r="DM119" s="141"/>
      <c r="DN119" s="163" t="str">
        <f t="shared" si="16"/>
        <v/>
      </c>
      <c r="DO119" s="164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0" t="str">
        <f>IF(ISBLANK(スキャン結果!C118),"",スキャン結果!C118)</f>
        <v/>
      </c>
      <c r="D120" s="161" t="str">
        <f>IF(ISBLANK(スキャン結果!D118),"",スキャン結果!D118)</f>
        <v/>
      </c>
      <c r="E120" s="161" t="str">
        <f>IF(ISBLANK(スキャン結果!E118),"",スキャン結果!E118)</f>
        <v/>
      </c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1" t="str">
        <f t="shared" si="18"/>
        <v/>
      </c>
      <c r="DC120" s="161" t="str">
        <f t="shared" si="17"/>
        <v/>
      </c>
      <c r="DD120" s="161" t="str">
        <f t="shared" si="17"/>
        <v/>
      </c>
      <c r="DE120" s="161" t="str">
        <f t="shared" si="17"/>
        <v/>
      </c>
      <c r="DF120" s="161" t="str">
        <f t="shared" si="17"/>
        <v/>
      </c>
      <c r="DG120" s="161" t="str">
        <f t="shared" si="17"/>
        <v/>
      </c>
      <c r="DH120" s="141"/>
      <c r="DI120" s="141"/>
      <c r="DJ120" s="141"/>
      <c r="DK120" s="141"/>
      <c r="DL120" s="141"/>
      <c r="DM120" s="141"/>
      <c r="DN120" s="163" t="str">
        <f t="shared" si="16"/>
        <v/>
      </c>
      <c r="DO120" s="164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0" t="str">
        <f>IF(ISBLANK(スキャン結果!C119),"",スキャン結果!C119)</f>
        <v/>
      </c>
      <c r="D121" s="161" t="str">
        <f>IF(ISBLANK(スキャン結果!D119),"",スキャン結果!D119)</f>
        <v/>
      </c>
      <c r="E121" s="161" t="str">
        <f>IF(ISBLANK(スキャン結果!E119),"",スキャン結果!E119)</f>
        <v/>
      </c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1" t="str">
        <f t="shared" si="18"/>
        <v/>
      </c>
      <c r="DC121" s="161" t="str">
        <f t="shared" si="17"/>
        <v/>
      </c>
      <c r="DD121" s="161" t="str">
        <f t="shared" si="17"/>
        <v/>
      </c>
      <c r="DE121" s="161" t="str">
        <f t="shared" si="17"/>
        <v/>
      </c>
      <c r="DF121" s="161" t="str">
        <f t="shared" si="17"/>
        <v/>
      </c>
      <c r="DG121" s="161" t="str">
        <f t="shared" si="17"/>
        <v/>
      </c>
      <c r="DH121" s="141"/>
      <c r="DI121" s="141"/>
      <c r="DJ121" s="141"/>
      <c r="DK121" s="141"/>
      <c r="DL121" s="141"/>
      <c r="DM121" s="141"/>
      <c r="DN121" s="163" t="str">
        <f t="shared" si="16"/>
        <v/>
      </c>
      <c r="DO121" s="164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0" t="str">
        <f>IF(ISBLANK(スキャン結果!C120),"",スキャン結果!C120)</f>
        <v/>
      </c>
      <c r="D122" s="161" t="str">
        <f>IF(ISBLANK(スキャン結果!D120),"",スキャン結果!D120)</f>
        <v/>
      </c>
      <c r="E122" s="161" t="str">
        <f>IF(ISBLANK(スキャン結果!E120),"",スキャン結果!E120)</f>
        <v/>
      </c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1" t="str">
        <f t="shared" si="18"/>
        <v/>
      </c>
      <c r="DC122" s="161" t="str">
        <f t="shared" si="17"/>
        <v/>
      </c>
      <c r="DD122" s="161" t="str">
        <f t="shared" si="17"/>
        <v/>
      </c>
      <c r="DE122" s="161" t="str">
        <f t="shared" si="17"/>
        <v/>
      </c>
      <c r="DF122" s="161" t="str">
        <f t="shared" si="17"/>
        <v/>
      </c>
      <c r="DG122" s="161" t="str">
        <f t="shared" si="17"/>
        <v/>
      </c>
      <c r="DH122" s="141"/>
      <c r="DI122" s="141"/>
      <c r="DJ122" s="141"/>
      <c r="DK122" s="141"/>
      <c r="DL122" s="141"/>
      <c r="DM122" s="141"/>
      <c r="DN122" s="163" t="str">
        <f t="shared" si="16"/>
        <v/>
      </c>
      <c r="DO122" s="164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160" t="str">
        <f>IF(ISBLANK(スキャン結果!C121),"",スキャン結果!C121)</f>
        <v/>
      </c>
      <c r="D123" s="161" t="str">
        <f>IF(ISBLANK(スキャン結果!D121),"",スキャン結果!D121)</f>
        <v/>
      </c>
      <c r="E123" s="161" t="str">
        <f>IF(ISBLANK(スキャン結果!E121),"",スキャン結果!E121)</f>
        <v/>
      </c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1" t="str">
        <f t="shared" si="18"/>
        <v/>
      </c>
      <c r="DC123" s="161" t="str">
        <f t="shared" si="17"/>
        <v/>
      </c>
      <c r="DD123" s="161" t="str">
        <f t="shared" si="17"/>
        <v/>
      </c>
      <c r="DE123" s="161" t="str">
        <f t="shared" si="17"/>
        <v/>
      </c>
      <c r="DF123" s="161" t="str">
        <f t="shared" si="17"/>
        <v/>
      </c>
      <c r="DG123" s="161" t="str">
        <f t="shared" si="17"/>
        <v/>
      </c>
      <c r="DH123" s="141"/>
      <c r="DI123" s="141"/>
      <c r="DJ123" s="141"/>
      <c r="DK123" s="141"/>
      <c r="DL123" s="141"/>
      <c r="DM123" s="141"/>
      <c r="DN123" s="163" t="str">
        <f t="shared" si="16"/>
        <v/>
      </c>
      <c r="DO123" s="164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60" t="str">
        <f>IF(ISBLANK(スキャン結果!C122),"",スキャン結果!C122)</f>
        <v/>
      </c>
      <c r="D124" s="161" t="str">
        <f>IF(ISBLANK(スキャン結果!D122),"",スキャン結果!D122)</f>
        <v/>
      </c>
      <c r="E124" s="161" t="str">
        <f>IF(ISBLANK(スキャン結果!E122),"",スキャン結果!E122)</f>
        <v/>
      </c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1" t="str">
        <f t="shared" si="18"/>
        <v/>
      </c>
      <c r="DC124" s="161" t="str">
        <f t="shared" si="17"/>
        <v/>
      </c>
      <c r="DD124" s="161" t="str">
        <f t="shared" si="17"/>
        <v/>
      </c>
      <c r="DE124" s="161" t="str">
        <f t="shared" si="17"/>
        <v/>
      </c>
      <c r="DF124" s="161" t="str">
        <f t="shared" si="17"/>
        <v/>
      </c>
      <c r="DG124" s="161" t="str">
        <f t="shared" si="17"/>
        <v/>
      </c>
      <c r="DH124" s="141"/>
      <c r="DI124" s="141"/>
      <c r="DJ124" s="141"/>
      <c r="DK124" s="141"/>
      <c r="DL124" s="141"/>
      <c r="DM124" s="141"/>
      <c r="DN124" s="163" t="str">
        <f t="shared" si="16"/>
        <v/>
      </c>
      <c r="DO124" s="164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0" t="str">
        <f>IF(ISBLANK(スキャン結果!C123),"",スキャン結果!C123)</f>
        <v/>
      </c>
      <c r="D125" s="161" t="str">
        <f>IF(ISBLANK(スキャン結果!D123),"",スキャン結果!D123)</f>
        <v/>
      </c>
      <c r="E125" s="161" t="str">
        <f>IF(ISBLANK(スキャン結果!E123),"",スキャン結果!E123)</f>
        <v/>
      </c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1" t="str">
        <f t="shared" si="18"/>
        <v/>
      </c>
      <c r="DC125" s="161" t="str">
        <f t="shared" si="17"/>
        <v/>
      </c>
      <c r="DD125" s="161" t="str">
        <f t="shared" si="17"/>
        <v/>
      </c>
      <c r="DE125" s="161" t="str">
        <f t="shared" si="17"/>
        <v/>
      </c>
      <c r="DF125" s="161" t="str">
        <f t="shared" si="17"/>
        <v/>
      </c>
      <c r="DG125" s="161" t="str">
        <f t="shared" si="17"/>
        <v/>
      </c>
      <c r="DH125" s="141"/>
      <c r="DI125" s="141"/>
      <c r="DJ125" s="141"/>
      <c r="DK125" s="141"/>
      <c r="DL125" s="141"/>
      <c r="DM125" s="141"/>
      <c r="DN125" s="163" t="str">
        <f t="shared" si="16"/>
        <v/>
      </c>
      <c r="DO125" s="164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0" t="str">
        <f>IF(ISBLANK(スキャン結果!C124),"",スキャン結果!C124)</f>
        <v/>
      </c>
      <c r="D126" s="161" t="str">
        <f>IF(ISBLANK(スキャン結果!D124),"",スキャン結果!D124)</f>
        <v/>
      </c>
      <c r="E126" s="161" t="str">
        <f>IF(ISBLANK(スキャン結果!E124),"",スキャン結果!E124)</f>
        <v/>
      </c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1" t="str">
        <f t="shared" si="18"/>
        <v/>
      </c>
      <c r="DC126" s="161" t="str">
        <f t="shared" si="17"/>
        <v/>
      </c>
      <c r="DD126" s="161" t="str">
        <f t="shared" si="17"/>
        <v/>
      </c>
      <c r="DE126" s="161" t="str">
        <f t="shared" si="17"/>
        <v/>
      </c>
      <c r="DF126" s="161" t="str">
        <f t="shared" si="17"/>
        <v/>
      </c>
      <c r="DG126" s="161" t="str">
        <f t="shared" si="17"/>
        <v/>
      </c>
      <c r="DH126" s="141"/>
      <c r="DI126" s="141"/>
      <c r="DJ126" s="141"/>
      <c r="DK126" s="141"/>
      <c r="DL126" s="141"/>
      <c r="DM126" s="141"/>
      <c r="DN126" s="163" t="str">
        <f t="shared" si="16"/>
        <v/>
      </c>
      <c r="DO126" s="164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0" t="str">
        <f>IF(ISBLANK(スキャン結果!C125),"",スキャン結果!C125)</f>
        <v/>
      </c>
      <c r="D127" s="161" t="str">
        <f>IF(ISBLANK(スキャン結果!D125),"",スキャン結果!D125)</f>
        <v/>
      </c>
      <c r="E127" s="161" t="str">
        <f>IF(ISBLANK(スキャン結果!E125),"",スキャン結果!E125)</f>
        <v/>
      </c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1" t="str">
        <f t="shared" si="18"/>
        <v/>
      </c>
      <c r="DC127" s="161" t="str">
        <f t="shared" si="17"/>
        <v/>
      </c>
      <c r="DD127" s="161" t="str">
        <f t="shared" si="17"/>
        <v/>
      </c>
      <c r="DE127" s="161" t="str">
        <f t="shared" si="17"/>
        <v/>
      </c>
      <c r="DF127" s="161" t="str">
        <f t="shared" si="17"/>
        <v/>
      </c>
      <c r="DG127" s="161" t="str">
        <f t="shared" si="17"/>
        <v/>
      </c>
      <c r="DH127" s="141"/>
      <c r="DI127" s="141"/>
      <c r="DJ127" s="141"/>
      <c r="DK127" s="141"/>
      <c r="DL127" s="141"/>
      <c r="DM127" s="141"/>
      <c r="DN127" s="163" t="str">
        <f t="shared" si="16"/>
        <v/>
      </c>
      <c r="DO127" s="164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160" t="str">
        <f>IF(ISBLANK(スキャン結果!C126),"",スキャン結果!C126)</f>
        <v/>
      </c>
      <c r="D128" s="161" t="str">
        <f>IF(ISBLANK(スキャン結果!D126),"",スキャン結果!D126)</f>
        <v/>
      </c>
      <c r="E128" s="161" t="str">
        <f>IF(ISBLANK(スキャン結果!E126),"",スキャン結果!E126)</f>
        <v/>
      </c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1" t="str">
        <f t="shared" si="18"/>
        <v/>
      </c>
      <c r="DC128" s="161" t="str">
        <f t="shared" si="17"/>
        <v/>
      </c>
      <c r="DD128" s="161" t="str">
        <f t="shared" si="17"/>
        <v/>
      </c>
      <c r="DE128" s="161" t="str">
        <f t="shared" si="17"/>
        <v/>
      </c>
      <c r="DF128" s="161" t="str">
        <f t="shared" si="17"/>
        <v/>
      </c>
      <c r="DG128" s="161" t="str">
        <f t="shared" si="17"/>
        <v/>
      </c>
      <c r="DH128" s="141"/>
      <c r="DI128" s="141"/>
      <c r="DJ128" s="141"/>
      <c r="DK128" s="141"/>
      <c r="DL128" s="141"/>
      <c r="DM128" s="141"/>
      <c r="DN128" s="163" t="str">
        <f t="shared" si="16"/>
        <v/>
      </c>
      <c r="DO128" s="164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60" t="str">
        <f>IF(ISBLANK(スキャン結果!C127),"",スキャン結果!C127)</f>
        <v/>
      </c>
      <c r="D129" s="161" t="str">
        <f>IF(ISBLANK(スキャン結果!D127),"",スキャン結果!D127)</f>
        <v/>
      </c>
      <c r="E129" s="161" t="str">
        <f>IF(ISBLANK(スキャン結果!E127),"",スキャン結果!E127)</f>
        <v/>
      </c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1" t="str">
        <f t="shared" si="18"/>
        <v/>
      </c>
      <c r="DC129" s="161" t="str">
        <f t="shared" si="17"/>
        <v/>
      </c>
      <c r="DD129" s="161" t="str">
        <f t="shared" si="17"/>
        <v/>
      </c>
      <c r="DE129" s="161" t="str">
        <f t="shared" si="17"/>
        <v/>
      </c>
      <c r="DF129" s="161" t="str">
        <f t="shared" si="17"/>
        <v/>
      </c>
      <c r="DG129" s="161" t="str">
        <f t="shared" si="17"/>
        <v/>
      </c>
      <c r="DH129" s="141"/>
      <c r="DI129" s="141"/>
      <c r="DJ129" s="141"/>
      <c r="DK129" s="141"/>
      <c r="DL129" s="141"/>
      <c r="DM129" s="141"/>
      <c r="DN129" s="163" t="str">
        <f t="shared" si="16"/>
        <v/>
      </c>
      <c r="DO129" s="164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0" t="str">
        <f>IF(ISBLANK(スキャン結果!C128),"",スキャン結果!C128)</f>
        <v/>
      </c>
      <c r="D130" s="161" t="str">
        <f>IF(ISBLANK(スキャン結果!D128),"",スキャン結果!D128)</f>
        <v/>
      </c>
      <c r="E130" s="161" t="str">
        <f>IF(ISBLANK(スキャン結果!E128),"",スキャン結果!E128)</f>
        <v/>
      </c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1" t="str">
        <f t="shared" si="18"/>
        <v/>
      </c>
      <c r="DC130" s="161" t="str">
        <f t="shared" si="17"/>
        <v/>
      </c>
      <c r="DD130" s="161" t="str">
        <f t="shared" si="17"/>
        <v/>
      </c>
      <c r="DE130" s="161" t="str">
        <f t="shared" si="17"/>
        <v/>
      </c>
      <c r="DF130" s="161" t="str">
        <f t="shared" si="17"/>
        <v/>
      </c>
      <c r="DG130" s="161" t="str">
        <f t="shared" si="17"/>
        <v/>
      </c>
      <c r="DH130" s="141"/>
      <c r="DI130" s="141"/>
      <c r="DJ130" s="141"/>
      <c r="DK130" s="141"/>
      <c r="DL130" s="141"/>
      <c r="DM130" s="141"/>
      <c r="DN130" s="163" t="str">
        <f t="shared" si="16"/>
        <v/>
      </c>
      <c r="DO130" s="164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0" t="str">
        <f>IF(ISBLANK(スキャン結果!C129),"",スキャン結果!C129)</f>
        <v/>
      </c>
      <c r="D131" s="161" t="str">
        <f>IF(ISBLANK(スキャン結果!D129),"",スキャン結果!D129)</f>
        <v/>
      </c>
      <c r="E131" s="161" t="str">
        <f>IF(ISBLANK(スキャン結果!E129),"",スキャン結果!E129)</f>
        <v/>
      </c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1" t="str">
        <f t="shared" si="18"/>
        <v/>
      </c>
      <c r="DC131" s="161" t="str">
        <f t="shared" si="17"/>
        <v/>
      </c>
      <c r="DD131" s="161" t="str">
        <f t="shared" si="17"/>
        <v/>
      </c>
      <c r="DE131" s="161" t="str">
        <f t="shared" si="17"/>
        <v/>
      </c>
      <c r="DF131" s="161" t="str">
        <f t="shared" si="17"/>
        <v/>
      </c>
      <c r="DG131" s="161" t="str">
        <f t="shared" si="17"/>
        <v/>
      </c>
      <c r="DH131" s="141"/>
      <c r="DI131" s="141"/>
      <c r="DJ131" s="141"/>
      <c r="DK131" s="141"/>
      <c r="DL131" s="141"/>
      <c r="DM131" s="141"/>
      <c r="DN131" s="163" t="str">
        <f t="shared" si="16"/>
        <v/>
      </c>
      <c r="DO131" s="164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0" t="str">
        <f>IF(ISBLANK(スキャン結果!C130),"",スキャン結果!C130)</f>
        <v/>
      </c>
      <c r="D132" s="161" t="str">
        <f>IF(ISBLANK(スキャン結果!D130),"",スキャン結果!D130)</f>
        <v/>
      </c>
      <c r="E132" s="161" t="str">
        <f>IF(ISBLANK(スキャン結果!E130),"",スキャン結果!E130)</f>
        <v/>
      </c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1" t="str">
        <f t="shared" si="18"/>
        <v/>
      </c>
      <c r="DC132" s="161" t="str">
        <f t="shared" si="17"/>
        <v/>
      </c>
      <c r="DD132" s="161" t="str">
        <f t="shared" si="17"/>
        <v/>
      </c>
      <c r="DE132" s="161" t="str">
        <f t="shared" si="17"/>
        <v/>
      </c>
      <c r="DF132" s="161" t="str">
        <f t="shared" si="17"/>
        <v/>
      </c>
      <c r="DG132" s="161" t="str">
        <f t="shared" si="17"/>
        <v/>
      </c>
      <c r="DH132" s="141"/>
      <c r="DI132" s="141"/>
      <c r="DJ132" s="141"/>
      <c r="DK132" s="141"/>
      <c r="DL132" s="141"/>
      <c r="DM132" s="141"/>
      <c r="DN132" s="163" t="str">
        <f t="shared" si="16"/>
        <v/>
      </c>
      <c r="DO132" s="164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160" t="str">
        <f>IF(ISBLANK(スキャン結果!C131),"",スキャン結果!C131)</f>
        <v/>
      </c>
      <c r="D133" s="161" t="str">
        <f>IF(ISBLANK(スキャン結果!D131),"",スキャン結果!D131)</f>
        <v/>
      </c>
      <c r="E133" s="161" t="str">
        <f>IF(ISBLANK(スキャン結果!E131),"",スキャン結果!E131)</f>
        <v/>
      </c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1" t="str">
        <f t="shared" si="18"/>
        <v/>
      </c>
      <c r="DC133" s="161" t="str">
        <f t="shared" si="17"/>
        <v/>
      </c>
      <c r="DD133" s="161" t="str">
        <f t="shared" si="17"/>
        <v/>
      </c>
      <c r="DE133" s="161" t="str">
        <f t="shared" si="17"/>
        <v/>
      </c>
      <c r="DF133" s="161" t="str">
        <f t="shared" si="17"/>
        <v/>
      </c>
      <c r="DG133" s="161" t="str">
        <f t="shared" si="17"/>
        <v/>
      </c>
      <c r="DH133" s="141"/>
      <c r="DI133" s="141"/>
      <c r="DJ133" s="141"/>
      <c r="DK133" s="141"/>
      <c r="DL133" s="141"/>
      <c r="DM133" s="141"/>
      <c r="DN133" s="163" t="str">
        <f t="shared" si="16"/>
        <v/>
      </c>
      <c r="DO133" s="164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60" t="str">
        <f>IF(ISBLANK(スキャン結果!C132),"",スキャン結果!C132)</f>
        <v/>
      </c>
      <c r="D134" s="161" t="str">
        <f>IF(ISBLANK(スキャン結果!D132),"",スキャン結果!D132)</f>
        <v/>
      </c>
      <c r="E134" s="161" t="str">
        <f>IF(ISBLANK(スキャン結果!E132),"",スキャン結果!E132)</f>
        <v/>
      </c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1" t="str">
        <f t="shared" si="18"/>
        <v/>
      </c>
      <c r="DC134" s="161" t="str">
        <f t="shared" si="17"/>
        <v/>
      </c>
      <c r="DD134" s="161" t="str">
        <f t="shared" si="17"/>
        <v/>
      </c>
      <c r="DE134" s="161" t="str">
        <f t="shared" si="17"/>
        <v/>
      </c>
      <c r="DF134" s="161" t="str">
        <f t="shared" si="17"/>
        <v/>
      </c>
      <c r="DG134" s="161" t="str">
        <f t="shared" si="17"/>
        <v/>
      </c>
      <c r="DH134" s="141"/>
      <c r="DI134" s="141"/>
      <c r="DJ134" s="141"/>
      <c r="DK134" s="141"/>
      <c r="DL134" s="141"/>
      <c r="DM134" s="141"/>
      <c r="DN134" s="163" t="str">
        <f t="shared" si="16"/>
        <v/>
      </c>
      <c r="DO134" s="164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0" t="str">
        <f>IF(ISBLANK(スキャン結果!C133),"",スキャン結果!C133)</f>
        <v/>
      </c>
      <c r="D135" s="161" t="str">
        <f>IF(ISBLANK(スキャン結果!D133),"",スキャン結果!D133)</f>
        <v/>
      </c>
      <c r="E135" s="161" t="str">
        <f>IF(ISBLANK(スキャン結果!E133),"",スキャン結果!E133)</f>
        <v/>
      </c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1" t="str">
        <f t="shared" si="18"/>
        <v/>
      </c>
      <c r="DC135" s="161" t="str">
        <f t="shared" si="17"/>
        <v/>
      </c>
      <c r="DD135" s="161" t="str">
        <f t="shared" si="17"/>
        <v/>
      </c>
      <c r="DE135" s="161" t="str">
        <f t="shared" si="17"/>
        <v/>
      </c>
      <c r="DF135" s="161" t="str">
        <f t="shared" si="17"/>
        <v/>
      </c>
      <c r="DG135" s="161" t="str">
        <f t="shared" si="17"/>
        <v/>
      </c>
      <c r="DH135" s="141"/>
      <c r="DI135" s="141"/>
      <c r="DJ135" s="141"/>
      <c r="DK135" s="141"/>
      <c r="DL135" s="141"/>
      <c r="DM135" s="141"/>
      <c r="DN135" s="163" t="str">
        <f t="shared" si="16"/>
        <v/>
      </c>
      <c r="DO135" s="164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0" t="str">
        <f>IF(ISBLANK(スキャン結果!C134),"",スキャン結果!C134)</f>
        <v/>
      </c>
      <c r="D136" s="161" t="str">
        <f>IF(ISBLANK(スキャン結果!D134),"",スキャン結果!D134)</f>
        <v/>
      </c>
      <c r="E136" s="161" t="str">
        <f>IF(ISBLANK(スキャン結果!E134),"",スキャン結果!E134)</f>
        <v/>
      </c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1" t="str">
        <f t="shared" si="18"/>
        <v/>
      </c>
      <c r="DC136" s="161" t="str">
        <f t="shared" si="17"/>
        <v/>
      </c>
      <c r="DD136" s="161" t="str">
        <f t="shared" si="17"/>
        <v/>
      </c>
      <c r="DE136" s="161" t="str">
        <f t="shared" si="17"/>
        <v/>
      </c>
      <c r="DF136" s="161" t="str">
        <f t="shared" si="17"/>
        <v/>
      </c>
      <c r="DG136" s="161" t="str">
        <f t="shared" si="17"/>
        <v/>
      </c>
      <c r="DH136" s="141"/>
      <c r="DI136" s="141"/>
      <c r="DJ136" s="141"/>
      <c r="DK136" s="141"/>
      <c r="DL136" s="141"/>
      <c r="DM136" s="141"/>
      <c r="DN136" s="163" t="str">
        <f t="shared" si="16"/>
        <v/>
      </c>
      <c r="DO136" s="164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0" t="str">
        <f>IF(ISBLANK(スキャン結果!C135),"",スキャン結果!C135)</f>
        <v/>
      </c>
      <c r="D137" s="161" t="str">
        <f>IF(ISBLANK(スキャン結果!D135),"",スキャン結果!D135)</f>
        <v/>
      </c>
      <c r="E137" s="161" t="str">
        <f>IF(ISBLANK(スキャン結果!E135),"",スキャン結果!E135)</f>
        <v/>
      </c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1" t="str">
        <f t="shared" si="18"/>
        <v/>
      </c>
      <c r="DC137" s="161" t="str">
        <f t="shared" si="17"/>
        <v/>
      </c>
      <c r="DD137" s="161" t="str">
        <f t="shared" si="17"/>
        <v/>
      </c>
      <c r="DE137" s="161" t="str">
        <f t="shared" si="17"/>
        <v/>
      </c>
      <c r="DF137" s="161" t="str">
        <f t="shared" si="17"/>
        <v/>
      </c>
      <c r="DG137" s="161" t="str">
        <f t="shared" si="17"/>
        <v/>
      </c>
      <c r="DH137" s="141"/>
      <c r="DI137" s="141"/>
      <c r="DJ137" s="141"/>
      <c r="DK137" s="141"/>
      <c r="DL137" s="141"/>
      <c r="DM137" s="141"/>
      <c r="DN137" s="163" t="str">
        <f t="shared" si="16"/>
        <v/>
      </c>
      <c r="DO137" s="164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160" t="str">
        <f>IF(ISBLANK(スキャン結果!C136),"",スキャン結果!C136)</f>
        <v/>
      </c>
      <c r="D138" s="161" t="str">
        <f>IF(ISBLANK(スキャン結果!D136),"",スキャン結果!D136)</f>
        <v/>
      </c>
      <c r="E138" s="161" t="str">
        <f>IF(ISBLANK(スキャン結果!E136),"",スキャン結果!E136)</f>
        <v/>
      </c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1" t="str">
        <f t="shared" si="18"/>
        <v/>
      </c>
      <c r="DC138" s="161" t="str">
        <f t="shared" si="17"/>
        <v/>
      </c>
      <c r="DD138" s="161" t="str">
        <f t="shared" si="17"/>
        <v/>
      </c>
      <c r="DE138" s="161" t="str">
        <f t="shared" si="17"/>
        <v/>
      </c>
      <c r="DF138" s="161" t="str">
        <f t="shared" si="17"/>
        <v/>
      </c>
      <c r="DG138" s="161" t="str">
        <f t="shared" si="17"/>
        <v/>
      </c>
      <c r="DH138" s="141"/>
      <c r="DI138" s="141"/>
      <c r="DJ138" s="141"/>
      <c r="DK138" s="141"/>
      <c r="DL138" s="141"/>
      <c r="DM138" s="141"/>
      <c r="DN138" s="163" t="str">
        <f t="shared" si="16"/>
        <v/>
      </c>
      <c r="DO138" s="164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60" t="str">
        <f>IF(ISBLANK(スキャン結果!C137),"",スキャン結果!C137)</f>
        <v/>
      </c>
      <c r="D139" s="161" t="str">
        <f>IF(ISBLANK(スキャン結果!D137),"",スキャン結果!D137)</f>
        <v/>
      </c>
      <c r="E139" s="161" t="str">
        <f>IF(ISBLANK(スキャン結果!E137),"",スキャン結果!E137)</f>
        <v/>
      </c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1" t="str">
        <f t="shared" si="18"/>
        <v/>
      </c>
      <c r="DC139" s="161" t="str">
        <f t="shared" si="17"/>
        <v/>
      </c>
      <c r="DD139" s="161" t="str">
        <f t="shared" si="17"/>
        <v/>
      </c>
      <c r="DE139" s="161" t="str">
        <f t="shared" si="17"/>
        <v/>
      </c>
      <c r="DF139" s="161" t="str">
        <f t="shared" si="17"/>
        <v/>
      </c>
      <c r="DG139" s="161" t="str">
        <f t="shared" si="17"/>
        <v/>
      </c>
      <c r="DH139" s="141"/>
      <c r="DI139" s="141"/>
      <c r="DJ139" s="141"/>
      <c r="DK139" s="141"/>
      <c r="DL139" s="141"/>
      <c r="DM139" s="141"/>
      <c r="DN139" s="163" t="str">
        <f t="shared" si="16"/>
        <v/>
      </c>
      <c r="DO139" s="164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0" t="str">
        <f>IF(ISBLANK(スキャン結果!C138),"",スキャン結果!C138)</f>
        <v/>
      </c>
      <c r="D140" s="161" t="str">
        <f>IF(ISBLANK(スキャン結果!D138),"",スキャン結果!D138)</f>
        <v/>
      </c>
      <c r="E140" s="161" t="str">
        <f>IF(ISBLANK(スキャン結果!E138),"",スキャン結果!E138)</f>
        <v/>
      </c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1" t="str">
        <f t="shared" si="18"/>
        <v/>
      </c>
      <c r="DC140" s="161" t="str">
        <f t="shared" si="17"/>
        <v/>
      </c>
      <c r="DD140" s="161" t="str">
        <f t="shared" si="17"/>
        <v/>
      </c>
      <c r="DE140" s="161" t="str">
        <f t="shared" si="17"/>
        <v/>
      </c>
      <c r="DF140" s="161" t="str">
        <f t="shared" si="17"/>
        <v/>
      </c>
      <c r="DG140" s="161" t="str">
        <f t="shared" si="17"/>
        <v/>
      </c>
      <c r="DH140" s="141"/>
      <c r="DI140" s="141"/>
      <c r="DJ140" s="141"/>
      <c r="DK140" s="141"/>
      <c r="DL140" s="141"/>
      <c r="DM140" s="141"/>
      <c r="DN140" s="163" t="str">
        <f t="shared" si="16"/>
        <v/>
      </c>
      <c r="DO140" s="164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0" t="str">
        <f>IF(ISBLANK(スキャン結果!C139),"",スキャン結果!C139)</f>
        <v/>
      </c>
      <c r="D141" s="161" t="str">
        <f>IF(ISBLANK(スキャン結果!D139),"",スキャン結果!D139)</f>
        <v/>
      </c>
      <c r="E141" s="161" t="str">
        <f>IF(ISBLANK(スキャン結果!E139),"",スキャン結果!E139)</f>
        <v/>
      </c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1" t="str">
        <f t="shared" si="18"/>
        <v/>
      </c>
      <c r="DC141" s="161" t="str">
        <f t="shared" si="17"/>
        <v/>
      </c>
      <c r="DD141" s="161" t="str">
        <f t="shared" si="17"/>
        <v/>
      </c>
      <c r="DE141" s="161" t="str">
        <f t="shared" si="17"/>
        <v/>
      </c>
      <c r="DF141" s="161" t="str">
        <f t="shared" si="17"/>
        <v/>
      </c>
      <c r="DG141" s="161" t="str">
        <f t="shared" si="17"/>
        <v/>
      </c>
      <c r="DH141" s="141"/>
      <c r="DI141" s="141"/>
      <c r="DJ141" s="141"/>
      <c r="DK141" s="141"/>
      <c r="DL141" s="141"/>
      <c r="DM141" s="141"/>
      <c r="DN141" s="163" t="str">
        <f t="shared" si="16"/>
        <v/>
      </c>
      <c r="DO141" s="164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0" t="str">
        <f>IF(ISBLANK(スキャン結果!C140),"",スキャン結果!C140)</f>
        <v/>
      </c>
      <c r="D142" s="161" t="str">
        <f>IF(ISBLANK(スキャン結果!D140),"",スキャン結果!D140)</f>
        <v/>
      </c>
      <c r="E142" s="161" t="str">
        <f>IF(ISBLANK(スキャン結果!E140),"",スキャン結果!E140)</f>
        <v/>
      </c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1" t="str">
        <f t="shared" si="18"/>
        <v/>
      </c>
      <c r="DC142" s="161" t="str">
        <f t="shared" si="17"/>
        <v/>
      </c>
      <c r="DD142" s="161" t="str">
        <f t="shared" si="17"/>
        <v/>
      </c>
      <c r="DE142" s="161" t="str">
        <f t="shared" si="17"/>
        <v/>
      </c>
      <c r="DF142" s="161" t="str">
        <f t="shared" si="17"/>
        <v/>
      </c>
      <c r="DG142" s="161" t="str">
        <f t="shared" si="17"/>
        <v/>
      </c>
      <c r="DH142" s="141"/>
      <c r="DI142" s="141"/>
      <c r="DJ142" s="141"/>
      <c r="DK142" s="141"/>
      <c r="DL142" s="141"/>
      <c r="DM142" s="141"/>
      <c r="DN142" s="163" t="str">
        <f t="shared" si="16"/>
        <v/>
      </c>
      <c r="DO142" s="164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160" t="str">
        <f>IF(ISBLANK(スキャン結果!C141),"",スキャン結果!C141)</f>
        <v/>
      </c>
      <c r="D143" s="161" t="str">
        <f>IF(ISBLANK(スキャン結果!D141),"",スキャン結果!D141)</f>
        <v/>
      </c>
      <c r="E143" s="161" t="str">
        <f>IF(ISBLANK(スキャン結果!E141),"",スキャン結果!E141)</f>
        <v/>
      </c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1" t="str">
        <f t="shared" si="18"/>
        <v/>
      </c>
      <c r="DC143" s="161" t="str">
        <f t="shared" si="17"/>
        <v/>
      </c>
      <c r="DD143" s="161" t="str">
        <f t="shared" si="17"/>
        <v/>
      </c>
      <c r="DE143" s="161" t="str">
        <f t="shared" si="17"/>
        <v/>
      </c>
      <c r="DF143" s="161" t="str">
        <f t="shared" si="17"/>
        <v/>
      </c>
      <c r="DG143" s="161" t="str">
        <f t="shared" si="17"/>
        <v/>
      </c>
      <c r="DH143" s="141"/>
      <c r="DI143" s="141"/>
      <c r="DJ143" s="141"/>
      <c r="DK143" s="141"/>
      <c r="DL143" s="141"/>
      <c r="DM143" s="141"/>
      <c r="DN143" s="163" t="str">
        <f t="shared" ref="DN143:DN206" si="21">IF(A143="","",SUM(F143:DA143,DH143:DM143))</f>
        <v/>
      </c>
      <c r="DO143" s="164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60" t="str">
        <f>IF(ISBLANK(スキャン結果!C142),"",スキャン結果!C142)</f>
        <v/>
      </c>
      <c r="D144" s="161" t="str">
        <f>IF(ISBLANK(スキャン結果!D142),"",スキャン結果!D142)</f>
        <v/>
      </c>
      <c r="E144" s="161" t="str">
        <f>IF(ISBLANK(スキャン結果!E142),"",スキャン結果!E142)</f>
        <v/>
      </c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1" t="str">
        <f t="shared" si="18"/>
        <v/>
      </c>
      <c r="DC144" s="161" t="str">
        <f t="shared" si="17"/>
        <v/>
      </c>
      <c r="DD144" s="161" t="str">
        <f t="shared" si="17"/>
        <v/>
      </c>
      <c r="DE144" s="161" t="str">
        <f t="shared" si="17"/>
        <v/>
      </c>
      <c r="DF144" s="161" t="str">
        <f t="shared" si="17"/>
        <v/>
      </c>
      <c r="DG144" s="161" t="str">
        <f t="shared" si="17"/>
        <v/>
      </c>
      <c r="DH144" s="141"/>
      <c r="DI144" s="141"/>
      <c r="DJ144" s="141"/>
      <c r="DK144" s="141"/>
      <c r="DL144" s="141"/>
      <c r="DM144" s="141"/>
      <c r="DN144" s="163" t="str">
        <f t="shared" si="21"/>
        <v/>
      </c>
      <c r="DO144" s="164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0" t="str">
        <f>IF(ISBLANK(スキャン結果!C143),"",スキャン結果!C143)</f>
        <v/>
      </c>
      <c r="D145" s="161" t="str">
        <f>IF(ISBLANK(スキャン結果!D143),"",スキャン結果!D143)</f>
        <v/>
      </c>
      <c r="E145" s="161" t="str">
        <f>IF(ISBLANK(スキャン結果!E143),"",スキャン結果!E143)</f>
        <v/>
      </c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1" t="str">
        <f t="shared" si="18"/>
        <v/>
      </c>
      <c r="DC145" s="161" t="str">
        <f t="shared" si="17"/>
        <v/>
      </c>
      <c r="DD145" s="161" t="str">
        <f t="shared" si="17"/>
        <v/>
      </c>
      <c r="DE145" s="161" t="str">
        <f t="shared" si="17"/>
        <v/>
      </c>
      <c r="DF145" s="161" t="str">
        <f t="shared" si="17"/>
        <v/>
      </c>
      <c r="DG145" s="161" t="str">
        <f t="shared" si="17"/>
        <v/>
      </c>
      <c r="DH145" s="141"/>
      <c r="DI145" s="141"/>
      <c r="DJ145" s="141"/>
      <c r="DK145" s="141"/>
      <c r="DL145" s="141"/>
      <c r="DM145" s="141"/>
      <c r="DN145" s="163" t="str">
        <f t="shared" si="21"/>
        <v/>
      </c>
      <c r="DO145" s="164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0" t="str">
        <f>IF(ISBLANK(スキャン結果!C144),"",スキャン結果!C144)</f>
        <v/>
      </c>
      <c r="D146" s="161" t="str">
        <f>IF(ISBLANK(スキャン結果!D144),"",スキャン結果!D144)</f>
        <v/>
      </c>
      <c r="E146" s="161" t="str">
        <f>IF(ISBLANK(スキャン結果!E144),"",スキャン結果!E144)</f>
        <v/>
      </c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1" t="str">
        <f t="shared" si="18"/>
        <v/>
      </c>
      <c r="DC146" s="161" t="str">
        <f t="shared" si="17"/>
        <v/>
      </c>
      <c r="DD146" s="161" t="str">
        <f t="shared" si="17"/>
        <v/>
      </c>
      <c r="DE146" s="161" t="str">
        <f t="shared" si="17"/>
        <v/>
      </c>
      <c r="DF146" s="161" t="str">
        <f t="shared" si="17"/>
        <v/>
      </c>
      <c r="DG146" s="161" t="str">
        <f t="shared" si="17"/>
        <v/>
      </c>
      <c r="DH146" s="141"/>
      <c r="DI146" s="141"/>
      <c r="DJ146" s="141"/>
      <c r="DK146" s="141"/>
      <c r="DL146" s="141"/>
      <c r="DM146" s="141"/>
      <c r="DN146" s="163" t="str">
        <f t="shared" si="21"/>
        <v/>
      </c>
      <c r="DO146" s="164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0" t="str">
        <f>IF(ISBLANK(スキャン結果!C145),"",スキャン結果!C145)</f>
        <v/>
      </c>
      <c r="D147" s="161" t="str">
        <f>IF(ISBLANK(スキャン結果!D145),"",スキャン結果!D145)</f>
        <v/>
      </c>
      <c r="E147" s="161" t="str">
        <f>IF(ISBLANK(スキャン結果!E145),"",スキャン結果!E145)</f>
        <v/>
      </c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1" t="str">
        <f t="shared" si="18"/>
        <v/>
      </c>
      <c r="DC147" s="161" t="str">
        <f t="shared" si="17"/>
        <v/>
      </c>
      <c r="DD147" s="161" t="str">
        <f t="shared" si="17"/>
        <v/>
      </c>
      <c r="DE147" s="161" t="str">
        <f t="shared" si="17"/>
        <v/>
      </c>
      <c r="DF147" s="161" t="str">
        <f t="shared" si="17"/>
        <v/>
      </c>
      <c r="DG147" s="161" t="str">
        <f t="shared" si="17"/>
        <v/>
      </c>
      <c r="DH147" s="141"/>
      <c r="DI147" s="141"/>
      <c r="DJ147" s="141"/>
      <c r="DK147" s="141"/>
      <c r="DL147" s="141"/>
      <c r="DM147" s="141"/>
      <c r="DN147" s="163" t="str">
        <f t="shared" si="21"/>
        <v/>
      </c>
      <c r="DO147" s="164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160" t="str">
        <f>IF(ISBLANK(スキャン結果!C146),"",スキャン結果!C146)</f>
        <v/>
      </c>
      <c r="D148" s="161" t="str">
        <f>IF(ISBLANK(スキャン結果!D146),"",スキャン結果!D146)</f>
        <v/>
      </c>
      <c r="E148" s="161" t="str">
        <f>IF(ISBLANK(スキャン結果!E146),"",スキャン結果!E146)</f>
        <v/>
      </c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1" t="str">
        <f t="shared" si="18"/>
        <v/>
      </c>
      <c r="DC148" s="161" t="str">
        <f t="shared" si="17"/>
        <v/>
      </c>
      <c r="DD148" s="161" t="str">
        <f t="shared" si="17"/>
        <v/>
      </c>
      <c r="DE148" s="161" t="str">
        <f t="shared" si="17"/>
        <v/>
      </c>
      <c r="DF148" s="161" t="str">
        <f t="shared" si="17"/>
        <v/>
      </c>
      <c r="DG148" s="161" t="str">
        <f t="shared" si="17"/>
        <v/>
      </c>
      <c r="DH148" s="141"/>
      <c r="DI148" s="141"/>
      <c r="DJ148" s="141"/>
      <c r="DK148" s="141"/>
      <c r="DL148" s="141"/>
      <c r="DM148" s="141"/>
      <c r="DN148" s="163" t="str">
        <f t="shared" si="21"/>
        <v/>
      </c>
      <c r="DO148" s="164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60" t="str">
        <f>IF(ISBLANK(スキャン結果!C147),"",スキャン結果!C147)</f>
        <v/>
      </c>
      <c r="D149" s="161" t="str">
        <f>IF(ISBLANK(スキャン結果!D147),"",スキャン結果!D147)</f>
        <v/>
      </c>
      <c r="E149" s="161" t="str">
        <f>IF(ISBLANK(スキャン結果!E147),"",スキャン結果!E147)</f>
        <v/>
      </c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1" t="str">
        <f t="shared" si="18"/>
        <v/>
      </c>
      <c r="DC149" s="161" t="str">
        <f t="shared" si="17"/>
        <v/>
      </c>
      <c r="DD149" s="161" t="str">
        <f t="shared" si="17"/>
        <v/>
      </c>
      <c r="DE149" s="161" t="str">
        <f t="shared" si="17"/>
        <v/>
      </c>
      <c r="DF149" s="161" t="str">
        <f t="shared" si="17"/>
        <v/>
      </c>
      <c r="DG149" s="161" t="str">
        <f t="shared" si="17"/>
        <v/>
      </c>
      <c r="DH149" s="141"/>
      <c r="DI149" s="141"/>
      <c r="DJ149" s="141"/>
      <c r="DK149" s="141"/>
      <c r="DL149" s="141"/>
      <c r="DM149" s="141"/>
      <c r="DN149" s="163" t="str">
        <f t="shared" si="21"/>
        <v/>
      </c>
      <c r="DO149" s="164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0" t="str">
        <f>IF(ISBLANK(スキャン結果!C148),"",スキャン結果!C148)</f>
        <v/>
      </c>
      <c r="D150" s="161" t="str">
        <f>IF(ISBLANK(スキャン結果!D148),"",スキャン結果!D148)</f>
        <v/>
      </c>
      <c r="E150" s="161" t="str">
        <f>IF(ISBLANK(スキャン結果!E148),"",スキャン結果!E148)</f>
        <v/>
      </c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1" t="str">
        <f t="shared" si="18"/>
        <v/>
      </c>
      <c r="DC150" s="161" t="str">
        <f t="shared" si="17"/>
        <v/>
      </c>
      <c r="DD150" s="161" t="str">
        <f t="shared" si="17"/>
        <v/>
      </c>
      <c r="DE150" s="161" t="str">
        <f t="shared" si="17"/>
        <v/>
      </c>
      <c r="DF150" s="161" t="str">
        <f t="shared" si="17"/>
        <v/>
      </c>
      <c r="DG150" s="161" t="str">
        <f t="shared" si="17"/>
        <v/>
      </c>
      <c r="DH150" s="141"/>
      <c r="DI150" s="141"/>
      <c r="DJ150" s="141"/>
      <c r="DK150" s="141"/>
      <c r="DL150" s="141"/>
      <c r="DM150" s="141"/>
      <c r="DN150" s="163" t="str">
        <f t="shared" si="21"/>
        <v/>
      </c>
      <c r="DO150" s="164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0" t="str">
        <f>IF(ISBLANK(スキャン結果!C149),"",スキャン結果!C149)</f>
        <v/>
      </c>
      <c r="D151" s="161" t="str">
        <f>IF(ISBLANK(スキャン結果!D149),"",スキャン結果!D149)</f>
        <v/>
      </c>
      <c r="E151" s="161" t="str">
        <f>IF(ISBLANK(スキャン結果!E149),"",スキャン結果!E149)</f>
        <v/>
      </c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1" t="str">
        <f t="shared" si="18"/>
        <v/>
      </c>
      <c r="DC151" s="161" t="str">
        <f t="shared" si="17"/>
        <v/>
      </c>
      <c r="DD151" s="161" t="str">
        <f t="shared" si="17"/>
        <v/>
      </c>
      <c r="DE151" s="161" t="str">
        <f t="shared" si="17"/>
        <v/>
      </c>
      <c r="DF151" s="161" t="str">
        <f t="shared" si="17"/>
        <v/>
      </c>
      <c r="DG151" s="161" t="str">
        <f t="shared" si="17"/>
        <v/>
      </c>
      <c r="DH151" s="141"/>
      <c r="DI151" s="141"/>
      <c r="DJ151" s="141"/>
      <c r="DK151" s="141"/>
      <c r="DL151" s="141"/>
      <c r="DM151" s="141"/>
      <c r="DN151" s="163" t="str">
        <f t="shared" si="21"/>
        <v/>
      </c>
      <c r="DO151" s="164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0" t="str">
        <f>IF(ISBLANK(スキャン結果!C150),"",スキャン結果!C150)</f>
        <v/>
      </c>
      <c r="D152" s="161" t="str">
        <f>IF(ISBLANK(スキャン結果!D150),"",スキャン結果!D150)</f>
        <v/>
      </c>
      <c r="E152" s="161" t="str">
        <f>IF(ISBLANK(スキャン結果!E150),"",スキャン結果!E150)</f>
        <v/>
      </c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1" t="str">
        <f t="shared" si="18"/>
        <v/>
      </c>
      <c r="DC152" s="161" t="str">
        <f t="shared" si="17"/>
        <v/>
      </c>
      <c r="DD152" s="161" t="str">
        <f t="shared" si="17"/>
        <v/>
      </c>
      <c r="DE152" s="161" t="str">
        <f t="shared" si="17"/>
        <v/>
      </c>
      <c r="DF152" s="161" t="str">
        <f t="shared" si="17"/>
        <v/>
      </c>
      <c r="DG152" s="161" t="str">
        <f t="shared" si="17"/>
        <v/>
      </c>
      <c r="DH152" s="141"/>
      <c r="DI152" s="141"/>
      <c r="DJ152" s="141"/>
      <c r="DK152" s="141"/>
      <c r="DL152" s="141"/>
      <c r="DM152" s="141"/>
      <c r="DN152" s="163" t="str">
        <f t="shared" si="21"/>
        <v/>
      </c>
      <c r="DO152" s="164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160" t="str">
        <f>IF(ISBLANK(スキャン結果!C151),"",スキャン結果!C151)</f>
        <v/>
      </c>
      <c r="D153" s="161" t="str">
        <f>IF(ISBLANK(スキャン結果!D151),"",スキャン結果!D151)</f>
        <v/>
      </c>
      <c r="E153" s="161" t="str">
        <f>IF(ISBLANK(スキャン結果!E151),"",スキャン結果!E151)</f>
        <v/>
      </c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1" t="str">
        <f t="shared" si="18"/>
        <v/>
      </c>
      <c r="DC153" s="161" t="str">
        <f t="shared" si="17"/>
        <v/>
      </c>
      <c r="DD153" s="161" t="str">
        <f t="shared" si="17"/>
        <v/>
      </c>
      <c r="DE153" s="161" t="str">
        <f t="shared" si="17"/>
        <v/>
      </c>
      <c r="DF153" s="161" t="str">
        <f t="shared" si="17"/>
        <v/>
      </c>
      <c r="DG153" s="161" t="str">
        <f t="shared" si="17"/>
        <v/>
      </c>
      <c r="DH153" s="141"/>
      <c r="DI153" s="141"/>
      <c r="DJ153" s="141"/>
      <c r="DK153" s="141"/>
      <c r="DL153" s="141"/>
      <c r="DM153" s="141"/>
      <c r="DN153" s="163" t="str">
        <f t="shared" si="21"/>
        <v/>
      </c>
      <c r="DO153" s="164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60" t="str">
        <f>IF(ISBLANK(スキャン結果!C152),"",スキャン結果!C152)</f>
        <v/>
      </c>
      <c r="D154" s="161" t="str">
        <f>IF(ISBLANK(スキャン結果!D152),"",スキャン結果!D152)</f>
        <v/>
      </c>
      <c r="E154" s="161" t="str">
        <f>IF(ISBLANK(スキャン結果!E152),"",スキャン結果!E152)</f>
        <v/>
      </c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1" t="str">
        <f t="shared" si="18"/>
        <v/>
      </c>
      <c r="DC154" s="161" t="str">
        <f t="shared" si="17"/>
        <v/>
      </c>
      <c r="DD154" s="161" t="str">
        <f t="shared" si="17"/>
        <v/>
      </c>
      <c r="DE154" s="161" t="str">
        <f t="shared" si="17"/>
        <v/>
      </c>
      <c r="DF154" s="161" t="str">
        <f t="shared" si="17"/>
        <v/>
      </c>
      <c r="DG154" s="161" t="str">
        <f t="shared" si="17"/>
        <v/>
      </c>
      <c r="DH154" s="141"/>
      <c r="DI154" s="141"/>
      <c r="DJ154" s="141"/>
      <c r="DK154" s="141"/>
      <c r="DL154" s="141"/>
      <c r="DM154" s="141"/>
      <c r="DN154" s="163" t="str">
        <f t="shared" si="21"/>
        <v/>
      </c>
      <c r="DO154" s="164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0" t="str">
        <f>IF(ISBLANK(スキャン結果!C153),"",スキャン結果!C153)</f>
        <v/>
      </c>
      <c r="D155" s="161" t="str">
        <f>IF(ISBLANK(スキャン結果!D153),"",スキャン結果!D153)</f>
        <v/>
      </c>
      <c r="E155" s="161" t="str">
        <f>IF(ISBLANK(スキャン結果!E153),"",スキャン結果!E153)</f>
        <v/>
      </c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1" t="str">
        <f t="shared" si="18"/>
        <v/>
      </c>
      <c r="DC155" s="161" t="str">
        <f t="shared" si="17"/>
        <v/>
      </c>
      <c r="DD155" s="161" t="str">
        <f t="shared" si="17"/>
        <v/>
      </c>
      <c r="DE155" s="161" t="str">
        <f t="shared" si="17"/>
        <v/>
      </c>
      <c r="DF155" s="161" t="str">
        <f t="shared" si="17"/>
        <v/>
      </c>
      <c r="DG155" s="161" t="str">
        <f t="shared" si="17"/>
        <v/>
      </c>
      <c r="DH155" s="141"/>
      <c r="DI155" s="141"/>
      <c r="DJ155" s="141"/>
      <c r="DK155" s="141"/>
      <c r="DL155" s="141"/>
      <c r="DM155" s="141"/>
      <c r="DN155" s="163" t="str">
        <f t="shared" si="21"/>
        <v/>
      </c>
      <c r="DO155" s="164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0" t="str">
        <f>IF(ISBLANK(スキャン結果!C154),"",スキャン結果!C154)</f>
        <v/>
      </c>
      <c r="D156" s="161" t="str">
        <f>IF(ISBLANK(スキャン結果!D154),"",スキャン結果!D154)</f>
        <v/>
      </c>
      <c r="E156" s="161" t="str">
        <f>IF(ISBLANK(スキャン結果!E154),"",スキャン結果!E154)</f>
        <v/>
      </c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1" t="str">
        <f t="shared" si="18"/>
        <v/>
      </c>
      <c r="DC156" s="161" t="str">
        <f t="shared" si="17"/>
        <v/>
      </c>
      <c r="DD156" s="161" t="str">
        <f t="shared" si="17"/>
        <v/>
      </c>
      <c r="DE156" s="161" t="str">
        <f t="shared" si="17"/>
        <v/>
      </c>
      <c r="DF156" s="161" t="str">
        <f t="shared" si="17"/>
        <v/>
      </c>
      <c r="DG156" s="161" t="str">
        <f t="shared" si="17"/>
        <v/>
      </c>
      <c r="DH156" s="141"/>
      <c r="DI156" s="141"/>
      <c r="DJ156" s="141"/>
      <c r="DK156" s="141"/>
      <c r="DL156" s="141"/>
      <c r="DM156" s="141"/>
      <c r="DN156" s="163" t="str">
        <f t="shared" si="21"/>
        <v/>
      </c>
      <c r="DO156" s="164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0" t="str">
        <f>IF(ISBLANK(スキャン結果!C155),"",スキャン結果!C155)</f>
        <v/>
      </c>
      <c r="D157" s="161" t="str">
        <f>IF(ISBLANK(スキャン結果!D155),"",スキャン結果!D155)</f>
        <v/>
      </c>
      <c r="E157" s="161" t="str">
        <f>IF(ISBLANK(スキャン結果!E155),"",スキャン結果!E155)</f>
        <v/>
      </c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1" t="str">
        <f t="shared" si="18"/>
        <v/>
      </c>
      <c r="DC157" s="161" t="str">
        <f t="shared" si="17"/>
        <v/>
      </c>
      <c r="DD157" s="161" t="str">
        <f t="shared" si="17"/>
        <v/>
      </c>
      <c r="DE157" s="161" t="str">
        <f t="shared" si="17"/>
        <v/>
      </c>
      <c r="DF157" s="161" t="str">
        <f t="shared" si="17"/>
        <v/>
      </c>
      <c r="DG157" s="161" t="str">
        <f t="shared" si="17"/>
        <v/>
      </c>
      <c r="DH157" s="141"/>
      <c r="DI157" s="141"/>
      <c r="DJ157" s="141"/>
      <c r="DK157" s="141"/>
      <c r="DL157" s="141"/>
      <c r="DM157" s="141"/>
      <c r="DN157" s="163" t="str">
        <f t="shared" si="21"/>
        <v/>
      </c>
      <c r="DO157" s="164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160" t="str">
        <f>IF(ISBLANK(スキャン結果!C156),"",スキャン結果!C156)</f>
        <v/>
      </c>
      <c r="D158" s="161" t="str">
        <f>IF(ISBLANK(スキャン結果!D156),"",スキャン結果!D156)</f>
        <v/>
      </c>
      <c r="E158" s="161" t="str">
        <f>IF(ISBLANK(スキャン結果!E156),"",スキャン結果!E156)</f>
        <v/>
      </c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1" t="str">
        <f t="shared" si="18"/>
        <v/>
      </c>
      <c r="DC158" s="161" t="str">
        <f t="shared" si="17"/>
        <v/>
      </c>
      <c r="DD158" s="161" t="str">
        <f t="shared" si="17"/>
        <v/>
      </c>
      <c r="DE158" s="161" t="str">
        <f t="shared" si="17"/>
        <v/>
      </c>
      <c r="DF158" s="161" t="str">
        <f t="shared" si="17"/>
        <v/>
      </c>
      <c r="DG158" s="161" t="str">
        <f t="shared" si="17"/>
        <v/>
      </c>
      <c r="DH158" s="141"/>
      <c r="DI158" s="141"/>
      <c r="DJ158" s="141"/>
      <c r="DK158" s="141"/>
      <c r="DL158" s="141"/>
      <c r="DM158" s="141"/>
      <c r="DN158" s="163" t="str">
        <f t="shared" si="21"/>
        <v/>
      </c>
      <c r="DO158" s="164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60" t="str">
        <f>IF(ISBLANK(スキャン結果!C157),"",スキャン結果!C157)</f>
        <v/>
      </c>
      <c r="D159" s="161" t="str">
        <f>IF(ISBLANK(スキャン結果!D157),"",スキャン結果!D157)</f>
        <v/>
      </c>
      <c r="E159" s="161" t="str">
        <f>IF(ISBLANK(スキャン結果!E157),"",スキャン結果!E157)</f>
        <v/>
      </c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1" t="str">
        <f t="shared" si="18"/>
        <v/>
      </c>
      <c r="DC159" s="161" t="str">
        <f t="shared" si="17"/>
        <v/>
      </c>
      <c r="DD159" s="161" t="str">
        <f t="shared" si="17"/>
        <v/>
      </c>
      <c r="DE159" s="161" t="str">
        <f t="shared" si="17"/>
        <v/>
      </c>
      <c r="DF159" s="161" t="str">
        <f t="shared" si="17"/>
        <v/>
      </c>
      <c r="DG159" s="161" t="str">
        <f t="shared" si="17"/>
        <v/>
      </c>
      <c r="DH159" s="141"/>
      <c r="DI159" s="141"/>
      <c r="DJ159" s="141"/>
      <c r="DK159" s="141"/>
      <c r="DL159" s="141"/>
      <c r="DM159" s="141"/>
      <c r="DN159" s="163" t="str">
        <f t="shared" si="21"/>
        <v/>
      </c>
      <c r="DO159" s="164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0" t="str">
        <f>IF(ISBLANK(スキャン結果!C158),"",スキャン結果!C158)</f>
        <v/>
      </c>
      <c r="D160" s="161" t="str">
        <f>IF(ISBLANK(スキャン結果!D158),"",スキャン結果!D158)</f>
        <v/>
      </c>
      <c r="E160" s="161" t="str">
        <f>IF(ISBLANK(スキャン結果!E158),"",スキャン結果!E158)</f>
        <v/>
      </c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1" t="str">
        <f t="shared" si="18"/>
        <v/>
      </c>
      <c r="DC160" s="161" t="str">
        <f t="shared" si="17"/>
        <v/>
      </c>
      <c r="DD160" s="161" t="str">
        <f t="shared" si="17"/>
        <v/>
      </c>
      <c r="DE160" s="161" t="str">
        <f t="shared" si="17"/>
        <v/>
      </c>
      <c r="DF160" s="161" t="str">
        <f t="shared" si="17"/>
        <v/>
      </c>
      <c r="DG160" s="161" t="str">
        <f t="shared" si="17"/>
        <v/>
      </c>
      <c r="DH160" s="141"/>
      <c r="DI160" s="141"/>
      <c r="DJ160" s="141"/>
      <c r="DK160" s="141"/>
      <c r="DL160" s="141"/>
      <c r="DM160" s="141"/>
      <c r="DN160" s="163" t="str">
        <f t="shared" si="21"/>
        <v/>
      </c>
      <c r="DO160" s="164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0" t="str">
        <f>IF(ISBLANK(スキャン結果!C159),"",スキャン結果!C159)</f>
        <v/>
      </c>
      <c r="D161" s="161" t="str">
        <f>IF(ISBLANK(スキャン結果!D159),"",スキャン結果!D159)</f>
        <v/>
      </c>
      <c r="E161" s="161" t="str">
        <f>IF(ISBLANK(スキャン結果!E159),"",スキャン結果!E159)</f>
        <v/>
      </c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1" t="str">
        <f t="shared" si="18"/>
        <v/>
      </c>
      <c r="DC161" s="161" t="str">
        <f t="shared" si="17"/>
        <v/>
      </c>
      <c r="DD161" s="161" t="str">
        <f t="shared" si="17"/>
        <v/>
      </c>
      <c r="DE161" s="161" t="str">
        <f t="shared" si="17"/>
        <v/>
      </c>
      <c r="DF161" s="161" t="str">
        <f t="shared" si="17"/>
        <v/>
      </c>
      <c r="DG161" s="161" t="str">
        <f t="shared" si="17"/>
        <v/>
      </c>
      <c r="DH161" s="141"/>
      <c r="DI161" s="141"/>
      <c r="DJ161" s="141"/>
      <c r="DK161" s="141"/>
      <c r="DL161" s="141"/>
      <c r="DM161" s="141"/>
      <c r="DN161" s="163" t="str">
        <f t="shared" si="21"/>
        <v/>
      </c>
      <c r="DO161" s="164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0" t="str">
        <f>IF(ISBLANK(スキャン結果!C160),"",スキャン結果!C160)</f>
        <v/>
      </c>
      <c r="D162" s="161" t="str">
        <f>IF(ISBLANK(スキャン結果!D160),"",スキャン結果!D160)</f>
        <v/>
      </c>
      <c r="E162" s="161" t="str">
        <f>IF(ISBLANK(スキャン結果!E160),"",スキャン結果!E160)</f>
        <v/>
      </c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1" t="str">
        <f t="shared" si="18"/>
        <v/>
      </c>
      <c r="DC162" s="161" t="str">
        <f t="shared" si="17"/>
        <v/>
      </c>
      <c r="DD162" s="161" t="str">
        <f t="shared" si="17"/>
        <v/>
      </c>
      <c r="DE162" s="161" t="str">
        <f t="shared" si="17"/>
        <v/>
      </c>
      <c r="DF162" s="161" t="str">
        <f t="shared" si="17"/>
        <v/>
      </c>
      <c r="DG162" s="161" t="str">
        <f t="shared" si="17"/>
        <v/>
      </c>
      <c r="DH162" s="141"/>
      <c r="DI162" s="141"/>
      <c r="DJ162" s="141"/>
      <c r="DK162" s="141"/>
      <c r="DL162" s="141"/>
      <c r="DM162" s="141"/>
      <c r="DN162" s="163" t="str">
        <f t="shared" si="21"/>
        <v/>
      </c>
      <c r="DO162" s="164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160" t="str">
        <f>IF(ISBLANK(スキャン結果!C161),"",スキャン結果!C161)</f>
        <v/>
      </c>
      <c r="D163" s="161" t="str">
        <f>IF(ISBLANK(スキャン結果!D161),"",スキャン結果!D161)</f>
        <v/>
      </c>
      <c r="E163" s="161" t="str">
        <f>IF(ISBLANK(スキャン結果!E161),"",スキャン結果!E161)</f>
        <v/>
      </c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1" t="str">
        <f t="shared" si="18"/>
        <v/>
      </c>
      <c r="DC163" s="161" t="str">
        <f t="shared" si="17"/>
        <v/>
      </c>
      <c r="DD163" s="161" t="str">
        <f t="shared" si="17"/>
        <v/>
      </c>
      <c r="DE163" s="161" t="str">
        <f t="shared" ref="DC163:DG214" si="22">IF(OR($B163="",DE$4=""),"",SUMIF($F$3:$DA$4,DE$4,$F163:$DA163))</f>
        <v/>
      </c>
      <c r="DF163" s="161" t="str">
        <f t="shared" si="22"/>
        <v/>
      </c>
      <c r="DG163" s="161" t="str">
        <f t="shared" si="22"/>
        <v/>
      </c>
      <c r="DH163" s="141"/>
      <c r="DI163" s="141"/>
      <c r="DJ163" s="141"/>
      <c r="DK163" s="141"/>
      <c r="DL163" s="141"/>
      <c r="DM163" s="141"/>
      <c r="DN163" s="163" t="str">
        <f t="shared" si="21"/>
        <v/>
      </c>
      <c r="DO163" s="164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60" t="str">
        <f>IF(ISBLANK(スキャン結果!C162),"",スキャン結果!C162)</f>
        <v/>
      </c>
      <c r="D164" s="161" t="str">
        <f>IF(ISBLANK(スキャン結果!D162),"",スキャン結果!D162)</f>
        <v/>
      </c>
      <c r="E164" s="161" t="str">
        <f>IF(ISBLANK(スキャン結果!E162),"",スキャン結果!E162)</f>
        <v/>
      </c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1" t="str">
        <f t="shared" si="18"/>
        <v/>
      </c>
      <c r="DC164" s="161" t="str">
        <f t="shared" si="22"/>
        <v/>
      </c>
      <c r="DD164" s="161" t="str">
        <f t="shared" si="22"/>
        <v/>
      </c>
      <c r="DE164" s="161" t="str">
        <f t="shared" si="22"/>
        <v/>
      </c>
      <c r="DF164" s="161" t="str">
        <f t="shared" si="22"/>
        <v/>
      </c>
      <c r="DG164" s="161" t="str">
        <f t="shared" si="22"/>
        <v/>
      </c>
      <c r="DH164" s="141"/>
      <c r="DI164" s="141"/>
      <c r="DJ164" s="141"/>
      <c r="DK164" s="141"/>
      <c r="DL164" s="141"/>
      <c r="DM164" s="141"/>
      <c r="DN164" s="163" t="str">
        <f t="shared" si="21"/>
        <v/>
      </c>
      <c r="DO164" s="164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0" t="str">
        <f>IF(ISBLANK(スキャン結果!C163),"",スキャン結果!C163)</f>
        <v/>
      </c>
      <c r="D165" s="161" t="str">
        <f>IF(ISBLANK(スキャン結果!D163),"",スキャン結果!D163)</f>
        <v/>
      </c>
      <c r="E165" s="161" t="str">
        <f>IF(ISBLANK(スキャン結果!E163),"",スキャン結果!E163)</f>
        <v/>
      </c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1" t="str">
        <f t="shared" si="18"/>
        <v/>
      </c>
      <c r="DC165" s="161" t="str">
        <f t="shared" si="22"/>
        <v/>
      </c>
      <c r="DD165" s="161" t="str">
        <f t="shared" si="22"/>
        <v/>
      </c>
      <c r="DE165" s="161" t="str">
        <f t="shared" si="22"/>
        <v/>
      </c>
      <c r="DF165" s="161" t="str">
        <f t="shared" si="22"/>
        <v/>
      </c>
      <c r="DG165" s="161" t="str">
        <f t="shared" si="22"/>
        <v/>
      </c>
      <c r="DH165" s="141"/>
      <c r="DI165" s="141"/>
      <c r="DJ165" s="141"/>
      <c r="DK165" s="141"/>
      <c r="DL165" s="141"/>
      <c r="DM165" s="141"/>
      <c r="DN165" s="163" t="str">
        <f t="shared" si="21"/>
        <v/>
      </c>
      <c r="DO165" s="164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0" t="str">
        <f>IF(ISBLANK(スキャン結果!C164),"",スキャン結果!C164)</f>
        <v/>
      </c>
      <c r="D166" s="161" t="str">
        <f>IF(ISBLANK(スキャン結果!D164),"",スキャン結果!D164)</f>
        <v/>
      </c>
      <c r="E166" s="161" t="str">
        <f>IF(ISBLANK(スキャン結果!E164),"",スキャン結果!E164)</f>
        <v/>
      </c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1" t="str">
        <f t="shared" si="18"/>
        <v/>
      </c>
      <c r="DC166" s="161" t="str">
        <f t="shared" si="22"/>
        <v/>
      </c>
      <c r="DD166" s="161" t="str">
        <f t="shared" si="22"/>
        <v/>
      </c>
      <c r="DE166" s="161" t="str">
        <f t="shared" si="22"/>
        <v/>
      </c>
      <c r="DF166" s="161" t="str">
        <f t="shared" si="22"/>
        <v/>
      </c>
      <c r="DG166" s="161" t="str">
        <f t="shared" si="22"/>
        <v/>
      </c>
      <c r="DH166" s="141"/>
      <c r="DI166" s="141"/>
      <c r="DJ166" s="141"/>
      <c r="DK166" s="141"/>
      <c r="DL166" s="141"/>
      <c r="DM166" s="141"/>
      <c r="DN166" s="163" t="str">
        <f t="shared" si="21"/>
        <v/>
      </c>
      <c r="DO166" s="164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0" t="str">
        <f>IF(ISBLANK(スキャン結果!C165),"",スキャン結果!C165)</f>
        <v/>
      </c>
      <c r="D167" s="161" t="str">
        <f>IF(ISBLANK(スキャン結果!D165),"",スキャン結果!D165)</f>
        <v/>
      </c>
      <c r="E167" s="161" t="str">
        <f>IF(ISBLANK(スキャン結果!E165),"",スキャン結果!E165)</f>
        <v/>
      </c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1" t="str">
        <f t="shared" si="18"/>
        <v/>
      </c>
      <c r="DC167" s="161" t="str">
        <f t="shared" si="22"/>
        <v/>
      </c>
      <c r="DD167" s="161" t="str">
        <f t="shared" si="22"/>
        <v/>
      </c>
      <c r="DE167" s="161" t="str">
        <f t="shared" si="22"/>
        <v/>
      </c>
      <c r="DF167" s="161" t="str">
        <f t="shared" si="22"/>
        <v/>
      </c>
      <c r="DG167" s="161" t="str">
        <f t="shared" si="22"/>
        <v/>
      </c>
      <c r="DH167" s="141"/>
      <c r="DI167" s="141"/>
      <c r="DJ167" s="141"/>
      <c r="DK167" s="141"/>
      <c r="DL167" s="141"/>
      <c r="DM167" s="141"/>
      <c r="DN167" s="163" t="str">
        <f t="shared" si="21"/>
        <v/>
      </c>
      <c r="DO167" s="164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160" t="str">
        <f>IF(ISBLANK(スキャン結果!C166),"",スキャン結果!C166)</f>
        <v/>
      </c>
      <c r="D168" s="161" t="str">
        <f>IF(ISBLANK(スキャン結果!D166),"",スキャン結果!D166)</f>
        <v/>
      </c>
      <c r="E168" s="161" t="str">
        <f>IF(ISBLANK(スキャン結果!E166),"",スキャン結果!E166)</f>
        <v/>
      </c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1" t="str">
        <f t="shared" si="18"/>
        <v/>
      </c>
      <c r="DC168" s="161" t="str">
        <f t="shared" si="22"/>
        <v/>
      </c>
      <c r="DD168" s="161" t="str">
        <f t="shared" si="22"/>
        <v/>
      </c>
      <c r="DE168" s="161" t="str">
        <f t="shared" si="22"/>
        <v/>
      </c>
      <c r="DF168" s="161" t="str">
        <f t="shared" si="22"/>
        <v/>
      </c>
      <c r="DG168" s="161" t="str">
        <f t="shared" si="22"/>
        <v/>
      </c>
      <c r="DH168" s="141"/>
      <c r="DI168" s="141"/>
      <c r="DJ168" s="141"/>
      <c r="DK168" s="141"/>
      <c r="DL168" s="141"/>
      <c r="DM168" s="141"/>
      <c r="DN168" s="163" t="str">
        <f t="shared" si="21"/>
        <v/>
      </c>
      <c r="DO168" s="164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60" t="str">
        <f>IF(ISBLANK(スキャン結果!C167),"",スキャン結果!C167)</f>
        <v/>
      </c>
      <c r="D169" s="161" t="str">
        <f>IF(ISBLANK(スキャン結果!D167),"",スキャン結果!D167)</f>
        <v/>
      </c>
      <c r="E169" s="161" t="str">
        <f>IF(ISBLANK(スキャン結果!E167),"",スキャン結果!E167)</f>
        <v/>
      </c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1" t="str">
        <f t="shared" si="18"/>
        <v/>
      </c>
      <c r="DC169" s="161" t="str">
        <f t="shared" si="22"/>
        <v/>
      </c>
      <c r="DD169" s="161" t="str">
        <f t="shared" si="22"/>
        <v/>
      </c>
      <c r="DE169" s="161" t="str">
        <f t="shared" si="22"/>
        <v/>
      </c>
      <c r="DF169" s="161" t="str">
        <f t="shared" si="22"/>
        <v/>
      </c>
      <c r="DG169" s="161" t="str">
        <f t="shared" si="22"/>
        <v/>
      </c>
      <c r="DH169" s="141"/>
      <c r="DI169" s="141"/>
      <c r="DJ169" s="141"/>
      <c r="DK169" s="141"/>
      <c r="DL169" s="141"/>
      <c r="DM169" s="141"/>
      <c r="DN169" s="163" t="str">
        <f t="shared" si="21"/>
        <v/>
      </c>
      <c r="DO169" s="164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0" t="str">
        <f>IF(ISBLANK(スキャン結果!C168),"",スキャン結果!C168)</f>
        <v/>
      </c>
      <c r="D170" s="161" t="str">
        <f>IF(ISBLANK(スキャン結果!D168),"",スキャン結果!D168)</f>
        <v/>
      </c>
      <c r="E170" s="161" t="str">
        <f>IF(ISBLANK(スキャン結果!E168),"",スキャン結果!E168)</f>
        <v/>
      </c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1" t="str">
        <f t="shared" si="18"/>
        <v/>
      </c>
      <c r="DC170" s="161" t="str">
        <f t="shared" si="22"/>
        <v/>
      </c>
      <c r="DD170" s="161" t="str">
        <f t="shared" si="22"/>
        <v/>
      </c>
      <c r="DE170" s="161" t="str">
        <f t="shared" si="22"/>
        <v/>
      </c>
      <c r="DF170" s="161" t="str">
        <f t="shared" si="22"/>
        <v/>
      </c>
      <c r="DG170" s="161" t="str">
        <f t="shared" si="22"/>
        <v/>
      </c>
      <c r="DH170" s="141"/>
      <c r="DI170" s="141"/>
      <c r="DJ170" s="141"/>
      <c r="DK170" s="141"/>
      <c r="DL170" s="141"/>
      <c r="DM170" s="141"/>
      <c r="DN170" s="163" t="str">
        <f t="shared" si="21"/>
        <v/>
      </c>
      <c r="DO170" s="164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0" t="str">
        <f>IF(ISBLANK(スキャン結果!C169),"",スキャン結果!C169)</f>
        <v/>
      </c>
      <c r="D171" s="161" t="str">
        <f>IF(ISBLANK(スキャン結果!D169),"",スキャン結果!D169)</f>
        <v/>
      </c>
      <c r="E171" s="161" t="str">
        <f>IF(ISBLANK(スキャン結果!E169),"",スキャン結果!E169)</f>
        <v/>
      </c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1" t="str">
        <f t="shared" si="18"/>
        <v/>
      </c>
      <c r="DC171" s="161" t="str">
        <f t="shared" si="22"/>
        <v/>
      </c>
      <c r="DD171" s="161" t="str">
        <f t="shared" si="22"/>
        <v/>
      </c>
      <c r="DE171" s="161" t="str">
        <f t="shared" si="22"/>
        <v/>
      </c>
      <c r="DF171" s="161" t="str">
        <f t="shared" si="22"/>
        <v/>
      </c>
      <c r="DG171" s="161" t="str">
        <f t="shared" si="22"/>
        <v/>
      </c>
      <c r="DH171" s="141"/>
      <c r="DI171" s="141"/>
      <c r="DJ171" s="141"/>
      <c r="DK171" s="141"/>
      <c r="DL171" s="141"/>
      <c r="DM171" s="141"/>
      <c r="DN171" s="163" t="str">
        <f t="shared" si="21"/>
        <v/>
      </c>
      <c r="DO171" s="164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0" t="str">
        <f>IF(ISBLANK(スキャン結果!C170),"",スキャン結果!C170)</f>
        <v/>
      </c>
      <c r="D172" s="161" t="str">
        <f>IF(ISBLANK(スキャン結果!D170),"",スキャン結果!D170)</f>
        <v/>
      </c>
      <c r="E172" s="161" t="str">
        <f>IF(ISBLANK(スキャン結果!E170),"",スキャン結果!E170)</f>
        <v/>
      </c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1" t="str">
        <f t="shared" si="18"/>
        <v/>
      </c>
      <c r="DC172" s="161" t="str">
        <f t="shared" si="22"/>
        <v/>
      </c>
      <c r="DD172" s="161" t="str">
        <f t="shared" si="22"/>
        <v/>
      </c>
      <c r="DE172" s="161" t="str">
        <f t="shared" si="22"/>
        <v/>
      </c>
      <c r="DF172" s="161" t="str">
        <f t="shared" si="22"/>
        <v/>
      </c>
      <c r="DG172" s="161" t="str">
        <f t="shared" si="22"/>
        <v/>
      </c>
      <c r="DH172" s="141"/>
      <c r="DI172" s="141"/>
      <c r="DJ172" s="141"/>
      <c r="DK172" s="141"/>
      <c r="DL172" s="141"/>
      <c r="DM172" s="141"/>
      <c r="DN172" s="163" t="str">
        <f t="shared" si="21"/>
        <v/>
      </c>
      <c r="DO172" s="164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160" t="str">
        <f>IF(ISBLANK(スキャン結果!C171),"",スキャン結果!C171)</f>
        <v/>
      </c>
      <c r="D173" s="161" t="str">
        <f>IF(ISBLANK(スキャン結果!D171),"",スキャン結果!D171)</f>
        <v/>
      </c>
      <c r="E173" s="161" t="str">
        <f>IF(ISBLANK(スキャン結果!E171),"",スキャン結果!E171)</f>
        <v/>
      </c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1" t="str">
        <f t="shared" si="18"/>
        <v/>
      </c>
      <c r="DC173" s="161" t="str">
        <f t="shared" si="22"/>
        <v/>
      </c>
      <c r="DD173" s="161" t="str">
        <f t="shared" si="22"/>
        <v/>
      </c>
      <c r="DE173" s="161" t="str">
        <f t="shared" si="22"/>
        <v/>
      </c>
      <c r="DF173" s="161" t="str">
        <f t="shared" si="22"/>
        <v/>
      </c>
      <c r="DG173" s="161" t="str">
        <f t="shared" si="22"/>
        <v/>
      </c>
      <c r="DH173" s="141"/>
      <c r="DI173" s="141"/>
      <c r="DJ173" s="141"/>
      <c r="DK173" s="141"/>
      <c r="DL173" s="141"/>
      <c r="DM173" s="141"/>
      <c r="DN173" s="163" t="str">
        <f t="shared" si="21"/>
        <v/>
      </c>
      <c r="DO173" s="164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60" t="str">
        <f>IF(ISBLANK(スキャン結果!C172),"",スキャン結果!C172)</f>
        <v/>
      </c>
      <c r="D174" s="161" t="str">
        <f>IF(ISBLANK(スキャン結果!D172),"",スキャン結果!D172)</f>
        <v/>
      </c>
      <c r="E174" s="161" t="str">
        <f>IF(ISBLANK(スキャン結果!E172),"",スキャン結果!E172)</f>
        <v/>
      </c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1" t="str">
        <f t="shared" si="18"/>
        <v/>
      </c>
      <c r="DC174" s="161" t="str">
        <f t="shared" si="22"/>
        <v/>
      </c>
      <c r="DD174" s="161" t="str">
        <f t="shared" si="22"/>
        <v/>
      </c>
      <c r="DE174" s="161" t="str">
        <f t="shared" si="22"/>
        <v/>
      </c>
      <c r="DF174" s="161" t="str">
        <f t="shared" si="22"/>
        <v/>
      </c>
      <c r="DG174" s="161" t="str">
        <f t="shared" si="22"/>
        <v/>
      </c>
      <c r="DH174" s="141"/>
      <c r="DI174" s="141"/>
      <c r="DJ174" s="141"/>
      <c r="DK174" s="141"/>
      <c r="DL174" s="141"/>
      <c r="DM174" s="141"/>
      <c r="DN174" s="163" t="str">
        <f t="shared" si="21"/>
        <v/>
      </c>
      <c r="DO174" s="164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0" t="str">
        <f>IF(ISBLANK(スキャン結果!C173),"",スキャン結果!C173)</f>
        <v/>
      </c>
      <c r="D175" s="161" t="str">
        <f>IF(ISBLANK(スキャン結果!D173),"",スキャン結果!D173)</f>
        <v/>
      </c>
      <c r="E175" s="161" t="str">
        <f>IF(ISBLANK(スキャン結果!E173),"",スキャン結果!E173)</f>
        <v/>
      </c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1" t="str">
        <f t="shared" si="18"/>
        <v/>
      </c>
      <c r="DC175" s="161" t="str">
        <f t="shared" si="22"/>
        <v/>
      </c>
      <c r="DD175" s="161" t="str">
        <f t="shared" si="22"/>
        <v/>
      </c>
      <c r="DE175" s="161" t="str">
        <f t="shared" si="22"/>
        <v/>
      </c>
      <c r="DF175" s="161" t="str">
        <f t="shared" si="22"/>
        <v/>
      </c>
      <c r="DG175" s="161" t="str">
        <f t="shared" si="22"/>
        <v/>
      </c>
      <c r="DH175" s="141"/>
      <c r="DI175" s="141"/>
      <c r="DJ175" s="141"/>
      <c r="DK175" s="141"/>
      <c r="DL175" s="141"/>
      <c r="DM175" s="141"/>
      <c r="DN175" s="163" t="str">
        <f t="shared" si="21"/>
        <v/>
      </c>
      <c r="DO175" s="164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0" t="str">
        <f>IF(ISBLANK(スキャン結果!C174),"",スキャン結果!C174)</f>
        <v/>
      </c>
      <c r="D176" s="161" t="str">
        <f>IF(ISBLANK(スキャン結果!D174),"",スキャン結果!D174)</f>
        <v/>
      </c>
      <c r="E176" s="161" t="str">
        <f>IF(ISBLANK(スキャン結果!E174),"",スキャン結果!E174)</f>
        <v/>
      </c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1" t="str">
        <f t="shared" si="18"/>
        <v/>
      </c>
      <c r="DC176" s="161" t="str">
        <f t="shared" si="22"/>
        <v/>
      </c>
      <c r="DD176" s="161" t="str">
        <f t="shared" si="22"/>
        <v/>
      </c>
      <c r="DE176" s="161" t="str">
        <f t="shared" si="22"/>
        <v/>
      </c>
      <c r="DF176" s="161" t="str">
        <f t="shared" si="22"/>
        <v/>
      </c>
      <c r="DG176" s="161" t="str">
        <f t="shared" si="22"/>
        <v/>
      </c>
      <c r="DH176" s="141"/>
      <c r="DI176" s="141"/>
      <c r="DJ176" s="141"/>
      <c r="DK176" s="141"/>
      <c r="DL176" s="141"/>
      <c r="DM176" s="141"/>
      <c r="DN176" s="163" t="str">
        <f t="shared" si="21"/>
        <v/>
      </c>
      <c r="DO176" s="164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0" t="str">
        <f>IF(ISBLANK(スキャン結果!C175),"",スキャン結果!C175)</f>
        <v/>
      </c>
      <c r="D177" s="161" t="str">
        <f>IF(ISBLANK(スキャン結果!D175),"",スキャン結果!D175)</f>
        <v/>
      </c>
      <c r="E177" s="161" t="str">
        <f>IF(ISBLANK(スキャン結果!E175),"",スキャン結果!E175)</f>
        <v/>
      </c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1" t="str">
        <f t="shared" ref="DB177:DB240" si="23">IF(OR($B177="",DB$4=""),"",SUMIF($F$3:$DA$4,DB$4,$F177:$DA177))</f>
        <v/>
      </c>
      <c r="DC177" s="161" t="str">
        <f t="shared" si="22"/>
        <v/>
      </c>
      <c r="DD177" s="161" t="str">
        <f t="shared" si="22"/>
        <v/>
      </c>
      <c r="DE177" s="161" t="str">
        <f t="shared" si="22"/>
        <v/>
      </c>
      <c r="DF177" s="161" t="str">
        <f t="shared" si="22"/>
        <v/>
      </c>
      <c r="DG177" s="161" t="str">
        <f t="shared" si="22"/>
        <v/>
      </c>
      <c r="DH177" s="141"/>
      <c r="DI177" s="141"/>
      <c r="DJ177" s="141"/>
      <c r="DK177" s="141"/>
      <c r="DL177" s="141"/>
      <c r="DM177" s="141"/>
      <c r="DN177" s="163" t="str">
        <f t="shared" si="21"/>
        <v/>
      </c>
      <c r="DO177" s="164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160" t="str">
        <f>IF(ISBLANK(スキャン結果!C176),"",スキャン結果!C176)</f>
        <v/>
      </c>
      <c r="D178" s="161" t="str">
        <f>IF(ISBLANK(スキャン結果!D176),"",スキャン結果!D176)</f>
        <v/>
      </c>
      <c r="E178" s="161" t="str">
        <f>IF(ISBLANK(スキャン結果!E176),"",スキャン結果!E176)</f>
        <v/>
      </c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1" t="str">
        <f t="shared" si="23"/>
        <v/>
      </c>
      <c r="DC178" s="161" t="str">
        <f t="shared" si="22"/>
        <v/>
      </c>
      <c r="DD178" s="161" t="str">
        <f t="shared" si="22"/>
        <v/>
      </c>
      <c r="DE178" s="161" t="str">
        <f t="shared" si="22"/>
        <v/>
      </c>
      <c r="DF178" s="161" t="str">
        <f t="shared" si="22"/>
        <v/>
      </c>
      <c r="DG178" s="161" t="str">
        <f t="shared" si="22"/>
        <v/>
      </c>
      <c r="DH178" s="141"/>
      <c r="DI178" s="141"/>
      <c r="DJ178" s="141"/>
      <c r="DK178" s="141"/>
      <c r="DL178" s="141"/>
      <c r="DM178" s="141"/>
      <c r="DN178" s="163" t="str">
        <f t="shared" si="21"/>
        <v/>
      </c>
      <c r="DO178" s="164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60" t="str">
        <f>IF(ISBLANK(スキャン結果!C177),"",スキャン結果!C177)</f>
        <v/>
      </c>
      <c r="D179" s="161" t="str">
        <f>IF(ISBLANK(スキャン結果!D177),"",スキャン結果!D177)</f>
        <v/>
      </c>
      <c r="E179" s="161" t="str">
        <f>IF(ISBLANK(スキャン結果!E177),"",スキャン結果!E177)</f>
        <v/>
      </c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1" t="str">
        <f t="shared" si="23"/>
        <v/>
      </c>
      <c r="DC179" s="161" t="str">
        <f t="shared" si="22"/>
        <v/>
      </c>
      <c r="DD179" s="161" t="str">
        <f t="shared" si="22"/>
        <v/>
      </c>
      <c r="DE179" s="161" t="str">
        <f t="shared" si="22"/>
        <v/>
      </c>
      <c r="DF179" s="161" t="str">
        <f t="shared" si="22"/>
        <v/>
      </c>
      <c r="DG179" s="161" t="str">
        <f t="shared" si="22"/>
        <v/>
      </c>
      <c r="DH179" s="141"/>
      <c r="DI179" s="141"/>
      <c r="DJ179" s="141"/>
      <c r="DK179" s="141"/>
      <c r="DL179" s="141"/>
      <c r="DM179" s="141"/>
      <c r="DN179" s="163" t="str">
        <f t="shared" si="21"/>
        <v/>
      </c>
      <c r="DO179" s="164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0" t="str">
        <f>IF(ISBLANK(スキャン結果!C178),"",スキャン結果!C178)</f>
        <v/>
      </c>
      <c r="D180" s="161" t="str">
        <f>IF(ISBLANK(スキャン結果!D178),"",スキャン結果!D178)</f>
        <v/>
      </c>
      <c r="E180" s="161" t="str">
        <f>IF(ISBLANK(スキャン結果!E178),"",スキャン結果!E178)</f>
        <v/>
      </c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1" t="str">
        <f t="shared" si="23"/>
        <v/>
      </c>
      <c r="DC180" s="161" t="str">
        <f t="shared" si="22"/>
        <v/>
      </c>
      <c r="DD180" s="161" t="str">
        <f t="shared" si="22"/>
        <v/>
      </c>
      <c r="DE180" s="161" t="str">
        <f t="shared" si="22"/>
        <v/>
      </c>
      <c r="DF180" s="161" t="str">
        <f t="shared" si="22"/>
        <v/>
      </c>
      <c r="DG180" s="161" t="str">
        <f t="shared" si="22"/>
        <v/>
      </c>
      <c r="DH180" s="141"/>
      <c r="DI180" s="141"/>
      <c r="DJ180" s="141"/>
      <c r="DK180" s="141"/>
      <c r="DL180" s="141"/>
      <c r="DM180" s="141"/>
      <c r="DN180" s="163" t="str">
        <f t="shared" si="21"/>
        <v/>
      </c>
      <c r="DO180" s="164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0" t="str">
        <f>IF(ISBLANK(スキャン結果!C179),"",スキャン結果!C179)</f>
        <v/>
      </c>
      <c r="D181" s="161" t="str">
        <f>IF(ISBLANK(スキャン結果!D179),"",スキャン結果!D179)</f>
        <v/>
      </c>
      <c r="E181" s="161" t="str">
        <f>IF(ISBLANK(スキャン結果!E179),"",スキャン結果!E179)</f>
        <v/>
      </c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1" t="str">
        <f t="shared" si="23"/>
        <v/>
      </c>
      <c r="DC181" s="161" t="str">
        <f t="shared" si="22"/>
        <v/>
      </c>
      <c r="DD181" s="161" t="str">
        <f t="shared" si="22"/>
        <v/>
      </c>
      <c r="DE181" s="161" t="str">
        <f t="shared" si="22"/>
        <v/>
      </c>
      <c r="DF181" s="161" t="str">
        <f t="shared" si="22"/>
        <v/>
      </c>
      <c r="DG181" s="161" t="str">
        <f t="shared" si="22"/>
        <v/>
      </c>
      <c r="DH181" s="141"/>
      <c r="DI181" s="141"/>
      <c r="DJ181" s="141"/>
      <c r="DK181" s="141"/>
      <c r="DL181" s="141"/>
      <c r="DM181" s="141"/>
      <c r="DN181" s="163" t="str">
        <f t="shared" si="21"/>
        <v/>
      </c>
      <c r="DO181" s="164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0" t="str">
        <f>IF(ISBLANK(スキャン結果!C180),"",スキャン結果!C180)</f>
        <v/>
      </c>
      <c r="D182" s="161" t="str">
        <f>IF(ISBLANK(スキャン結果!D180),"",スキャン結果!D180)</f>
        <v/>
      </c>
      <c r="E182" s="161" t="str">
        <f>IF(ISBLANK(スキャン結果!E180),"",スキャン結果!E180)</f>
        <v/>
      </c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1" t="str">
        <f t="shared" si="23"/>
        <v/>
      </c>
      <c r="DC182" s="161" t="str">
        <f t="shared" si="22"/>
        <v/>
      </c>
      <c r="DD182" s="161" t="str">
        <f t="shared" si="22"/>
        <v/>
      </c>
      <c r="DE182" s="161" t="str">
        <f t="shared" si="22"/>
        <v/>
      </c>
      <c r="DF182" s="161" t="str">
        <f t="shared" si="22"/>
        <v/>
      </c>
      <c r="DG182" s="161" t="str">
        <f t="shared" si="22"/>
        <v/>
      </c>
      <c r="DH182" s="141"/>
      <c r="DI182" s="141"/>
      <c r="DJ182" s="141"/>
      <c r="DK182" s="141"/>
      <c r="DL182" s="141"/>
      <c r="DM182" s="141"/>
      <c r="DN182" s="163" t="str">
        <f t="shared" si="21"/>
        <v/>
      </c>
      <c r="DO182" s="164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160" t="str">
        <f>IF(ISBLANK(スキャン結果!C181),"",スキャン結果!C181)</f>
        <v/>
      </c>
      <c r="D183" s="161" t="str">
        <f>IF(ISBLANK(スキャン結果!D181),"",スキャン結果!D181)</f>
        <v/>
      </c>
      <c r="E183" s="161" t="str">
        <f>IF(ISBLANK(スキャン結果!E181),"",スキャン結果!E181)</f>
        <v/>
      </c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1" t="str">
        <f t="shared" si="23"/>
        <v/>
      </c>
      <c r="DC183" s="161" t="str">
        <f t="shared" si="22"/>
        <v/>
      </c>
      <c r="DD183" s="161" t="str">
        <f t="shared" si="22"/>
        <v/>
      </c>
      <c r="DE183" s="161" t="str">
        <f t="shared" si="22"/>
        <v/>
      </c>
      <c r="DF183" s="161" t="str">
        <f t="shared" si="22"/>
        <v/>
      </c>
      <c r="DG183" s="161" t="str">
        <f t="shared" si="22"/>
        <v/>
      </c>
      <c r="DH183" s="141"/>
      <c r="DI183" s="141"/>
      <c r="DJ183" s="141"/>
      <c r="DK183" s="141"/>
      <c r="DL183" s="141"/>
      <c r="DM183" s="141"/>
      <c r="DN183" s="163" t="str">
        <f t="shared" si="21"/>
        <v/>
      </c>
      <c r="DO183" s="164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60" t="str">
        <f>IF(ISBLANK(スキャン結果!C182),"",スキャン結果!C182)</f>
        <v/>
      </c>
      <c r="D184" s="161" t="str">
        <f>IF(ISBLANK(スキャン結果!D182),"",スキャン結果!D182)</f>
        <v/>
      </c>
      <c r="E184" s="161" t="str">
        <f>IF(ISBLANK(スキャン結果!E182),"",スキャン結果!E182)</f>
        <v/>
      </c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1" t="str">
        <f t="shared" si="23"/>
        <v/>
      </c>
      <c r="DC184" s="161" t="str">
        <f t="shared" si="22"/>
        <v/>
      </c>
      <c r="DD184" s="161" t="str">
        <f t="shared" si="22"/>
        <v/>
      </c>
      <c r="DE184" s="161" t="str">
        <f t="shared" si="22"/>
        <v/>
      </c>
      <c r="DF184" s="161" t="str">
        <f t="shared" si="22"/>
        <v/>
      </c>
      <c r="DG184" s="161" t="str">
        <f t="shared" si="22"/>
        <v/>
      </c>
      <c r="DH184" s="141"/>
      <c r="DI184" s="141"/>
      <c r="DJ184" s="141"/>
      <c r="DK184" s="141"/>
      <c r="DL184" s="141"/>
      <c r="DM184" s="141"/>
      <c r="DN184" s="163" t="str">
        <f t="shared" si="21"/>
        <v/>
      </c>
      <c r="DO184" s="164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0" t="str">
        <f>IF(ISBLANK(スキャン結果!C183),"",スキャン結果!C183)</f>
        <v/>
      </c>
      <c r="D185" s="161" t="str">
        <f>IF(ISBLANK(スキャン結果!D183),"",スキャン結果!D183)</f>
        <v/>
      </c>
      <c r="E185" s="161" t="str">
        <f>IF(ISBLANK(スキャン結果!E183),"",スキャン結果!E183)</f>
        <v/>
      </c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1" t="str">
        <f t="shared" si="23"/>
        <v/>
      </c>
      <c r="DC185" s="161" t="str">
        <f t="shared" si="22"/>
        <v/>
      </c>
      <c r="DD185" s="161" t="str">
        <f t="shared" si="22"/>
        <v/>
      </c>
      <c r="DE185" s="161" t="str">
        <f t="shared" si="22"/>
        <v/>
      </c>
      <c r="DF185" s="161" t="str">
        <f t="shared" si="22"/>
        <v/>
      </c>
      <c r="DG185" s="161" t="str">
        <f t="shared" si="22"/>
        <v/>
      </c>
      <c r="DH185" s="141"/>
      <c r="DI185" s="141"/>
      <c r="DJ185" s="141"/>
      <c r="DK185" s="141"/>
      <c r="DL185" s="141"/>
      <c r="DM185" s="141"/>
      <c r="DN185" s="163" t="str">
        <f t="shared" si="21"/>
        <v/>
      </c>
      <c r="DO185" s="164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0" t="str">
        <f>IF(ISBLANK(スキャン結果!C184),"",スキャン結果!C184)</f>
        <v/>
      </c>
      <c r="D186" s="161" t="str">
        <f>IF(ISBLANK(スキャン結果!D184),"",スキャン結果!D184)</f>
        <v/>
      </c>
      <c r="E186" s="161" t="str">
        <f>IF(ISBLANK(スキャン結果!E184),"",スキャン結果!E184)</f>
        <v/>
      </c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1" t="str">
        <f t="shared" si="23"/>
        <v/>
      </c>
      <c r="DC186" s="161" t="str">
        <f t="shared" si="22"/>
        <v/>
      </c>
      <c r="DD186" s="161" t="str">
        <f t="shared" si="22"/>
        <v/>
      </c>
      <c r="DE186" s="161" t="str">
        <f t="shared" si="22"/>
        <v/>
      </c>
      <c r="DF186" s="161" t="str">
        <f t="shared" si="22"/>
        <v/>
      </c>
      <c r="DG186" s="161" t="str">
        <f t="shared" si="22"/>
        <v/>
      </c>
      <c r="DH186" s="141"/>
      <c r="DI186" s="141"/>
      <c r="DJ186" s="141"/>
      <c r="DK186" s="141"/>
      <c r="DL186" s="141"/>
      <c r="DM186" s="141"/>
      <c r="DN186" s="163" t="str">
        <f t="shared" si="21"/>
        <v/>
      </c>
      <c r="DO186" s="164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0" t="str">
        <f>IF(ISBLANK(スキャン結果!C185),"",スキャン結果!C185)</f>
        <v/>
      </c>
      <c r="D187" s="161" t="str">
        <f>IF(ISBLANK(スキャン結果!D185),"",スキャン結果!D185)</f>
        <v/>
      </c>
      <c r="E187" s="161" t="str">
        <f>IF(ISBLANK(スキャン結果!E185),"",スキャン結果!E185)</f>
        <v/>
      </c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1" t="str">
        <f t="shared" si="23"/>
        <v/>
      </c>
      <c r="DC187" s="161" t="str">
        <f t="shared" si="22"/>
        <v/>
      </c>
      <c r="DD187" s="161" t="str">
        <f t="shared" si="22"/>
        <v/>
      </c>
      <c r="DE187" s="161" t="str">
        <f t="shared" si="22"/>
        <v/>
      </c>
      <c r="DF187" s="161" t="str">
        <f t="shared" si="22"/>
        <v/>
      </c>
      <c r="DG187" s="161" t="str">
        <f t="shared" si="22"/>
        <v/>
      </c>
      <c r="DH187" s="141"/>
      <c r="DI187" s="141"/>
      <c r="DJ187" s="141"/>
      <c r="DK187" s="141"/>
      <c r="DL187" s="141"/>
      <c r="DM187" s="141"/>
      <c r="DN187" s="163" t="str">
        <f t="shared" si="21"/>
        <v/>
      </c>
      <c r="DO187" s="164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160" t="str">
        <f>IF(ISBLANK(スキャン結果!C186),"",スキャン結果!C186)</f>
        <v/>
      </c>
      <c r="D188" s="161" t="str">
        <f>IF(ISBLANK(スキャン結果!D186),"",スキャン結果!D186)</f>
        <v/>
      </c>
      <c r="E188" s="161" t="str">
        <f>IF(ISBLANK(スキャン結果!E186),"",スキャン結果!E186)</f>
        <v/>
      </c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1" t="str">
        <f t="shared" si="23"/>
        <v/>
      </c>
      <c r="DC188" s="161" t="str">
        <f t="shared" si="22"/>
        <v/>
      </c>
      <c r="DD188" s="161" t="str">
        <f t="shared" si="22"/>
        <v/>
      </c>
      <c r="DE188" s="161" t="str">
        <f t="shared" si="22"/>
        <v/>
      </c>
      <c r="DF188" s="161" t="str">
        <f t="shared" si="22"/>
        <v/>
      </c>
      <c r="DG188" s="161" t="str">
        <f t="shared" si="22"/>
        <v/>
      </c>
      <c r="DH188" s="141"/>
      <c r="DI188" s="141"/>
      <c r="DJ188" s="141"/>
      <c r="DK188" s="141"/>
      <c r="DL188" s="141"/>
      <c r="DM188" s="141"/>
      <c r="DN188" s="163" t="str">
        <f t="shared" si="21"/>
        <v/>
      </c>
      <c r="DO188" s="164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60" t="str">
        <f>IF(ISBLANK(スキャン結果!C187),"",スキャン結果!C187)</f>
        <v/>
      </c>
      <c r="D189" s="161" t="str">
        <f>IF(ISBLANK(スキャン結果!D187),"",スキャン結果!D187)</f>
        <v/>
      </c>
      <c r="E189" s="161" t="str">
        <f>IF(ISBLANK(スキャン結果!E187),"",スキャン結果!E187)</f>
        <v/>
      </c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1" t="str">
        <f t="shared" si="23"/>
        <v/>
      </c>
      <c r="DC189" s="161" t="str">
        <f t="shared" si="22"/>
        <v/>
      </c>
      <c r="DD189" s="161" t="str">
        <f t="shared" si="22"/>
        <v/>
      </c>
      <c r="DE189" s="161" t="str">
        <f t="shared" si="22"/>
        <v/>
      </c>
      <c r="DF189" s="161" t="str">
        <f t="shared" si="22"/>
        <v/>
      </c>
      <c r="DG189" s="161" t="str">
        <f t="shared" si="22"/>
        <v/>
      </c>
      <c r="DH189" s="141"/>
      <c r="DI189" s="141"/>
      <c r="DJ189" s="141"/>
      <c r="DK189" s="141"/>
      <c r="DL189" s="141"/>
      <c r="DM189" s="141"/>
      <c r="DN189" s="163" t="str">
        <f t="shared" si="21"/>
        <v/>
      </c>
      <c r="DO189" s="164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0" t="str">
        <f>IF(ISBLANK(スキャン結果!C188),"",スキャン結果!C188)</f>
        <v/>
      </c>
      <c r="D190" s="161" t="str">
        <f>IF(ISBLANK(スキャン結果!D188),"",スキャン結果!D188)</f>
        <v/>
      </c>
      <c r="E190" s="161" t="str">
        <f>IF(ISBLANK(スキャン結果!E188),"",スキャン結果!E188)</f>
        <v/>
      </c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  <c r="CK190" s="162"/>
      <c r="CL190" s="162"/>
      <c r="CM190" s="162"/>
      <c r="CN190" s="162"/>
      <c r="CO190" s="162"/>
      <c r="CP190" s="162"/>
      <c r="CQ190" s="162"/>
      <c r="CR190" s="162"/>
      <c r="CS190" s="162"/>
      <c r="CT190" s="162"/>
      <c r="CU190" s="162"/>
      <c r="CV190" s="162"/>
      <c r="CW190" s="162"/>
      <c r="CX190" s="162"/>
      <c r="CY190" s="162"/>
      <c r="CZ190" s="162"/>
      <c r="DA190" s="162"/>
      <c r="DB190" s="161" t="str">
        <f t="shared" si="23"/>
        <v/>
      </c>
      <c r="DC190" s="161" t="str">
        <f t="shared" si="22"/>
        <v/>
      </c>
      <c r="DD190" s="161" t="str">
        <f t="shared" si="22"/>
        <v/>
      </c>
      <c r="DE190" s="161" t="str">
        <f t="shared" si="22"/>
        <v/>
      </c>
      <c r="DF190" s="161" t="str">
        <f t="shared" si="22"/>
        <v/>
      </c>
      <c r="DG190" s="161" t="str">
        <f t="shared" si="22"/>
        <v/>
      </c>
      <c r="DH190" s="141"/>
      <c r="DI190" s="141"/>
      <c r="DJ190" s="141"/>
      <c r="DK190" s="141"/>
      <c r="DL190" s="141"/>
      <c r="DM190" s="141"/>
      <c r="DN190" s="163" t="str">
        <f t="shared" si="21"/>
        <v/>
      </c>
      <c r="DO190" s="164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0" t="str">
        <f>IF(ISBLANK(スキャン結果!C189),"",スキャン結果!C189)</f>
        <v/>
      </c>
      <c r="D191" s="161" t="str">
        <f>IF(ISBLANK(スキャン結果!D189),"",スキャン結果!D189)</f>
        <v/>
      </c>
      <c r="E191" s="161" t="str">
        <f>IF(ISBLANK(スキャン結果!E189),"",スキャン結果!E189)</f>
        <v/>
      </c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1" t="str">
        <f t="shared" si="23"/>
        <v/>
      </c>
      <c r="DC191" s="161" t="str">
        <f t="shared" si="22"/>
        <v/>
      </c>
      <c r="DD191" s="161" t="str">
        <f t="shared" si="22"/>
        <v/>
      </c>
      <c r="DE191" s="161" t="str">
        <f t="shared" si="22"/>
        <v/>
      </c>
      <c r="DF191" s="161" t="str">
        <f t="shared" si="22"/>
        <v/>
      </c>
      <c r="DG191" s="161" t="str">
        <f t="shared" si="22"/>
        <v/>
      </c>
      <c r="DH191" s="141"/>
      <c r="DI191" s="141"/>
      <c r="DJ191" s="141"/>
      <c r="DK191" s="141"/>
      <c r="DL191" s="141"/>
      <c r="DM191" s="141"/>
      <c r="DN191" s="163" t="str">
        <f t="shared" si="21"/>
        <v/>
      </c>
      <c r="DO191" s="164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0" t="str">
        <f>IF(ISBLANK(スキャン結果!C190),"",スキャン結果!C190)</f>
        <v/>
      </c>
      <c r="D192" s="161" t="str">
        <f>IF(ISBLANK(スキャン結果!D190),"",スキャン結果!D190)</f>
        <v/>
      </c>
      <c r="E192" s="161" t="str">
        <f>IF(ISBLANK(スキャン結果!E190),"",スキャン結果!E190)</f>
        <v/>
      </c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  <c r="CK192" s="162"/>
      <c r="CL192" s="162"/>
      <c r="CM192" s="162"/>
      <c r="CN192" s="162"/>
      <c r="CO192" s="162"/>
      <c r="CP192" s="162"/>
      <c r="CQ192" s="162"/>
      <c r="CR192" s="162"/>
      <c r="CS192" s="162"/>
      <c r="CT192" s="162"/>
      <c r="CU192" s="162"/>
      <c r="CV192" s="162"/>
      <c r="CW192" s="162"/>
      <c r="CX192" s="162"/>
      <c r="CY192" s="162"/>
      <c r="CZ192" s="162"/>
      <c r="DA192" s="162"/>
      <c r="DB192" s="161" t="str">
        <f t="shared" si="23"/>
        <v/>
      </c>
      <c r="DC192" s="161" t="str">
        <f t="shared" si="22"/>
        <v/>
      </c>
      <c r="DD192" s="161" t="str">
        <f t="shared" si="22"/>
        <v/>
      </c>
      <c r="DE192" s="161" t="str">
        <f t="shared" si="22"/>
        <v/>
      </c>
      <c r="DF192" s="161" t="str">
        <f t="shared" si="22"/>
        <v/>
      </c>
      <c r="DG192" s="161" t="str">
        <f t="shared" si="22"/>
        <v/>
      </c>
      <c r="DH192" s="141"/>
      <c r="DI192" s="141"/>
      <c r="DJ192" s="141"/>
      <c r="DK192" s="141"/>
      <c r="DL192" s="141"/>
      <c r="DM192" s="141"/>
      <c r="DN192" s="163" t="str">
        <f t="shared" si="21"/>
        <v/>
      </c>
      <c r="DO192" s="164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160" t="str">
        <f>IF(ISBLANK(スキャン結果!C191),"",スキャン結果!C191)</f>
        <v/>
      </c>
      <c r="D193" s="161" t="str">
        <f>IF(ISBLANK(スキャン結果!D191),"",スキャン結果!D191)</f>
        <v/>
      </c>
      <c r="E193" s="161" t="str">
        <f>IF(ISBLANK(スキャン結果!E191),"",スキャン結果!E191)</f>
        <v/>
      </c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1" t="str">
        <f t="shared" si="23"/>
        <v/>
      </c>
      <c r="DC193" s="161" t="str">
        <f t="shared" si="22"/>
        <v/>
      </c>
      <c r="DD193" s="161" t="str">
        <f t="shared" si="22"/>
        <v/>
      </c>
      <c r="DE193" s="161" t="str">
        <f t="shared" si="22"/>
        <v/>
      </c>
      <c r="DF193" s="161" t="str">
        <f t="shared" si="22"/>
        <v/>
      </c>
      <c r="DG193" s="161" t="str">
        <f t="shared" si="22"/>
        <v/>
      </c>
      <c r="DH193" s="141"/>
      <c r="DI193" s="141"/>
      <c r="DJ193" s="141"/>
      <c r="DK193" s="141"/>
      <c r="DL193" s="141"/>
      <c r="DM193" s="141"/>
      <c r="DN193" s="163" t="str">
        <f t="shared" si="21"/>
        <v/>
      </c>
      <c r="DO193" s="164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60" t="str">
        <f>IF(ISBLANK(スキャン結果!C192),"",スキャン結果!C192)</f>
        <v/>
      </c>
      <c r="D194" s="161" t="str">
        <f>IF(ISBLANK(スキャン結果!D192),"",スキャン結果!D192)</f>
        <v/>
      </c>
      <c r="E194" s="161" t="str">
        <f>IF(ISBLANK(スキャン結果!E192),"",スキャン結果!E192)</f>
        <v/>
      </c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  <c r="CK194" s="162"/>
      <c r="CL194" s="162"/>
      <c r="CM194" s="162"/>
      <c r="CN194" s="162"/>
      <c r="CO194" s="162"/>
      <c r="CP194" s="162"/>
      <c r="CQ194" s="162"/>
      <c r="CR194" s="162"/>
      <c r="CS194" s="162"/>
      <c r="CT194" s="162"/>
      <c r="CU194" s="162"/>
      <c r="CV194" s="162"/>
      <c r="CW194" s="162"/>
      <c r="CX194" s="162"/>
      <c r="CY194" s="162"/>
      <c r="CZ194" s="162"/>
      <c r="DA194" s="162"/>
      <c r="DB194" s="161" t="str">
        <f t="shared" si="23"/>
        <v/>
      </c>
      <c r="DC194" s="161" t="str">
        <f t="shared" si="22"/>
        <v/>
      </c>
      <c r="DD194" s="161" t="str">
        <f t="shared" si="22"/>
        <v/>
      </c>
      <c r="DE194" s="161" t="str">
        <f t="shared" si="22"/>
        <v/>
      </c>
      <c r="DF194" s="161" t="str">
        <f t="shared" si="22"/>
        <v/>
      </c>
      <c r="DG194" s="161" t="str">
        <f t="shared" si="22"/>
        <v/>
      </c>
      <c r="DH194" s="141"/>
      <c r="DI194" s="141"/>
      <c r="DJ194" s="141"/>
      <c r="DK194" s="141"/>
      <c r="DL194" s="141"/>
      <c r="DM194" s="141"/>
      <c r="DN194" s="163" t="str">
        <f t="shared" si="21"/>
        <v/>
      </c>
      <c r="DO194" s="164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0" t="str">
        <f>IF(ISBLANK(スキャン結果!C193),"",スキャン結果!C193)</f>
        <v/>
      </c>
      <c r="D195" s="161" t="str">
        <f>IF(ISBLANK(スキャン結果!D193),"",スキャン結果!D193)</f>
        <v/>
      </c>
      <c r="E195" s="161" t="str">
        <f>IF(ISBLANK(スキャン結果!E193),"",スキャン結果!E193)</f>
        <v/>
      </c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1" t="str">
        <f t="shared" si="23"/>
        <v/>
      </c>
      <c r="DC195" s="161" t="str">
        <f t="shared" si="22"/>
        <v/>
      </c>
      <c r="DD195" s="161" t="str">
        <f t="shared" si="22"/>
        <v/>
      </c>
      <c r="DE195" s="161" t="str">
        <f t="shared" si="22"/>
        <v/>
      </c>
      <c r="DF195" s="161" t="str">
        <f t="shared" si="22"/>
        <v/>
      </c>
      <c r="DG195" s="161" t="str">
        <f t="shared" si="22"/>
        <v/>
      </c>
      <c r="DH195" s="141"/>
      <c r="DI195" s="141"/>
      <c r="DJ195" s="141"/>
      <c r="DK195" s="141"/>
      <c r="DL195" s="141"/>
      <c r="DM195" s="141"/>
      <c r="DN195" s="163" t="str">
        <f t="shared" si="21"/>
        <v/>
      </c>
      <c r="DO195" s="164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0" t="str">
        <f>IF(ISBLANK(スキャン結果!C194),"",スキャン結果!C194)</f>
        <v/>
      </c>
      <c r="D196" s="161" t="str">
        <f>IF(ISBLANK(スキャン結果!D194),"",スキャン結果!D194)</f>
        <v/>
      </c>
      <c r="E196" s="161" t="str">
        <f>IF(ISBLANK(スキャン結果!E194),"",スキャン結果!E194)</f>
        <v/>
      </c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  <c r="CK196" s="162"/>
      <c r="CL196" s="162"/>
      <c r="CM196" s="162"/>
      <c r="CN196" s="162"/>
      <c r="CO196" s="162"/>
      <c r="CP196" s="162"/>
      <c r="CQ196" s="162"/>
      <c r="CR196" s="162"/>
      <c r="CS196" s="162"/>
      <c r="CT196" s="162"/>
      <c r="CU196" s="162"/>
      <c r="CV196" s="162"/>
      <c r="CW196" s="162"/>
      <c r="CX196" s="162"/>
      <c r="CY196" s="162"/>
      <c r="CZ196" s="162"/>
      <c r="DA196" s="162"/>
      <c r="DB196" s="161" t="str">
        <f t="shared" si="23"/>
        <v/>
      </c>
      <c r="DC196" s="161" t="str">
        <f t="shared" si="22"/>
        <v/>
      </c>
      <c r="DD196" s="161" t="str">
        <f t="shared" si="22"/>
        <v/>
      </c>
      <c r="DE196" s="161" t="str">
        <f t="shared" si="22"/>
        <v/>
      </c>
      <c r="DF196" s="161" t="str">
        <f t="shared" si="22"/>
        <v/>
      </c>
      <c r="DG196" s="161" t="str">
        <f t="shared" si="22"/>
        <v/>
      </c>
      <c r="DH196" s="141"/>
      <c r="DI196" s="141"/>
      <c r="DJ196" s="141"/>
      <c r="DK196" s="141"/>
      <c r="DL196" s="141"/>
      <c r="DM196" s="141"/>
      <c r="DN196" s="163" t="str">
        <f t="shared" si="21"/>
        <v/>
      </c>
      <c r="DO196" s="164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0" t="str">
        <f>IF(ISBLANK(スキャン結果!C195),"",スキャン結果!C195)</f>
        <v/>
      </c>
      <c r="D197" s="161" t="str">
        <f>IF(ISBLANK(スキャン結果!D195),"",スキャン結果!D195)</f>
        <v/>
      </c>
      <c r="E197" s="161" t="str">
        <f>IF(ISBLANK(スキャン結果!E195),"",スキャン結果!E195)</f>
        <v/>
      </c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1" t="str">
        <f t="shared" si="23"/>
        <v/>
      </c>
      <c r="DC197" s="161" t="str">
        <f t="shared" si="22"/>
        <v/>
      </c>
      <c r="DD197" s="161" t="str">
        <f t="shared" si="22"/>
        <v/>
      </c>
      <c r="DE197" s="161" t="str">
        <f t="shared" si="22"/>
        <v/>
      </c>
      <c r="DF197" s="161" t="str">
        <f t="shared" si="22"/>
        <v/>
      </c>
      <c r="DG197" s="161" t="str">
        <f t="shared" si="22"/>
        <v/>
      </c>
      <c r="DH197" s="141"/>
      <c r="DI197" s="141"/>
      <c r="DJ197" s="141"/>
      <c r="DK197" s="141"/>
      <c r="DL197" s="141"/>
      <c r="DM197" s="141"/>
      <c r="DN197" s="163" t="str">
        <f t="shared" si="21"/>
        <v/>
      </c>
      <c r="DO197" s="164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160" t="str">
        <f>IF(ISBLANK(スキャン結果!C196),"",スキャン結果!C196)</f>
        <v/>
      </c>
      <c r="D198" s="161" t="str">
        <f>IF(ISBLANK(スキャン結果!D196),"",スキャン結果!D196)</f>
        <v/>
      </c>
      <c r="E198" s="161" t="str">
        <f>IF(ISBLANK(スキャン結果!E196),"",スキャン結果!E196)</f>
        <v/>
      </c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  <c r="CK198" s="162"/>
      <c r="CL198" s="162"/>
      <c r="CM198" s="162"/>
      <c r="CN198" s="162"/>
      <c r="CO198" s="162"/>
      <c r="CP198" s="162"/>
      <c r="CQ198" s="162"/>
      <c r="CR198" s="162"/>
      <c r="CS198" s="162"/>
      <c r="CT198" s="162"/>
      <c r="CU198" s="162"/>
      <c r="CV198" s="162"/>
      <c r="CW198" s="162"/>
      <c r="CX198" s="162"/>
      <c r="CY198" s="162"/>
      <c r="CZ198" s="162"/>
      <c r="DA198" s="162"/>
      <c r="DB198" s="161" t="str">
        <f t="shared" si="23"/>
        <v/>
      </c>
      <c r="DC198" s="161" t="str">
        <f t="shared" si="22"/>
        <v/>
      </c>
      <c r="DD198" s="161" t="str">
        <f t="shared" si="22"/>
        <v/>
      </c>
      <c r="DE198" s="161" t="str">
        <f t="shared" si="22"/>
        <v/>
      </c>
      <c r="DF198" s="161" t="str">
        <f t="shared" si="22"/>
        <v/>
      </c>
      <c r="DG198" s="161" t="str">
        <f t="shared" si="22"/>
        <v/>
      </c>
      <c r="DH198" s="141"/>
      <c r="DI198" s="141"/>
      <c r="DJ198" s="141"/>
      <c r="DK198" s="141"/>
      <c r="DL198" s="141"/>
      <c r="DM198" s="141"/>
      <c r="DN198" s="163" t="str">
        <f t="shared" si="21"/>
        <v/>
      </c>
      <c r="DO198" s="164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60" t="str">
        <f>IF(ISBLANK(スキャン結果!C197),"",スキャン結果!C197)</f>
        <v/>
      </c>
      <c r="D199" s="161" t="str">
        <f>IF(ISBLANK(スキャン結果!D197),"",スキャン結果!D197)</f>
        <v/>
      </c>
      <c r="E199" s="161" t="str">
        <f>IF(ISBLANK(スキャン結果!E197),"",スキャン結果!E197)</f>
        <v/>
      </c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1" t="str">
        <f t="shared" si="23"/>
        <v/>
      </c>
      <c r="DC199" s="161" t="str">
        <f t="shared" si="22"/>
        <v/>
      </c>
      <c r="DD199" s="161" t="str">
        <f t="shared" si="22"/>
        <v/>
      </c>
      <c r="DE199" s="161" t="str">
        <f t="shared" si="22"/>
        <v/>
      </c>
      <c r="DF199" s="161" t="str">
        <f t="shared" si="22"/>
        <v/>
      </c>
      <c r="DG199" s="161" t="str">
        <f t="shared" si="22"/>
        <v/>
      </c>
      <c r="DH199" s="141"/>
      <c r="DI199" s="141"/>
      <c r="DJ199" s="141"/>
      <c r="DK199" s="141"/>
      <c r="DL199" s="141"/>
      <c r="DM199" s="141"/>
      <c r="DN199" s="163" t="str">
        <f t="shared" si="21"/>
        <v/>
      </c>
      <c r="DO199" s="164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0" t="str">
        <f>IF(ISBLANK(スキャン結果!C198),"",スキャン結果!C198)</f>
        <v/>
      </c>
      <c r="D200" s="161" t="str">
        <f>IF(ISBLANK(スキャン結果!D198),"",スキャン結果!D198)</f>
        <v/>
      </c>
      <c r="E200" s="161" t="str">
        <f>IF(ISBLANK(スキャン結果!E198),"",スキャン結果!E198)</f>
        <v/>
      </c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  <c r="CK200" s="162"/>
      <c r="CL200" s="162"/>
      <c r="CM200" s="162"/>
      <c r="CN200" s="162"/>
      <c r="CO200" s="162"/>
      <c r="CP200" s="162"/>
      <c r="CQ200" s="162"/>
      <c r="CR200" s="162"/>
      <c r="CS200" s="162"/>
      <c r="CT200" s="162"/>
      <c r="CU200" s="162"/>
      <c r="CV200" s="162"/>
      <c r="CW200" s="162"/>
      <c r="CX200" s="162"/>
      <c r="CY200" s="162"/>
      <c r="CZ200" s="162"/>
      <c r="DA200" s="162"/>
      <c r="DB200" s="161" t="str">
        <f t="shared" si="23"/>
        <v/>
      </c>
      <c r="DC200" s="161" t="str">
        <f t="shared" si="22"/>
        <v/>
      </c>
      <c r="DD200" s="161" t="str">
        <f t="shared" si="22"/>
        <v/>
      </c>
      <c r="DE200" s="161" t="str">
        <f t="shared" si="22"/>
        <v/>
      </c>
      <c r="DF200" s="161" t="str">
        <f t="shared" si="22"/>
        <v/>
      </c>
      <c r="DG200" s="161" t="str">
        <f t="shared" si="22"/>
        <v/>
      </c>
      <c r="DH200" s="141"/>
      <c r="DI200" s="141"/>
      <c r="DJ200" s="141"/>
      <c r="DK200" s="141"/>
      <c r="DL200" s="141"/>
      <c r="DM200" s="141"/>
      <c r="DN200" s="163" t="str">
        <f t="shared" si="21"/>
        <v/>
      </c>
      <c r="DO200" s="164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0" t="str">
        <f>IF(ISBLANK(スキャン結果!C199),"",スキャン結果!C199)</f>
        <v/>
      </c>
      <c r="D201" s="161" t="str">
        <f>IF(ISBLANK(スキャン結果!D199),"",スキャン結果!D199)</f>
        <v/>
      </c>
      <c r="E201" s="161" t="str">
        <f>IF(ISBLANK(スキャン結果!E199),"",スキャン結果!E199)</f>
        <v/>
      </c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1" t="str">
        <f t="shared" si="23"/>
        <v/>
      </c>
      <c r="DC201" s="161" t="str">
        <f t="shared" si="22"/>
        <v/>
      </c>
      <c r="DD201" s="161" t="str">
        <f t="shared" si="22"/>
        <v/>
      </c>
      <c r="DE201" s="161" t="str">
        <f t="shared" si="22"/>
        <v/>
      </c>
      <c r="DF201" s="161" t="str">
        <f t="shared" si="22"/>
        <v/>
      </c>
      <c r="DG201" s="161" t="str">
        <f t="shared" si="22"/>
        <v/>
      </c>
      <c r="DH201" s="141"/>
      <c r="DI201" s="141"/>
      <c r="DJ201" s="141"/>
      <c r="DK201" s="141"/>
      <c r="DL201" s="141"/>
      <c r="DM201" s="141"/>
      <c r="DN201" s="163" t="str">
        <f t="shared" si="21"/>
        <v/>
      </c>
      <c r="DO201" s="164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0" t="str">
        <f>IF(ISBLANK(スキャン結果!C200),"",スキャン結果!C200)</f>
        <v/>
      </c>
      <c r="D202" s="161" t="str">
        <f>IF(ISBLANK(スキャン結果!D200),"",スキャン結果!D200)</f>
        <v/>
      </c>
      <c r="E202" s="161" t="str">
        <f>IF(ISBLANK(スキャン結果!E200),"",スキャン結果!E200)</f>
        <v/>
      </c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  <c r="CK202" s="162"/>
      <c r="CL202" s="162"/>
      <c r="CM202" s="162"/>
      <c r="CN202" s="162"/>
      <c r="CO202" s="162"/>
      <c r="CP202" s="162"/>
      <c r="CQ202" s="162"/>
      <c r="CR202" s="162"/>
      <c r="CS202" s="162"/>
      <c r="CT202" s="162"/>
      <c r="CU202" s="162"/>
      <c r="CV202" s="162"/>
      <c r="CW202" s="162"/>
      <c r="CX202" s="162"/>
      <c r="CY202" s="162"/>
      <c r="CZ202" s="162"/>
      <c r="DA202" s="162"/>
      <c r="DB202" s="161" t="str">
        <f t="shared" si="23"/>
        <v/>
      </c>
      <c r="DC202" s="161" t="str">
        <f t="shared" si="22"/>
        <v/>
      </c>
      <c r="DD202" s="161" t="str">
        <f t="shared" si="22"/>
        <v/>
      </c>
      <c r="DE202" s="161" t="str">
        <f t="shared" si="22"/>
        <v/>
      </c>
      <c r="DF202" s="161" t="str">
        <f t="shared" si="22"/>
        <v/>
      </c>
      <c r="DG202" s="161" t="str">
        <f t="shared" si="22"/>
        <v/>
      </c>
      <c r="DH202" s="141"/>
      <c r="DI202" s="141"/>
      <c r="DJ202" s="141"/>
      <c r="DK202" s="141"/>
      <c r="DL202" s="141"/>
      <c r="DM202" s="141"/>
      <c r="DN202" s="163" t="str">
        <f t="shared" si="21"/>
        <v/>
      </c>
      <c r="DO202" s="164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160" t="str">
        <f>IF(ISBLANK(スキャン結果!C201),"",スキャン結果!C201)</f>
        <v/>
      </c>
      <c r="D203" s="161" t="str">
        <f>IF(ISBLANK(スキャン結果!D201),"",スキャン結果!D201)</f>
        <v/>
      </c>
      <c r="E203" s="161" t="str">
        <f>IF(ISBLANK(スキャン結果!E201),"",スキャン結果!E201)</f>
        <v/>
      </c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1" t="str">
        <f t="shared" si="23"/>
        <v/>
      </c>
      <c r="DC203" s="161" t="str">
        <f t="shared" si="22"/>
        <v/>
      </c>
      <c r="DD203" s="161" t="str">
        <f t="shared" si="22"/>
        <v/>
      </c>
      <c r="DE203" s="161" t="str">
        <f t="shared" si="22"/>
        <v/>
      </c>
      <c r="DF203" s="161" t="str">
        <f t="shared" si="22"/>
        <v/>
      </c>
      <c r="DG203" s="161" t="str">
        <f t="shared" si="22"/>
        <v/>
      </c>
      <c r="DH203" s="141"/>
      <c r="DI203" s="141"/>
      <c r="DJ203" s="141"/>
      <c r="DK203" s="141"/>
      <c r="DL203" s="141"/>
      <c r="DM203" s="141"/>
      <c r="DN203" s="163" t="str">
        <f t="shared" si="21"/>
        <v/>
      </c>
      <c r="DO203" s="164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60" t="str">
        <f>IF(ISBLANK(スキャン結果!C202),"",スキャン結果!C202)</f>
        <v/>
      </c>
      <c r="D204" s="161" t="str">
        <f>IF(ISBLANK(スキャン結果!D202),"",スキャン結果!D202)</f>
        <v/>
      </c>
      <c r="E204" s="161" t="str">
        <f>IF(ISBLANK(スキャン結果!E202),"",スキャン結果!E202)</f>
        <v/>
      </c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  <c r="CK204" s="162"/>
      <c r="CL204" s="162"/>
      <c r="CM204" s="162"/>
      <c r="CN204" s="162"/>
      <c r="CO204" s="162"/>
      <c r="CP204" s="162"/>
      <c r="CQ204" s="162"/>
      <c r="CR204" s="162"/>
      <c r="CS204" s="162"/>
      <c r="CT204" s="162"/>
      <c r="CU204" s="162"/>
      <c r="CV204" s="162"/>
      <c r="CW204" s="162"/>
      <c r="CX204" s="162"/>
      <c r="CY204" s="162"/>
      <c r="CZ204" s="162"/>
      <c r="DA204" s="162"/>
      <c r="DB204" s="161" t="str">
        <f t="shared" si="23"/>
        <v/>
      </c>
      <c r="DC204" s="161" t="str">
        <f t="shared" si="22"/>
        <v/>
      </c>
      <c r="DD204" s="161" t="str">
        <f t="shared" si="22"/>
        <v/>
      </c>
      <c r="DE204" s="161" t="str">
        <f t="shared" si="22"/>
        <v/>
      </c>
      <c r="DF204" s="161" t="str">
        <f t="shared" si="22"/>
        <v/>
      </c>
      <c r="DG204" s="161" t="str">
        <f t="shared" si="22"/>
        <v/>
      </c>
      <c r="DH204" s="141"/>
      <c r="DI204" s="141"/>
      <c r="DJ204" s="141"/>
      <c r="DK204" s="141"/>
      <c r="DL204" s="141"/>
      <c r="DM204" s="141"/>
      <c r="DN204" s="163" t="str">
        <f t="shared" si="21"/>
        <v/>
      </c>
      <c r="DO204" s="164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0" t="str">
        <f>IF(ISBLANK(スキャン結果!C203),"",スキャン結果!C203)</f>
        <v/>
      </c>
      <c r="D205" s="161" t="str">
        <f>IF(ISBLANK(スキャン結果!D203),"",スキャン結果!D203)</f>
        <v/>
      </c>
      <c r="E205" s="161" t="str">
        <f>IF(ISBLANK(スキャン結果!E203),"",スキャン結果!E203)</f>
        <v/>
      </c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1" t="str">
        <f t="shared" si="23"/>
        <v/>
      </c>
      <c r="DC205" s="161" t="str">
        <f t="shared" si="22"/>
        <v/>
      </c>
      <c r="DD205" s="161" t="str">
        <f t="shared" si="22"/>
        <v/>
      </c>
      <c r="DE205" s="161" t="str">
        <f t="shared" si="22"/>
        <v/>
      </c>
      <c r="DF205" s="161" t="str">
        <f t="shared" si="22"/>
        <v/>
      </c>
      <c r="DG205" s="161" t="str">
        <f t="shared" si="22"/>
        <v/>
      </c>
      <c r="DH205" s="141"/>
      <c r="DI205" s="141"/>
      <c r="DJ205" s="141"/>
      <c r="DK205" s="141"/>
      <c r="DL205" s="141"/>
      <c r="DM205" s="141"/>
      <c r="DN205" s="163" t="str">
        <f t="shared" si="21"/>
        <v/>
      </c>
      <c r="DO205" s="164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0" t="str">
        <f>IF(ISBLANK(スキャン結果!C204),"",スキャン結果!C204)</f>
        <v/>
      </c>
      <c r="D206" s="161" t="str">
        <f>IF(ISBLANK(スキャン結果!D204),"",スキャン結果!D204)</f>
        <v/>
      </c>
      <c r="E206" s="161" t="str">
        <f>IF(ISBLANK(スキャン結果!E204),"",スキャン結果!E204)</f>
        <v/>
      </c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  <c r="CK206" s="162"/>
      <c r="CL206" s="162"/>
      <c r="CM206" s="162"/>
      <c r="CN206" s="162"/>
      <c r="CO206" s="162"/>
      <c r="CP206" s="162"/>
      <c r="CQ206" s="162"/>
      <c r="CR206" s="162"/>
      <c r="CS206" s="162"/>
      <c r="CT206" s="162"/>
      <c r="CU206" s="162"/>
      <c r="CV206" s="162"/>
      <c r="CW206" s="162"/>
      <c r="CX206" s="162"/>
      <c r="CY206" s="162"/>
      <c r="CZ206" s="162"/>
      <c r="DA206" s="162"/>
      <c r="DB206" s="161" t="str">
        <f t="shared" si="23"/>
        <v/>
      </c>
      <c r="DC206" s="161" t="str">
        <f t="shared" si="22"/>
        <v/>
      </c>
      <c r="DD206" s="161" t="str">
        <f t="shared" si="22"/>
        <v/>
      </c>
      <c r="DE206" s="161" t="str">
        <f t="shared" si="22"/>
        <v/>
      </c>
      <c r="DF206" s="161" t="str">
        <f t="shared" si="22"/>
        <v/>
      </c>
      <c r="DG206" s="161" t="str">
        <f t="shared" si="22"/>
        <v/>
      </c>
      <c r="DH206" s="141"/>
      <c r="DI206" s="141"/>
      <c r="DJ206" s="141"/>
      <c r="DK206" s="141"/>
      <c r="DL206" s="141"/>
      <c r="DM206" s="141"/>
      <c r="DN206" s="163" t="str">
        <f t="shared" si="21"/>
        <v/>
      </c>
      <c r="DO206" s="164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0" t="str">
        <f>IF(ISBLANK(スキャン結果!C205),"",スキャン結果!C205)</f>
        <v/>
      </c>
      <c r="D207" s="161" t="str">
        <f>IF(ISBLANK(スキャン結果!D205),"",スキャン結果!D205)</f>
        <v/>
      </c>
      <c r="E207" s="161" t="str">
        <f>IF(ISBLANK(スキャン結果!E205),"",スキャン結果!E205)</f>
        <v/>
      </c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1" t="str">
        <f t="shared" si="23"/>
        <v/>
      </c>
      <c r="DC207" s="161" t="str">
        <f t="shared" si="22"/>
        <v/>
      </c>
      <c r="DD207" s="161" t="str">
        <f t="shared" si="22"/>
        <v/>
      </c>
      <c r="DE207" s="161" t="str">
        <f t="shared" si="22"/>
        <v/>
      </c>
      <c r="DF207" s="161" t="str">
        <f t="shared" si="22"/>
        <v/>
      </c>
      <c r="DG207" s="161" t="str">
        <f t="shared" si="22"/>
        <v/>
      </c>
      <c r="DH207" s="141"/>
      <c r="DI207" s="141"/>
      <c r="DJ207" s="141"/>
      <c r="DK207" s="141"/>
      <c r="DL207" s="141"/>
      <c r="DM207" s="141"/>
      <c r="DN207" s="163" t="str">
        <f t="shared" ref="DN207:DN270" si="26">IF(A207="","",SUM(F207:DA207,DH207:DM207))</f>
        <v/>
      </c>
      <c r="DO207" s="164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160" t="str">
        <f>IF(ISBLANK(スキャン結果!C206),"",スキャン結果!C206)</f>
        <v/>
      </c>
      <c r="D208" s="161" t="str">
        <f>IF(ISBLANK(スキャン結果!D206),"",スキャン結果!D206)</f>
        <v/>
      </c>
      <c r="E208" s="161" t="str">
        <f>IF(ISBLANK(スキャン結果!E206),"",スキャン結果!E206)</f>
        <v/>
      </c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  <c r="CK208" s="162"/>
      <c r="CL208" s="162"/>
      <c r="CM208" s="162"/>
      <c r="CN208" s="162"/>
      <c r="CO208" s="162"/>
      <c r="CP208" s="162"/>
      <c r="CQ208" s="162"/>
      <c r="CR208" s="162"/>
      <c r="CS208" s="162"/>
      <c r="CT208" s="162"/>
      <c r="CU208" s="162"/>
      <c r="CV208" s="162"/>
      <c r="CW208" s="162"/>
      <c r="CX208" s="162"/>
      <c r="CY208" s="162"/>
      <c r="CZ208" s="162"/>
      <c r="DA208" s="162"/>
      <c r="DB208" s="161" t="str">
        <f t="shared" si="23"/>
        <v/>
      </c>
      <c r="DC208" s="161" t="str">
        <f t="shared" si="22"/>
        <v/>
      </c>
      <c r="DD208" s="161" t="str">
        <f t="shared" si="22"/>
        <v/>
      </c>
      <c r="DE208" s="161" t="str">
        <f t="shared" si="22"/>
        <v/>
      </c>
      <c r="DF208" s="161" t="str">
        <f t="shared" si="22"/>
        <v/>
      </c>
      <c r="DG208" s="161" t="str">
        <f t="shared" si="22"/>
        <v/>
      </c>
      <c r="DH208" s="141"/>
      <c r="DI208" s="141"/>
      <c r="DJ208" s="141"/>
      <c r="DK208" s="141"/>
      <c r="DL208" s="141"/>
      <c r="DM208" s="141"/>
      <c r="DN208" s="163" t="str">
        <f t="shared" si="26"/>
        <v/>
      </c>
      <c r="DO208" s="164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60" t="str">
        <f>IF(ISBLANK(スキャン結果!C207),"",スキャン結果!C207)</f>
        <v/>
      </c>
      <c r="D209" s="161" t="str">
        <f>IF(ISBLANK(スキャン結果!D207),"",スキャン結果!D207)</f>
        <v/>
      </c>
      <c r="E209" s="161" t="str">
        <f>IF(ISBLANK(スキャン結果!E207),"",スキャン結果!E207)</f>
        <v/>
      </c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1" t="str">
        <f t="shared" si="23"/>
        <v/>
      </c>
      <c r="DC209" s="161" t="str">
        <f t="shared" si="22"/>
        <v/>
      </c>
      <c r="DD209" s="161" t="str">
        <f t="shared" si="22"/>
        <v/>
      </c>
      <c r="DE209" s="161" t="str">
        <f t="shared" si="22"/>
        <v/>
      </c>
      <c r="DF209" s="161" t="str">
        <f t="shared" si="22"/>
        <v/>
      </c>
      <c r="DG209" s="161" t="str">
        <f t="shared" si="22"/>
        <v/>
      </c>
      <c r="DH209" s="141"/>
      <c r="DI209" s="141"/>
      <c r="DJ209" s="141"/>
      <c r="DK209" s="141"/>
      <c r="DL209" s="141"/>
      <c r="DM209" s="141"/>
      <c r="DN209" s="163" t="str">
        <f t="shared" si="26"/>
        <v/>
      </c>
      <c r="DO209" s="164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0" t="str">
        <f>IF(ISBLANK(スキャン結果!C208),"",スキャン結果!C208)</f>
        <v/>
      </c>
      <c r="D210" s="161" t="str">
        <f>IF(ISBLANK(スキャン結果!D208),"",スキャン結果!D208)</f>
        <v/>
      </c>
      <c r="E210" s="161" t="str">
        <f>IF(ISBLANK(スキャン結果!E208),"",スキャン結果!E208)</f>
        <v/>
      </c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  <c r="CK210" s="162"/>
      <c r="CL210" s="162"/>
      <c r="CM210" s="162"/>
      <c r="CN210" s="162"/>
      <c r="CO210" s="162"/>
      <c r="CP210" s="162"/>
      <c r="CQ210" s="162"/>
      <c r="CR210" s="162"/>
      <c r="CS210" s="162"/>
      <c r="CT210" s="162"/>
      <c r="CU210" s="162"/>
      <c r="CV210" s="162"/>
      <c r="CW210" s="162"/>
      <c r="CX210" s="162"/>
      <c r="CY210" s="162"/>
      <c r="CZ210" s="162"/>
      <c r="DA210" s="162"/>
      <c r="DB210" s="161" t="str">
        <f t="shared" si="23"/>
        <v/>
      </c>
      <c r="DC210" s="161" t="str">
        <f t="shared" si="22"/>
        <v/>
      </c>
      <c r="DD210" s="161" t="str">
        <f t="shared" si="22"/>
        <v/>
      </c>
      <c r="DE210" s="161" t="str">
        <f t="shared" si="22"/>
        <v/>
      </c>
      <c r="DF210" s="161" t="str">
        <f t="shared" si="22"/>
        <v/>
      </c>
      <c r="DG210" s="161" t="str">
        <f t="shared" si="22"/>
        <v/>
      </c>
      <c r="DH210" s="141"/>
      <c r="DI210" s="141"/>
      <c r="DJ210" s="141"/>
      <c r="DK210" s="141"/>
      <c r="DL210" s="141"/>
      <c r="DM210" s="141"/>
      <c r="DN210" s="163" t="str">
        <f t="shared" si="26"/>
        <v/>
      </c>
      <c r="DO210" s="164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0" t="str">
        <f>IF(ISBLANK(スキャン結果!C209),"",スキャン結果!C209)</f>
        <v/>
      </c>
      <c r="D211" s="161" t="str">
        <f>IF(ISBLANK(スキャン結果!D209),"",スキャン結果!D209)</f>
        <v/>
      </c>
      <c r="E211" s="161" t="str">
        <f>IF(ISBLANK(スキャン結果!E209),"",スキャン結果!E209)</f>
        <v/>
      </c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1" t="str">
        <f t="shared" si="23"/>
        <v/>
      </c>
      <c r="DC211" s="161" t="str">
        <f t="shared" si="22"/>
        <v/>
      </c>
      <c r="DD211" s="161" t="str">
        <f t="shared" si="22"/>
        <v/>
      </c>
      <c r="DE211" s="161" t="str">
        <f t="shared" si="22"/>
        <v/>
      </c>
      <c r="DF211" s="161" t="str">
        <f t="shared" si="22"/>
        <v/>
      </c>
      <c r="DG211" s="161" t="str">
        <f t="shared" si="22"/>
        <v/>
      </c>
      <c r="DH211" s="141"/>
      <c r="DI211" s="141"/>
      <c r="DJ211" s="141"/>
      <c r="DK211" s="141"/>
      <c r="DL211" s="141"/>
      <c r="DM211" s="141"/>
      <c r="DN211" s="163" t="str">
        <f t="shared" si="26"/>
        <v/>
      </c>
      <c r="DO211" s="164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0" t="str">
        <f>IF(ISBLANK(スキャン結果!C210),"",スキャン結果!C210)</f>
        <v/>
      </c>
      <c r="D212" s="161" t="str">
        <f>IF(ISBLANK(スキャン結果!D210),"",スキャン結果!D210)</f>
        <v/>
      </c>
      <c r="E212" s="161" t="str">
        <f>IF(ISBLANK(スキャン結果!E210),"",スキャン結果!E210)</f>
        <v/>
      </c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  <c r="CK212" s="162"/>
      <c r="CL212" s="162"/>
      <c r="CM212" s="162"/>
      <c r="CN212" s="162"/>
      <c r="CO212" s="162"/>
      <c r="CP212" s="162"/>
      <c r="CQ212" s="162"/>
      <c r="CR212" s="162"/>
      <c r="CS212" s="162"/>
      <c r="CT212" s="162"/>
      <c r="CU212" s="162"/>
      <c r="CV212" s="162"/>
      <c r="CW212" s="162"/>
      <c r="CX212" s="162"/>
      <c r="CY212" s="162"/>
      <c r="CZ212" s="162"/>
      <c r="DA212" s="162"/>
      <c r="DB212" s="161" t="str">
        <f t="shared" si="23"/>
        <v/>
      </c>
      <c r="DC212" s="161" t="str">
        <f t="shared" si="22"/>
        <v/>
      </c>
      <c r="DD212" s="161" t="str">
        <f t="shared" si="22"/>
        <v/>
      </c>
      <c r="DE212" s="161" t="str">
        <f t="shared" si="22"/>
        <v/>
      </c>
      <c r="DF212" s="161" t="str">
        <f t="shared" si="22"/>
        <v/>
      </c>
      <c r="DG212" s="161" t="str">
        <f t="shared" si="22"/>
        <v/>
      </c>
      <c r="DH212" s="141"/>
      <c r="DI212" s="141"/>
      <c r="DJ212" s="141"/>
      <c r="DK212" s="141"/>
      <c r="DL212" s="141"/>
      <c r="DM212" s="141"/>
      <c r="DN212" s="163" t="str">
        <f t="shared" si="26"/>
        <v/>
      </c>
      <c r="DO212" s="164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160" t="str">
        <f>IF(ISBLANK(スキャン結果!C211),"",スキャン結果!C211)</f>
        <v/>
      </c>
      <c r="D213" s="161" t="str">
        <f>IF(ISBLANK(スキャン結果!D211),"",スキャン結果!D211)</f>
        <v/>
      </c>
      <c r="E213" s="161" t="str">
        <f>IF(ISBLANK(スキャン結果!E211),"",スキャン結果!E211)</f>
        <v/>
      </c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1" t="str">
        <f t="shared" si="23"/>
        <v/>
      </c>
      <c r="DC213" s="161" t="str">
        <f t="shared" si="22"/>
        <v/>
      </c>
      <c r="DD213" s="161" t="str">
        <f t="shared" si="22"/>
        <v/>
      </c>
      <c r="DE213" s="161" t="str">
        <f t="shared" si="22"/>
        <v/>
      </c>
      <c r="DF213" s="161" t="str">
        <f t="shared" si="22"/>
        <v/>
      </c>
      <c r="DG213" s="161" t="str">
        <f t="shared" si="22"/>
        <v/>
      </c>
      <c r="DH213" s="141"/>
      <c r="DI213" s="141"/>
      <c r="DJ213" s="141"/>
      <c r="DK213" s="141"/>
      <c r="DL213" s="141"/>
      <c r="DM213" s="141"/>
      <c r="DN213" s="163" t="str">
        <f t="shared" si="26"/>
        <v/>
      </c>
      <c r="DO213" s="164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60" t="str">
        <f>IF(ISBLANK(スキャン結果!C212),"",スキャン結果!C212)</f>
        <v/>
      </c>
      <c r="D214" s="161" t="str">
        <f>IF(ISBLANK(スキャン結果!D212),"",スキャン結果!D212)</f>
        <v/>
      </c>
      <c r="E214" s="161" t="str">
        <f>IF(ISBLANK(スキャン結果!E212),"",スキャン結果!E212)</f>
        <v/>
      </c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  <c r="CK214" s="162"/>
      <c r="CL214" s="162"/>
      <c r="CM214" s="162"/>
      <c r="CN214" s="162"/>
      <c r="CO214" s="162"/>
      <c r="CP214" s="162"/>
      <c r="CQ214" s="162"/>
      <c r="CR214" s="162"/>
      <c r="CS214" s="162"/>
      <c r="CT214" s="162"/>
      <c r="CU214" s="162"/>
      <c r="CV214" s="162"/>
      <c r="CW214" s="162"/>
      <c r="CX214" s="162"/>
      <c r="CY214" s="162"/>
      <c r="CZ214" s="162"/>
      <c r="DA214" s="162"/>
      <c r="DB214" s="161" t="str">
        <f t="shared" si="23"/>
        <v/>
      </c>
      <c r="DC214" s="161" t="str">
        <f t="shared" si="22"/>
        <v/>
      </c>
      <c r="DD214" s="161" t="str">
        <f t="shared" si="22"/>
        <v/>
      </c>
      <c r="DE214" s="161" t="str">
        <f t="shared" ref="DC214:DG265" si="27">IF(OR($B214="",DE$4=""),"",SUMIF($F$3:$DA$4,DE$4,$F214:$DA214))</f>
        <v/>
      </c>
      <c r="DF214" s="161" t="str">
        <f t="shared" si="27"/>
        <v/>
      </c>
      <c r="DG214" s="161" t="str">
        <f t="shared" si="27"/>
        <v/>
      </c>
      <c r="DH214" s="141"/>
      <c r="DI214" s="141"/>
      <c r="DJ214" s="141"/>
      <c r="DK214" s="141"/>
      <c r="DL214" s="141"/>
      <c r="DM214" s="141"/>
      <c r="DN214" s="163" t="str">
        <f t="shared" si="26"/>
        <v/>
      </c>
      <c r="DO214" s="164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0" t="str">
        <f>IF(ISBLANK(スキャン結果!C213),"",スキャン結果!C213)</f>
        <v/>
      </c>
      <c r="D215" s="161" t="str">
        <f>IF(ISBLANK(スキャン結果!D213),"",スキャン結果!D213)</f>
        <v/>
      </c>
      <c r="E215" s="161" t="str">
        <f>IF(ISBLANK(スキャン結果!E213),"",スキャン結果!E213)</f>
        <v/>
      </c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1" t="str">
        <f t="shared" si="23"/>
        <v/>
      </c>
      <c r="DC215" s="161" t="str">
        <f t="shared" si="27"/>
        <v/>
      </c>
      <c r="DD215" s="161" t="str">
        <f t="shared" si="27"/>
        <v/>
      </c>
      <c r="DE215" s="161" t="str">
        <f t="shared" si="27"/>
        <v/>
      </c>
      <c r="DF215" s="161" t="str">
        <f t="shared" si="27"/>
        <v/>
      </c>
      <c r="DG215" s="161" t="str">
        <f t="shared" si="27"/>
        <v/>
      </c>
      <c r="DH215" s="141"/>
      <c r="DI215" s="141"/>
      <c r="DJ215" s="141"/>
      <c r="DK215" s="141"/>
      <c r="DL215" s="141"/>
      <c r="DM215" s="141"/>
      <c r="DN215" s="163" t="str">
        <f t="shared" si="26"/>
        <v/>
      </c>
      <c r="DO215" s="164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0" t="str">
        <f>IF(ISBLANK(スキャン結果!C214),"",スキャン結果!C214)</f>
        <v/>
      </c>
      <c r="D216" s="161" t="str">
        <f>IF(ISBLANK(スキャン結果!D214),"",スキャン結果!D214)</f>
        <v/>
      </c>
      <c r="E216" s="161" t="str">
        <f>IF(ISBLANK(スキャン結果!E214),"",スキャン結果!E214)</f>
        <v/>
      </c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  <c r="CK216" s="162"/>
      <c r="CL216" s="162"/>
      <c r="CM216" s="162"/>
      <c r="CN216" s="162"/>
      <c r="CO216" s="162"/>
      <c r="CP216" s="162"/>
      <c r="CQ216" s="162"/>
      <c r="CR216" s="162"/>
      <c r="CS216" s="162"/>
      <c r="CT216" s="162"/>
      <c r="CU216" s="162"/>
      <c r="CV216" s="162"/>
      <c r="CW216" s="162"/>
      <c r="CX216" s="162"/>
      <c r="CY216" s="162"/>
      <c r="CZ216" s="162"/>
      <c r="DA216" s="162"/>
      <c r="DB216" s="161" t="str">
        <f t="shared" si="23"/>
        <v/>
      </c>
      <c r="DC216" s="161" t="str">
        <f t="shared" si="27"/>
        <v/>
      </c>
      <c r="DD216" s="161" t="str">
        <f t="shared" si="27"/>
        <v/>
      </c>
      <c r="DE216" s="161" t="str">
        <f t="shared" si="27"/>
        <v/>
      </c>
      <c r="DF216" s="161" t="str">
        <f t="shared" si="27"/>
        <v/>
      </c>
      <c r="DG216" s="161" t="str">
        <f t="shared" si="27"/>
        <v/>
      </c>
      <c r="DH216" s="141"/>
      <c r="DI216" s="141"/>
      <c r="DJ216" s="141"/>
      <c r="DK216" s="141"/>
      <c r="DL216" s="141"/>
      <c r="DM216" s="141"/>
      <c r="DN216" s="163" t="str">
        <f t="shared" si="26"/>
        <v/>
      </c>
      <c r="DO216" s="164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0" t="str">
        <f>IF(ISBLANK(スキャン結果!C215),"",スキャン結果!C215)</f>
        <v/>
      </c>
      <c r="D217" s="161" t="str">
        <f>IF(ISBLANK(スキャン結果!D215),"",スキャン結果!D215)</f>
        <v/>
      </c>
      <c r="E217" s="161" t="str">
        <f>IF(ISBLANK(スキャン結果!E215),"",スキャン結果!E215)</f>
        <v/>
      </c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1" t="str">
        <f t="shared" si="23"/>
        <v/>
      </c>
      <c r="DC217" s="161" t="str">
        <f t="shared" si="27"/>
        <v/>
      </c>
      <c r="DD217" s="161" t="str">
        <f t="shared" si="27"/>
        <v/>
      </c>
      <c r="DE217" s="161" t="str">
        <f t="shared" si="27"/>
        <v/>
      </c>
      <c r="DF217" s="161" t="str">
        <f t="shared" si="27"/>
        <v/>
      </c>
      <c r="DG217" s="161" t="str">
        <f t="shared" si="27"/>
        <v/>
      </c>
      <c r="DH217" s="141"/>
      <c r="DI217" s="141"/>
      <c r="DJ217" s="141"/>
      <c r="DK217" s="141"/>
      <c r="DL217" s="141"/>
      <c r="DM217" s="141"/>
      <c r="DN217" s="163" t="str">
        <f t="shared" si="26"/>
        <v/>
      </c>
      <c r="DO217" s="164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160" t="str">
        <f>IF(ISBLANK(スキャン結果!C216),"",スキャン結果!C216)</f>
        <v/>
      </c>
      <c r="D218" s="161" t="str">
        <f>IF(ISBLANK(スキャン結果!D216),"",スキャン結果!D216)</f>
        <v/>
      </c>
      <c r="E218" s="161" t="str">
        <f>IF(ISBLANK(スキャン結果!E216),"",スキャン結果!E216)</f>
        <v/>
      </c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  <c r="CK218" s="162"/>
      <c r="CL218" s="162"/>
      <c r="CM218" s="162"/>
      <c r="CN218" s="162"/>
      <c r="CO218" s="162"/>
      <c r="CP218" s="162"/>
      <c r="CQ218" s="162"/>
      <c r="CR218" s="162"/>
      <c r="CS218" s="162"/>
      <c r="CT218" s="162"/>
      <c r="CU218" s="162"/>
      <c r="CV218" s="162"/>
      <c r="CW218" s="162"/>
      <c r="CX218" s="162"/>
      <c r="CY218" s="162"/>
      <c r="CZ218" s="162"/>
      <c r="DA218" s="162"/>
      <c r="DB218" s="161" t="str">
        <f t="shared" si="23"/>
        <v/>
      </c>
      <c r="DC218" s="161" t="str">
        <f t="shared" si="27"/>
        <v/>
      </c>
      <c r="DD218" s="161" t="str">
        <f t="shared" si="27"/>
        <v/>
      </c>
      <c r="DE218" s="161" t="str">
        <f t="shared" si="27"/>
        <v/>
      </c>
      <c r="DF218" s="161" t="str">
        <f t="shared" si="27"/>
        <v/>
      </c>
      <c r="DG218" s="161" t="str">
        <f t="shared" si="27"/>
        <v/>
      </c>
      <c r="DH218" s="141"/>
      <c r="DI218" s="141"/>
      <c r="DJ218" s="141"/>
      <c r="DK218" s="141"/>
      <c r="DL218" s="141"/>
      <c r="DM218" s="141"/>
      <c r="DN218" s="163" t="str">
        <f t="shared" si="26"/>
        <v/>
      </c>
      <c r="DO218" s="164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60" t="str">
        <f>IF(ISBLANK(スキャン結果!C217),"",スキャン結果!C217)</f>
        <v/>
      </c>
      <c r="D219" s="161" t="str">
        <f>IF(ISBLANK(スキャン結果!D217),"",スキャン結果!D217)</f>
        <v/>
      </c>
      <c r="E219" s="161" t="str">
        <f>IF(ISBLANK(スキャン結果!E217),"",スキャン結果!E217)</f>
        <v/>
      </c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1" t="str">
        <f t="shared" si="23"/>
        <v/>
      </c>
      <c r="DC219" s="161" t="str">
        <f t="shared" si="27"/>
        <v/>
      </c>
      <c r="DD219" s="161" t="str">
        <f t="shared" si="27"/>
        <v/>
      </c>
      <c r="DE219" s="161" t="str">
        <f t="shared" si="27"/>
        <v/>
      </c>
      <c r="DF219" s="161" t="str">
        <f t="shared" si="27"/>
        <v/>
      </c>
      <c r="DG219" s="161" t="str">
        <f t="shared" si="27"/>
        <v/>
      </c>
      <c r="DH219" s="141"/>
      <c r="DI219" s="141"/>
      <c r="DJ219" s="141"/>
      <c r="DK219" s="141"/>
      <c r="DL219" s="141"/>
      <c r="DM219" s="141"/>
      <c r="DN219" s="163" t="str">
        <f t="shared" si="26"/>
        <v/>
      </c>
      <c r="DO219" s="164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0" t="str">
        <f>IF(ISBLANK(スキャン結果!C218),"",スキャン結果!C218)</f>
        <v/>
      </c>
      <c r="D220" s="161" t="str">
        <f>IF(ISBLANK(スキャン結果!D218),"",スキャン結果!D218)</f>
        <v/>
      </c>
      <c r="E220" s="161" t="str">
        <f>IF(ISBLANK(スキャン結果!E218),"",スキャン結果!E218)</f>
        <v/>
      </c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  <c r="CK220" s="162"/>
      <c r="CL220" s="162"/>
      <c r="CM220" s="162"/>
      <c r="CN220" s="162"/>
      <c r="CO220" s="162"/>
      <c r="CP220" s="162"/>
      <c r="CQ220" s="162"/>
      <c r="CR220" s="162"/>
      <c r="CS220" s="162"/>
      <c r="CT220" s="162"/>
      <c r="CU220" s="162"/>
      <c r="CV220" s="162"/>
      <c r="CW220" s="162"/>
      <c r="CX220" s="162"/>
      <c r="CY220" s="162"/>
      <c r="CZ220" s="162"/>
      <c r="DA220" s="162"/>
      <c r="DB220" s="161" t="str">
        <f t="shared" si="23"/>
        <v/>
      </c>
      <c r="DC220" s="161" t="str">
        <f t="shared" si="27"/>
        <v/>
      </c>
      <c r="DD220" s="161" t="str">
        <f t="shared" si="27"/>
        <v/>
      </c>
      <c r="DE220" s="161" t="str">
        <f t="shared" si="27"/>
        <v/>
      </c>
      <c r="DF220" s="161" t="str">
        <f t="shared" si="27"/>
        <v/>
      </c>
      <c r="DG220" s="161" t="str">
        <f t="shared" si="27"/>
        <v/>
      </c>
      <c r="DH220" s="141"/>
      <c r="DI220" s="141"/>
      <c r="DJ220" s="141"/>
      <c r="DK220" s="141"/>
      <c r="DL220" s="141"/>
      <c r="DM220" s="141"/>
      <c r="DN220" s="163" t="str">
        <f t="shared" si="26"/>
        <v/>
      </c>
      <c r="DO220" s="164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0" t="str">
        <f>IF(ISBLANK(スキャン結果!C219),"",スキャン結果!C219)</f>
        <v/>
      </c>
      <c r="D221" s="161" t="str">
        <f>IF(ISBLANK(スキャン結果!D219),"",スキャン結果!D219)</f>
        <v/>
      </c>
      <c r="E221" s="161" t="str">
        <f>IF(ISBLANK(スキャン結果!E219),"",スキャン結果!E219)</f>
        <v/>
      </c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1" t="str">
        <f t="shared" si="23"/>
        <v/>
      </c>
      <c r="DC221" s="161" t="str">
        <f t="shared" si="27"/>
        <v/>
      </c>
      <c r="DD221" s="161" t="str">
        <f t="shared" si="27"/>
        <v/>
      </c>
      <c r="DE221" s="161" t="str">
        <f t="shared" si="27"/>
        <v/>
      </c>
      <c r="DF221" s="161" t="str">
        <f t="shared" si="27"/>
        <v/>
      </c>
      <c r="DG221" s="161" t="str">
        <f t="shared" si="27"/>
        <v/>
      </c>
      <c r="DH221" s="141"/>
      <c r="DI221" s="141"/>
      <c r="DJ221" s="141"/>
      <c r="DK221" s="141"/>
      <c r="DL221" s="141"/>
      <c r="DM221" s="141"/>
      <c r="DN221" s="163" t="str">
        <f t="shared" si="26"/>
        <v/>
      </c>
      <c r="DO221" s="164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0" t="str">
        <f>IF(ISBLANK(スキャン結果!C220),"",スキャン結果!C220)</f>
        <v/>
      </c>
      <c r="D222" s="161" t="str">
        <f>IF(ISBLANK(スキャン結果!D220),"",スキャン結果!D220)</f>
        <v/>
      </c>
      <c r="E222" s="161" t="str">
        <f>IF(ISBLANK(スキャン結果!E220),"",スキャン結果!E220)</f>
        <v/>
      </c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  <c r="CK222" s="162"/>
      <c r="CL222" s="162"/>
      <c r="CM222" s="162"/>
      <c r="CN222" s="162"/>
      <c r="CO222" s="162"/>
      <c r="CP222" s="162"/>
      <c r="CQ222" s="162"/>
      <c r="CR222" s="162"/>
      <c r="CS222" s="162"/>
      <c r="CT222" s="162"/>
      <c r="CU222" s="162"/>
      <c r="CV222" s="162"/>
      <c r="CW222" s="162"/>
      <c r="CX222" s="162"/>
      <c r="CY222" s="162"/>
      <c r="CZ222" s="162"/>
      <c r="DA222" s="162"/>
      <c r="DB222" s="161" t="str">
        <f t="shared" si="23"/>
        <v/>
      </c>
      <c r="DC222" s="161" t="str">
        <f t="shared" si="27"/>
        <v/>
      </c>
      <c r="DD222" s="161" t="str">
        <f t="shared" si="27"/>
        <v/>
      </c>
      <c r="DE222" s="161" t="str">
        <f t="shared" si="27"/>
        <v/>
      </c>
      <c r="DF222" s="161" t="str">
        <f t="shared" si="27"/>
        <v/>
      </c>
      <c r="DG222" s="161" t="str">
        <f t="shared" si="27"/>
        <v/>
      </c>
      <c r="DH222" s="141"/>
      <c r="DI222" s="141"/>
      <c r="DJ222" s="141"/>
      <c r="DK222" s="141"/>
      <c r="DL222" s="141"/>
      <c r="DM222" s="141"/>
      <c r="DN222" s="163" t="str">
        <f t="shared" si="26"/>
        <v/>
      </c>
      <c r="DO222" s="164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160" t="str">
        <f>IF(ISBLANK(スキャン結果!C221),"",スキャン結果!C221)</f>
        <v/>
      </c>
      <c r="D223" s="161" t="str">
        <f>IF(ISBLANK(スキャン結果!D221),"",スキャン結果!D221)</f>
        <v/>
      </c>
      <c r="E223" s="161" t="str">
        <f>IF(ISBLANK(スキャン結果!E221),"",スキャン結果!E221)</f>
        <v/>
      </c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1" t="str">
        <f t="shared" si="23"/>
        <v/>
      </c>
      <c r="DC223" s="161" t="str">
        <f t="shared" si="27"/>
        <v/>
      </c>
      <c r="DD223" s="161" t="str">
        <f t="shared" si="27"/>
        <v/>
      </c>
      <c r="DE223" s="161" t="str">
        <f t="shared" si="27"/>
        <v/>
      </c>
      <c r="DF223" s="161" t="str">
        <f t="shared" si="27"/>
        <v/>
      </c>
      <c r="DG223" s="161" t="str">
        <f t="shared" si="27"/>
        <v/>
      </c>
      <c r="DH223" s="141"/>
      <c r="DI223" s="141"/>
      <c r="DJ223" s="141"/>
      <c r="DK223" s="141"/>
      <c r="DL223" s="141"/>
      <c r="DM223" s="141"/>
      <c r="DN223" s="163" t="str">
        <f t="shared" si="26"/>
        <v/>
      </c>
      <c r="DO223" s="164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60" t="str">
        <f>IF(ISBLANK(スキャン結果!C222),"",スキャン結果!C222)</f>
        <v/>
      </c>
      <c r="D224" s="161" t="str">
        <f>IF(ISBLANK(スキャン結果!D222),"",スキャン結果!D222)</f>
        <v/>
      </c>
      <c r="E224" s="161" t="str">
        <f>IF(ISBLANK(スキャン結果!E222),"",スキャン結果!E222)</f>
        <v/>
      </c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  <c r="CK224" s="162"/>
      <c r="CL224" s="162"/>
      <c r="CM224" s="162"/>
      <c r="CN224" s="162"/>
      <c r="CO224" s="162"/>
      <c r="CP224" s="162"/>
      <c r="CQ224" s="162"/>
      <c r="CR224" s="162"/>
      <c r="CS224" s="162"/>
      <c r="CT224" s="162"/>
      <c r="CU224" s="162"/>
      <c r="CV224" s="162"/>
      <c r="CW224" s="162"/>
      <c r="CX224" s="162"/>
      <c r="CY224" s="162"/>
      <c r="CZ224" s="162"/>
      <c r="DA224" s="162"/>
      <c r="DB224" s="161" t="str">
        <f t="shared" si="23"/>
        <v/>
      </c>
      <c r="DC224" s="161" t="str">
        <f t="shared" si="27"/>
        <v/>
      </c>
      <c r="DD224" s="161" t="str">
        <f t="shared" si="27"/>
        <v/>
      </c>
      <c r="DE224" s="161" t="str">
        <f t="shared" si="27"/>
        <v/>
      </c>
      <c r="DF224" s="161" t="str">
        <f t="shared" si="27"/>
        <v/>
      </c>
      <c r="DG224" s="161" t="str">
        <f t="shared" si="27"/>
        <v/>
      </c>
      <c r="DH224" s="141"/>
      <c r="DI224" s="141"/>
      <c r="DJ224" s="141"/>
      <c r="DK224" s="141"/>
      <c r="DL224" s="141"/>
      <c r="DM224" s="141"/>
      <c r="DN224" s="163" t="str">
        <f t="shared" si="26"/>
        <v/>
      </c>
      <c r="DO224" s="164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0" t="str">
        <f>IF(ISBLANK(スキャン結果!C223),"",スキャン結果!C223)</f>
        <v/>
      </c>
      <c r="D225" s="161" t="str">
        <f>IF(ISBLANK(スキャン結果!D223),"",スキャン結果!D223)</f>
        <v/>
      </c>
      <c r="E225" s="161" t="str">
        <f>IF(ISBLANK(スキャン結果!E223),"",スキャン結果!E223)</f>
        <v/>
      </c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1" t="str">
        <f t="shared" si="23"/>
        <v/>
      </c>
      <c r="DC225" s="161" t="str">
        <f t="shared" si="27"/>
        <v/>
      </c>
      <c r="DD225" s="161" t="str">
        <f t="shared" si="27"/>
        <v/>
      </c>
      <c r="DE225" s="161" t="str">
        <f t="shared" si="27"/>
        <v/>
      </c>
      <c r="DF225" s="161" t="str">
        <f t="shared" si="27"/>
        <v/>
      </c>
      <c r="DG225" s="161" t="str">
        <f t="shared" si="27"/>
        <v/>
      </c>
      <c r="DH225" s="141"/>
      <c r="DI225" s="141"/>
      <c r="DJ225" s="141"/>
      <c r="DK225" s="141"/>
      <c r="DL225" s="141"/>
      <c r="DM225" s="141"/>
      <c r="DN225" s="163" t="str">
        <f t="shared" si="26"/>
        <v/>
      </c>
      <c r="DO225" s="164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0" t="str">
        <f>IF(ISBLANK(スキャン結果!C224),"",スキャン結果!C224)</f>
        <v/>
      </c>
      <c r="D226" s="161" t="str">
        <f>IF(ISBLANK(スキャン結果!D224),"",スキャン結果!D224)</f>
        <v/>
      </c>
      <c r="E226" s="161" t="str">
        <f>IF(ISBLANK(スキャン結果!E224),"",スキャン結果!E224)</f>
        <v/>
      </c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  <c r="CK226" s="162"/>
      <c r="CL226" s="162"/>
      <c r="CM226" s="162"/>
      <c r="CN226" s="162"/>
      <c r="CO226" s="162"/>
      <c r="CP226" s="162"/>
      <c r="CQ226" s="162"/>
      <c r="CR226" s="162"/>
      <c r="CS226" s="162"/>
      <c r="CT226" s="162"/>
      <c r="CU226" s="162"/>
      <c r="CV226" s="162"/>
      <c r="CW226" s="162"/>
      <c r="CX226" s="162"/>
      <c r="CY226" s="162"/>
      <c r="CZ226" s="162"/>
      <c r="DA226" s="162"/>
      <c r="DB226" s="161" t="str">
        <f t="shared" si="23"/>
        <v/>
      </c>
      <c r="DC226" s="161" t="str">
        <f t="shared" si="27"/>
        <v/>
      </c>
      <c r="DD226" s="161" t="str">
        <f t="shared" si="27"/>
        <v/>
      </c>
      <c r="DE226" s="161" t="str">
        <f t="shared" si="27"/>
        <v/>
      </c>
      <c r="DF226" s="161" t="str">
        <f t="shared" si="27"/>
        <v/>
      </c>
      <c r="DG226" s="161" t="str">
        <f t="shared" si="27"/>
        <v/>
      </c>
      <c r="DH226" s="141"/>
      <c r="DI226" s="141"/>
      <c r="DJ226" s="141"/>
      <c r="DK226" s="141"/>
      <c r="DL226" s="141"/>
      <c r="DM226" s="141"/>
      <c r="DN226" s="163" t="str">
        <f t="shared" si="26"/>
        <v/>
      </c>
      <c r="DO226" s="164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0" t="str">
        <f>IF(ISBLANK(スキャン結果!C225),"",スキャン結果!C225)</f>
        <v/>
      </c>
      <c r="D227" s="161" t="str">
        <f>IF(ISBLANK(スキャン結果!D225),"",スキャン結果!D225)</f>
        <v/>
      </c>
      <c r="E227" s="161" t="str">
        <f>IF(ISBLANK(スキャン結果!E225),"",スキャン結果!E225)</f>
        <v/>
      </c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1" t="str">
        <f t="shared" si="23"/>
        <v/>
      </c>
      <c r="DC227" s="161" t="str">
        <f t="shared" si="27"/>
        <v/>
      </c>
      <c r="DD227" s="161" t="str">
        <f t="shared" si="27"/>
        <v/>
      </c>
      <c r="DE227" s="161" t="str">
        <f t="shared" si="27"/>
        <v/>
      </c>
      <c r="DF227" s="161" t="str">
        <f t="shared" si="27"/>
        <v/>
      </c>
      <c r="DG227" s="161" t="str">
        <f t="shared" si="27"/>
        <v/>
      </c>
      <c r="DH227" s="141"/>
      <c r="DI227" s="141"/>
      <c r="DJ227" s="141"/>
      <c r="DK227" s="141"/>
      <c r="DL227" s="141"/>
      <c r="DM227" s="141"/>
      <c r="DN227" s="163" t="str">
        <f t="shared" si="26"/>
        <v/>
      </c>
      <c r="DO227" s="164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160" t="str">
        <f>IF(ISBLANK(スキャン結果!C226),"",スキャン結果!C226)</f>
        <v/>
      </c>
      <c r="D228" s="161" t="str">
        <f>IF(ISBLANK(スキャン結果!D226),"",スキャン結果!D226)</f>
        <v/>
      </c>
      <c r="E228" s="161" t="str">
        <f>IF(ISBLANK(スキャン結果!E226),"",スキャン結果!E226)</f>
        <v/>
      </c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  <c r="CK228" s="162"/>
      <c r="CL228" s="162"/>
      <c r="CM228" s="162"/>
      <c r="CN228" s="162"/>
      <c r="CO228" s="162"/>
      <c r="CP228" s="162"/>
      <c r="CQ228" s="162"/>
      <c r="CR228" s="162"/>
      <c r="CS228" s="162"/>
      <c r="CT228" s="162"/>
      <c r="CU228" s="162"/>
      <c r="CV228" s="162"/>
      <c r="CW228" s="162"/>
      <c r="CX228" s="162"/>
      <c r="CY228" s="162"/>
      <c r="CZ228" s="162"/>
      <c r="DA228" s="162"/>
      <c r="DB228" s="161" t="str">
        <f t="shared" si="23"/>
        <v/>
      </c>
      <c r="DC228" s="161" t="str">
        <f t="shared" si="27"/>
        <v/>
      </c>
      <c r="DD228" s="161" t="str">
        <f t="shared" si="27"/>
        <v/>
      </c>
      <c r="DE228" s="161" t="str">
        <f t="shared" si="27"/>
        <v/>
      </c>
      <c r="DF228" s="161" t="str">
        <f t="shared" si="27"/>
        <v/>
      </c>
      <c r="DG228" s="161" t="str">
        <f t="shared" si="27"/>
        <v/>
      </c>
      <c r="DH228" s="141"/>
      <c r="DI228" s="141"/>
      <c r="DJ228" s="141"/>
      <c r="DK228" s="141"/>
      <c r="DL228" s="141"/>
      <c r="DM228" s="141"/>
      <c r="DN228" s="163" t="str">
        <f t="shared" si="26"/>
        <v/>
      </c>
      <c r="DO228" s="164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60" t="str">
        <f>IF(ISBLANK(スキャン結果!C227),"",スキャン結果!C227)</f>
        <v/>
      </c>
      <c r="D229" s="161" t="str">
        <f>IF(ISBLANK(スキャン結果!D227),"",スキャン結果!D227)</f>
        <v/>
      </c>
      <c r="E229" s="161" t="str">
        <f>IF(ISBLANK(スキャン結果!E227),"",スキャン結果!E227)</f>
        <v/>
      </c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1" t="str">
        <f t="shared" si="23"/>
        <v/>
      </c>
      <c r="DC229" s="161" t="str">
        <f t="shared" si="27"/>
        <v/>
      </c>
      <c r="DD229" s="161" t="str">
        <f t="shared" si="27"/>
        <v/>
      </c>
      <c r="DE229" s="161" t="str">
        <f t="shared" si="27"/>
        <v/>
      </c>
      <c r="DF229" s="161" t="str">
        <f t="shared" si="27"/>
        <v/>
      </c>
      <c r="DG229" s="161" t="str">
        <f t="shared" si="27"/>
        <v/>
      </c>
      <c r="DH229" s="141"/>
      <c r="DI229" s="141"/>
      <c r="DJ229" s="141"/>
      <c r="DK229" s="141"/>
      <c r="DL229" s="141"/>
      <c r="DM229" s="141"/>
      <c r="DN229" s="163" t="str">
        <f t="shared" si="26"/>
        <v/>
      </c>
      <c r="DO229" s="164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0" t="str">
        <f>IF(ISBLANK(スキャン結果!C228),"",スキャン結果!C228)</f>
        <v/>
      </c>
      <c r="D230" s="161" t="str">
        <f>IF(ISBLANK(スキャン結果!D228),"",スキャン結果!D228)</f>
        <v/>
      </c>
      <c r="E230" s="161" t="str">
        <f>IF(ISBLANK(スキャン結果!E228),"",スキャン結果!E228)</f>
        <v/>
      </c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  <c r="CK230" s="162"/>
      <c r="CL230" s="162"/>
      <c r="CM230" s="162"/>
      <c r="CN230" s="162"/>
      <c r="CO230" s="162"/>
      <c r="CP230" s="162"/>
      <c r="CQ230" s="162"/>
      <c r="CR230" s="162"/>
      <c r="CS230" s="162"/>
      <c r="CT230" s="162"/>
      <c r="CU230" s="162"/>
      <c r="CV230" s="162"/>
      <c r="CW230" s="162"/>
      <c r="CX230" s="162"/>
      <c r="CY230" s="162"/>
      <c r="CZ230" s="162"/>
      <c r="DA230" s="162"/>
      <c r="DB230" s="161" t="str">
        <f t="shared" si="23"/>
        <v/>
      </c>
      <c r="DC230" s="161" t="str">
        <f t="shared" si="27"/>
        <v/>
      </c>
      <c r="DD230" s="161" t="str">
        <f t="shared" si="27"/>
        <v/>
      </c>
      <c r="DE230" s="161" t="str">
        <f t="shared" si="27"/>
        <v/>
      </c>
      <c r="DF230" s="161" t="str">
        <f t="shared" si="27"/>
        <v/>
      </c>
      <c r="DG230" s="161" t="str">
        <f t="shared" si="27"/>
        <v/>
      </c>
      <c r="DH230" s="141"/>
      <c r="DI230" s="141"/>
      <c r="DJ230" s="141"/>
      <c r="DK230" s="141"/>
      <c r="DL230" s="141"/>
      <c r="DM230" s="141"/>
      <c r="DN230" s="163" t="str">
        <f t="shared" si="26"/>
        <v/>
      </c>
      <c r="DO230" s="164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0" t="str">
        <f>IF(ISBLANK(スキャン結果!C229),"",スキャン結果!C229)</f>
        <v/>
      </c>
      <c r="D231" s="161" t="str">
        <f>IF(ISBLANK(スキャン結果!D229),"",スキャン結果!D229)</f>
        <v/>
      </c>
      <c r="E231" s="161" t="str">
        <f>IF(ISBLANK(スキャン結果!E229),"",スキャン結果!E229)</f>
        <v/>
      </c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1" t="str">
        <f t="shared" si="23"/>
        <v/>
      </c>
      <c r="DC231" s="161" t="str">
        <f t="shared" si="27"/>
        <v/>
      </c>
      <c r="DD231" s="161" t="str">
        <f t="shared" si="27"/>
        <v/>
      </c>
      <c r="DE231" s="161" t="str">
        <f t="shared" si="27"/>
        <v/>
      </c>
      <c r="DF231" s="161" t="str">
        <f t="shared" si="27"/>
        <v/>
      </c>
      <c r="DG231" s="161" t="str">
        <f t="shared" si="27"/>
        <v/>
      </c>
      <c r="DH231" s="141"/>
      <c r="DI231" s="141"/>
      <c r="DJ231" s="141"/>
      <c r="DK231" s="141"/>
      <c r="DL231" s="141"/>
      <c r="DM231" s="141"/>
      <c r="DN231" s="163" t="str">
        <f t="shared" si="26"/>
        <v/>
      </c>
      <c r="DO231" s="164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0" t="str">
        <f>IF(ISBLANK(スキャン結果!C230),"",スキャン結果!C230)</f>
        <v/>
      </c>
      <c r="D232" s="161" t="str">
        <f>IF(ISBLANK(スキャン結果!D230),"",スキャン結果!D230)</f>
        <v/>
      </c>
      <c r="E232" s="161" t="str">
        <f>IF(ISBLANK(スキャン結果!E230),"",スキャン結果!E230)</f>
        <v/>
      </c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  <c r="CK232" s="162"/>
      <c r="CL232" s="162"/>
      <c r="CM232" s="162"/>
      <c r="CN232" s="162"/>
      <c r="CO232" s="162"/>
      <c r="CP232" s="162"/>
      <c r="CQ232" s="162"/>
      <c r="CR232" s="162"/>
      <c r="CS232" s="162"/>
      <c r="CT232" s="162"/>
      <c r="CU232" s="162"/>
      <c r="CV232" s="162"/>
      <c r="CW232" s="162"/>
      <c r="CX232" s="162"/>
      <c r="CY232" s="162"/>
      <c r="CZ232" s="162"/>
      <c r="DA232" s="162"/>
      <c r="DB232" s="161" t="str">
        <f t="shared" si="23"/>
        <v/>
      </c>
      <c r="DC232" s="161" t="str">
        <f t="shared" si="27"/>
        <v/>
      </c>
      <c r="DD232" s="161" t="str">
        <f t="shared" si="27"/>
        <v/>
      </c>
      <c r="DE232" s="161" t="str">
        <f t="shared" si="27"/>
        <v/>
      </c>
      <c r="DF232" s="161" t="str">
        <f t="shared" si="27"/>
        <v/>
      </c>
      <c r="DG232" s="161" t="str">
        <f t="shared" si="27"/>
        <v/>
      </c>
      <c r="DH232" s="141"/>
      <c r="DI232" s="141"/>
      <c r="DJ232" s="141"/>
      <c r="DK232" s="141"/>
      <c r="DL232" s="141"/>
      <c r="DM232" s="141"/>
      <c r="DN232" s="163" t="str">
        <f t="shared" si="26"/>
        <v/>
      </c>
      <c r="DO232" s="164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160" t="str">
        <f>IF(ISBLANK(スキャン結果!C231),"",スキャン結果!C231)</f>
        <v/>
      </c>
      <c r="D233" s="161" t="str">
        <f>IF(ISBLANK(スキャン結果!D231),"",スキャン結果!D231)</f>
        <v/>
      </c>
      <c r="E233" s="161" t="str">
        <f>IF(ISBLANK(スキャン結果!E231),"",スキャン結果!E231)</f>
        <v/>
      </c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1" t="str">
        <f t="shared" si="23"/>
        <v/>
      </c>
      <c r="DC233" s="161" t="str">
        <f t="shared" si="27"/>
        <v/>
      </c>
      <c r="DD233" s="161" t="str">
        <f t="shared" si="27"/>
        <v/>
      </c>
      <c r="DE233" s="161" t="str">
        <f t="shared" si="27"/>
        <v/>
      </c>
      <c r="DF233" s="161" t="str">
        <f t="shared" si="27"/>
        <v/>
      </c>
      <c r="DG233" s="161" t="str">
        <f t="shared" si="27"/>
        <v/>
      </c>
      <c r="DH233" s="141"/>
      <c r="DI233" s="141"/>
      <c r="DJ233" s="141"/>
      <c r="DK233" s="141"/>
      <c r="DL233" s="141"/>
      <c r="DM233" s="141"/>
      <c r="DN233" s="163" t="str">
        <f t="shared" si="26"/>
        <v/>
      </c>
      <c r="DO233" s="164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60" t="str">
        <f>IF(ISBLANK(スキャン結果!C232),"",スキャン結果!C232)</f>
        <v/>
      </c>
      <c r="D234" s="161" t="str">
        <f>IF(ISBLANK(スキャン結果!D232),"",スキャン結果!D232)</f>
        <v/>
      </c>
      <c r="E234" s="161" t="str">
        <f>IF(ISBLANK(スキャン結果!E232),"",スキャン結果!E232)</f>
        <v/>
      </c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  <c r="CK234" s="162"/>
      <c r="CL234" s="162"/>
      <c r="CM234" s="162"/>
      <c r="CN234" s="162"/>
      <c r="CO234" s="162"/>
      <c r="CP234" s="162"/>
      <c r="CQ234" s="162"/>
      <c r="CR234" s="162"/>
      <c r="CS234" s="162"/>
      <c r="CT234" s="162"/>
      <c r="CU234" s="162"/>
      <c r="CV234" s="162"/>
      <c r="CW234" s="162"/>
      <c r="CX234" s="162"/>
      <c r="CY234" s="162"/>
      <c r="CZ234" s="162"/>
      <c r="DA234" s="162"/>
      <c r="DB234" s="161" t="str">
        <f t="shared" si="23"/>
        <v/>
      </c>
      <c r="DC234" s="161" t="str">
        <f t="shared" si="27"/>
        <v/>
      </c>
      <c r="DD234" s="161" t="str">
        <f t="shared" si="27"/>
        <v/>
      </c>
      <c r="DE234" s="161" t="str">
        <f t="shared" si="27"/>
        <v/>
      </c>
      <c r="DF234" s="161" t="str">
        <f t="shared" si="27"/>
        <v/>
      </c>
      <c r="DG234" s="161" t="str">
        <f t="shared" si="27"/>
        <v/>
      </c>
      <c r="DH234" s="141"/>
      <c r="DI234" s="141"/>
      <c r="DJ234" s="141"/>
      <c r="DK234" s="141"/>
      <c r="DL234" s="141"/>
      <c r="DM234" s="141"/>
      <c r="DN234" s="163" t="str">
        <f t="shared" si="26"/>
        <v/>
      </c>
      <c r="DO234" s="164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0" t="str">
        <f>IF(ISBLANK(スキャン結果!C233),"",スキャン結果!C233)</f>
        <v/>
      </c>
      <c r="D235" s="161" t="str">
        <f>IF(ISBLANK(スキャン結果!D233),"",スキャン結果!D233)</f>
        <v/>
      </c>
      <c r="E235" s="161" t="str">
        <f>IF(ISBLANK(スキャン結果!E233),"",スキャン結果!E233)</f>
        <v/>
      </c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1" t="str">
        <f t="shared" si="23"/>
        <v/>
      </c>
      <c r="DC235" s="161" t="str">
        <f t="shared" si="27"/>
        <v/>
      </c>
      <c r="DD235" s="161" t="str">
        <f t="shared" si="27"/>
        <v/>
      </c>
      <c r="DE235" s="161" t="str">
        <f t="shared" si="27"/>
        <v/>
      </c>
      <c r="DF235" s="161" t="str">
        <f t="shared" si="27"/>
        <v/>
      </c>
      <c r="DG235" s="161" t="str">
        <f t="shared" si="27"/>
        <v/>
      </c>
      <c r="DH235" s="141"/>
      <c r="DI235" s="141"/>
      <c r="DJ235" s="141"/>
      <c r="DK235" s="141"/>
      <c r="DL235" s="141"/>
      <c r="DM235" s="141"/>
      <c r="DN235" s="163" t="str">
        <f t="shared" si="26"/>
        <v/>
      </c>
      <c r="DO235" s="164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0" t="str">
        <f>IF(ISBLANK(スキャン結果!C234),"",スキャン結果!C234)</f>
        <v/>
      </c>
      <c r="D236" s="161" t="str">
        <f>IF(ISBLANK(スキャン結果!D234),"",スキャン結果!D234)</f>
        <v/>
      </c>
      <c r="E236" s="161" t="str">
        <f>IF(ISBLANK(スキャン結果!E234),"",スキャン結果!E234)</f>
        <v/>
      </c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  <c r="CK236" s="162"/>
      <c r="CL236" s="162"/>
      <c r="CM236" s="162"/>
      <c r="CN236" s="162"/>
      <c r="CO236" s="162"/>
      <c r="CP236" s="162"/>
      <c r="CQ236" s="162"/>
      <c r="CR236" s="162"/>
      <c r="CS236" s="162"/>
      <c r="CT236" s="162"/>
      <c r="CU236" s="162"/>
      <c r="CV236" s="162"/>
      <c r="CW236" s="162"/>
      <c r="CX236" s="162"/>
      <c r="CY236" s="162"/>
      <c r="CZ236" s="162"/>
      <c r="DA236" s="162"/>
      <c r="DB236" s="161" t="str">
        <f t="shared" si="23"/>
        <v/>
      </c>
      <c r="DC236" s="161" t="str">
        <f t="shared" si="27"/>
        <v/>
      </c>
      <c r="DD236" s="161" t="str">
        <f t="shared" si="27"/>
        <v/>
      </c>
      <c r="DE236" s="161" t="str">
        <f t="shared" si="27"/>
        <v/>
      </c>
      <c r="DF236" s="161" t="str">
        <f t="shared" si="27"/>
        <v/>
      </c>
      <c r="DG236" s="161" t="str">
        <f t="shared" si="27"/>
        <v/>
      </c>
      <c r="DH236" s="141"/>
      <c r="DI236" s="141"/>
      <c r="DJ236" s="141"/>
      <c r="DK236" s="141"/>
      <c r="DL236" s="141"/>
      <c r="DM236" s="141"/>
      <c r="DN236" s="163" t="str">
        <f t="shared" si="26"/>
        <v/>
      </c>
      <c r="DO236" s="164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0" t="str">
        <f>IF(ISBLANK(スキャン結果!C235),"",スキャン結果!C235)</f>
        <v/>
      </c>
      <c r="D237" s="161" t="str">
        <f>IF(ISBLANK(スキャン結果!D235),"",スキャン結果!D235)</f>
        <v/>
      </c>
      <c r="E237" s="161" t="str">
        <f>IF(ISBLANK(スキャン結果!E235),"",スキャン結果!E235)</f>
        <v/>
      </c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1" t="str">
        <f t="shared" si="23"/>
        <v/>
      </c>
      <c r="DC237" s="161" t="str">
        <f t="shared" si="27"/>
        <v/>
      </c>
      <c r="DD237" s="161" t="str">
        <f t="shared" si="27"/>
        <v/>
      </c>
      <c r="DE237" s="161" t="str">
        <f t="shared" si="27"/>
        <v/>
      </c>
      <c r="DF237" s="161" t="str">
        <f t="shared" si="27"/>
        <v/>
      </c>
      <c r="DG237" s="161" t="str">
        <f t="shared" si="27"/>
        <v/>
      </c>
      <c r="DH237" s="141"/>
      <c r="DI237" s="141"/>
      <c r="DJ237" s="141"/>
      <c r="DK237" s="141"/>
      <c r="DL237" s="141"/>
      <c r="DM237" s="141"/>
      <c r="DN237" s="163" t="str">
        <f t="shared" si="26"/>
        <v/>
      </c>
      <c r="DO237" s="164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160" t="str">
        <f>IF(ISBLANK(スキャン結果!C236),"",スキャン結果!C236)</f>
        <v/>
      </c>
      <c r="D238" s="161" t="str">
        <f>IF(ISBLANK(スキャン結果!D236),"",スキャン結果!D236)</f>
        <v/>
      </c>
      <c r="E238" s="161" t="str">
        <f>IF(ISBLANK(スキャン結果!E236),"",スキャン結果!E236)</f>
        <v/>
      </c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  <c r="CK238" s="162"/>
      <c r="CL238" s="162"/>
      <c r="CM238" s="162"/>
      <c r="CN238" s="162"/>
      <c r="CO238" s="162"/>
      <c r="CP238" s="162"/>
      <c r="CQ238" s="162"/>
      <c r="CR238" s="162"/>
      <c r="CS238" s="162"/>
      <c r="CT238" s="162"/>
      <c r="CU238" s="162"/>
      <c r="CV238" s="162"/>
      <c r="CW238" s="162"/>
      <c r="CX238" s="162"/>
      <c r="CY238" s="162"/>
      <c r="CZ238" s="162"/>
      <c r="DA238" s="162"/>
      <c r="DB238" s="161" t="str">
        <f t="shared" si="23"/>
        <v/>
      </c>
      <c r="DC238" s="161" t="str">
        <f t="shared" si="27"/>
        <v/>
      </c>
      <c r="DD238" s="161" t="str">
        <f t="shared" si="27"/>
        <v/>
      </c>
      <c r="DE238" s="161" t="str">
        <f t="shared" si="27"/>
        <v/>
      </c>
      <c r="DF238" s="161" t="str">
        <f t="shared" si="27"/>
        <v/>
      </c>
      <c r="DG238" s="161" t="str">
        <f t="shared" si="27"/>
        <v/>
      </c>
      <c r="DH238" s="141"/>
      <c r="DI238" s="141"/>
      <c r="DJ238" s="141"/>
      <c r="DK238" s="141"/>
      <c r="DL238" s="141"/>
      <c r="DM238" s="141"/>
      <c r="DN238" s="163" t="str">
        <f t="shared" si="26"/>
        <v/>
      </c>
      <c r="DO238" s="164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60" t="str">
        <f>IF(ISBLANK(スキャン結果!C237),"",スキャン結果!C237)</f>
        <v/>
      </c>
      <c r="D239" s="161" t="str">
        <f>IF(ISBLANK(スキャン結果!D237),"",スキャン結果!D237)</f>
        <v/>
      </c>
      <c r="E239" s="161" t="str">
        <f>IF(ISBLANK(スキャン結果!E237),"",スキャン結果!E237)</f>
        <v/>
      </c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1" t="str">
        <f t="shared" si="23"/>
        <v/>
      </c>
      <c r="DC239" s="161" t="str">
        <f t="shared" si="27"/>
        <v/>
      </c>
      <c r="DD239" s="161" t="str">
        <f t="shared" si="27"/>
        <v/>
      </c>
      <c r="DE239" s="161" t="str">
        <f t="shared" si="27"/>
        <v/>
      </c>
      <c r="DF239" s="161" t="str">
        <f t="shared" si="27"/>
        <v/>
      </c>
      <c r="DG239" s="161" t="str">
        <f t="shared" si="27"/>
        <v/>
      </c>
      <c r="DH239" s="141"/>
      <c r="DI239" s="141"/>
      <c r="DJ239" s="141"/>
      <c r="DK239" s="141"/>
      <c r="DL239" s="141"/>
      <c r="DM239" s="141"/>
      <c r="DN239" s="163" t="str">
        <f t="shared" si="26"/>
        <v/>
      </c>
      <c r="DO239" s="164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0" t="str">
        <f>IF(ISBLANK(スキャン結果!C238),"",スキャン結果!C238)</f>
        <v/>
      </c>
      <c r="D240" s="161" t="str">
        <f>IF(ISBLANK(スキャン結果!D238),"",スキャン結果!D238)</f>
        <v/>
      </c>
      <c r="E240" s="161" t="str">
        <f>IF(ISBLANK(スキャン結果!E238),"",スキャン結果!E238)</f>
        <v/>
      </c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  <c r="CK240" s="162"/>
      <c r="CL240" s="162"/>
      <c r="CM240" s="162"/>
      <c r="CN240" s="162"/>
      <c r="CO240" s="162"/>
      <c r="CP240" s="162"/>
      <c r="CQ240" s="162"/>
      <c r="CR240" s="162"/>
      <c r="CS240" s="162"/>
      <c r="CT240" s="162"/>
      <c r="CU240" s="162"/>
      <c r="CV240" s="162"/>
      <c r="CW240" s="162"/>
      <c r="CX240" s="162"/>
      <c r="CY240" s="162"/>
      <c r="CZ240" s="162"/>
      <c r="DA240" s="162"/>
      <c r="DB240" s="161" t="str">
        <f t="shared" si="23"/>
        <v/>
      </c>
      <c r="DC240" s="161" t="str">
        <f t="shared" si="27"/>
        <v/>
      </c>
      <c r="DD240" s="161" t="str">
        <f t="shared" si="27"/>
        <v/>
      </c>
      <c r="DE240" s="161" t="str">
        <f t="shared" si="27"/>
        <v/>
      </c>
      <c r="DF240" s="161" t="str">
        <f t="shared" si="27"/>
        <v/>
      </c>
      <c r="DG240" s="161" t="str">
        <f t="shared" si="27"/>
        <v/>
      </c>
      <c r="DH240" s="141"/>
      <c r="DI240" s="141"/>
      <c r="DJ240" s="141"/>
      <c r="DK240" s="141"/>
      <c r="DL240" s="141"/>
      <c r="DM240" s="141"/>
      <c r="DN240" s="163" t="str">
        <f t="shared" si="26"/>
        <v/>
      </c>
      <c r="DO240" s="164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0" t="str">
        <f>IF(ISBLANK(スキャン結果!C239),"",スキャン結果!C239)</f>
        <v/>
      </c>
      <c r="D241" s="161" t="str">
        <f>IF(ISBLANK(スキャン結果!D239),"",スキャン結果!D239)</f>
        <v/>
      </c>
      <c r="E241" s="161" t="str">
        <f>IF(ISBLANK(スキャン結果!E239),"",スキャン結果!E239)</f>
        <v/>
      </c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1" t="str">
        <f t="shared" ref="DB241:DB304" si="28">IF(OR($B241="",DB$4=""),"",SUMIF($F$3:$DA$4,DB$4,$F241:$DA241))</f>
        <v/>
      </c>
      <c r="DC241" s="161" t="str">
        <f t="shared" si="27"/>
        <v/>
      </c>
      <c r="DD241" s="161" t="str">
        <f t="shared" si="27"/>
        <v/>
      </c>
      <c r="DE241" s="161" t="str">
        <f t="shared" si="27"/>
        <v/>
      </c>
      <c r="DF241" s="161" t="str">
        <f t="shared" si="27"/>
        <v/>
      </c>
      <c r="DG241" s="161" t="str">
        <f t="shared" si="27"/>
        <v/>
      </c>
      <c r="DH241" s="141"/>
      <c r="DI241" s="141"/>
      <c r="DJ241" s="141"/>
      <c r="DK241" s="141"/>
      <c r="DL241" s="141"/>
      <c r="DM241" s="141"/>
      <c r="DN241" s="163" t="str">
        <f t="shared" si="26"/>
        <v/>
      </c>
      <c r="DO241" s="164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0" t="str">
        <f>IF(ISBLANK(スキャン結果!C240),"",スキャン結果!C240)</f>
        <v/>
      </c>
      <c r="D242" s="161" t="str">
        <f>IF(ISBLANK(スキャン結果!D240),"",スキャン結果!D240)</f>
        <v/>
      </c>
      <c r="E242" s="161" t="str">
        <f>IF(ISBLANK(スキャン結果!E240),"",スキャン結果!E240)</f>
        <v/>
      </c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  <c r="CK242" s="162"/>
      <c r="CL242" s="162"/>
      <c r="CM242" s="162"/>
      <c r="CN242" s="162"/>
      <c r="CO242" s="162"/>
      <c r="CP242" s="162"/>
      <c r="CQ242" s="162"/>
      <c r="CR242" s="162"/>
      <c r="CS242" s="162"/>
      <c r="CT242" s="162"/>
      <c r="CU242" s="162"/>
      <c r="CV242" s="162"/>
      <c r="CW242" s="162"/>
      <c r="CX242" s="162"/>
      <c r="CY242" s="162"/>
      <c r="CZ242" s="162"/>
      <c r="DA242" s="162"/>
      <c r="DB242" s="161" t="str">
        <f t="shared" si="28"/>
        <v/>
      </c>
      <c r="DC242" s="161" t="str">
        <f t="shared" si="27"/>
        <v/>
      </c>
      <c r="DD242" s="161" t="str">
        <f t="shared" si="27"/>
        <v/>
      </c>
      <c r="DE242" s="161" t="str">
        <f t="shared" si="27"/>
        <v/>
      </c>
      <c r="DF242" s="161" t="str">
        <f t="shared" si="27"/>
        <v/>
      </c>
      <c r="DG242" s="161" t="str">
        <f t="shared" si="27"/>
        <v/>
      </c>
      <c r="DH242" s="141"/>
      <c r="DI242" s="141"/>
      <c r="DJ242" s="141"/>
      <c r="DK242" s="141"/>
      <c r="DL242" s="141"/>
      <c r="DM242" s="141"/>
      <c r="DN242" s="163" t="str">
        <f t="shared" si="26"/>
        <v/>
      </c>
      <c r="DO242" s="164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160" t="str">
        <f>IF(ISBLANK(スキャン結果!C241),"",スキャン結果!C241)</f>
        <v/>
      </c>
      <c r="D243" s="161" t="str">
        <f>IF(ISBLANK(スキャン結果!D241),"",スキャン結果!D241)</f>
        <v/>
      </c>
      <c r="E243" s="161" t="str">
        <f>IF(ISBLANK(スキャン結果!E241),"",スキャン結果!E241)</f>
        <v/>
      </c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1" t="str">
        <f t="shared" si="28"/>
        <v/>
      </c>
      <c r="DC243" s="161" t="str">
        <f t="shared" si="27"/>
        <v/>
      </c>
      <c r="DD243" s="161" t="str">
        <f t="shared" si="27"/>
        <v/>
      </c>
      <c r="DE243" s="161" t="str">
        <f t="shared" si="27"/>
        <v/>
      </c>
      <c r="DF243" s="161" t="str">
        <f t="shared" si="27"/>
        <v/>
      </c>
      <c r="DG243" s="161" t="str">
        <f t="shared" si="27"/>
        <v/>
      </c>
      <c r="DH243" s="141"/>
      <c r="DI243" s="141"/>
      <c r="DJ243" s="141"/>
      <c r="DK243" s="141"/>
      <c r="DL243" s="141"/>
      <c r="DM243" s="141"/>
      <c r="DN243" s="163" t="str">
        <f t="shared" si="26"/>
        <v/>
      </c>
      <c r="DO243" s="164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60" t="str">
        <f>IF(ISBLANK(スキャン結果!C242),"",スキャン結果!C242)</f>
        <v/>
      </c>
      <c r="D244" s="161" t="str">
        <f>IF(ISBLANK(スキャン結果!D242),"",スキャン結果!D242)</f>
        <v/>
      </c>
      <c r="E244" s="161" t="str">
        <f>IF(ISBLANK(スキャン結果!E242),"",スキャン結果!E242)</f>
        <v/>
      </c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  <c r="CK244" s="162"/>
      <c r="CL244" s="162"/>
      <c r="CM244" s="162"/>
      <c r="CN244" s="162"/>
      <c r="CO244" s="162"/>
      <c r="CP244" s="162"/>
      <c r="CQ244" s="162"/>
      <c r="CR244" s="162"/>
      <c r="CS244" s="162"/>
      <c r="CT244" s="162"/>
      <c r="CU244" s="162"/>
      <c r="CV244" s="162"/>
      <c r="CW244" s="162"/>
      <c r="CX244" s="162"/>
      <c r="CY244" s="162"/>
      <c r="CZ244" s="162"/>
      <c r="DA244" s="162"/>
      <c r="DB244" s="161" t="str">
        <f t="shared" si="28"/>
        <v/>
      </c>
      <c r="DC244" s="161" t="str">
        <f t="shared" si="27"/>
        <v/>
      </c>
      <c r="DD244" s="161" t="str">
        <f t="shared" si="27"/>
        <v/>
      </c>
      <c r="DE244" s="161" t="str">
        <f t="shared" si="27"/>
        <v/>
      </c>
      <c r="DF244" s="161" t="str">
        <f t="shared" si="27"/>
        <v/>
      </c>
      <c r="DG244" s="161" t="str">
        <f t="shared" si="27"/>
        <v/>
      </c>
      <c r="DH244" s="141"/>
      <c r="DI244" s="141"/>
      <c r="DJ244" s="141"/>
      <c r="DK244" s="141"/>
      <c r="DL244" s="141"/>
      <c r="DM244" s="141"/>
      <c r="DN244" s="163" t="str">
        <f t="shared" si="26"/>
        <v/>
      </c>
      <c r="DO244" s="164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0" t="str">
        <f>IF(ISBLANK(スキャン結果!C243),"",スキャン結果!C243)</f>
        <v/>
      </c>
      <c r="D245" s="161" t="str">
        <f>IF(ISBLANK(スキャン結果!D243),"",スキャン結果!D243)</f>
        <v/>
      </c>
      <c r="E245" s="161" t="str">
        <f>IF(ISBLANK(スキャン結果!E243),"",スキャン結果!E243)</f>
        <v/>
      </c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1" t="str">
        <f t="shared" si="28"/>
        <v/>
      </c>
      <c r="DC245" s="161" t="str">
        <f t="shared" si="27"/>
        <v/>
      </c>
      <c r="DD245" s="161" t="str">
        <f t="shared" si="27"/>
        <v/>
      </c>
      <c r="DE245" s="161" t="str">
        <f t="shared" si="27"/>
        <v/>
      </c>
      <c r="DF245" s="161" t="str">
        <f t="shared" si="27"/>
        <v/>
      </c>
      <c r="DG245" s="161" t="str">
        <f t="shared" si="27"/>
        <v/>
      </c>
      <c r="DH245" s="141"/>
      <c r="DI245" s="141"/>
      <c r="DJ245" s="141"/>
      <c r="DK245" s="141"/>
      <c r="DL245" s="141"/>
      <c r="DM245" s="141"/>
      <c r="DN245" s="163" t="str">
        <f t="shared" si="26"/>
        <v/>
      </c>
      <c r="DO245" s="164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0" t="str">
        <f>IF(ISBLANK(スキャン結果!C244),"",スキャン結果!C244)</f>
        <v/>
      </c>
      <c r="D246" s="161" t="str">
        <f>IF(ISBLANK(スキャン結果!D244),"",スキャン結果!D244)</f>
        <v/>
      </c>
      <c r="E246" s="161" t="str">
        <f>IF(ISBLANK(スキャン結果!E244),"",スキャン結果!E244)</f>
        <v/>
      </c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1" t="str">
        <f t="shared" si="28"/>
        <v/>
      </c>
      <c r="DC246" s="161" t="str">
        <f t="shared" si="27"/>
        <v/>
      </c>
      <c r="DD246" s="161" t="str">
        <f t="shared" si="27"/>
        <v/>
      </c>
      <c r="DE246" s="161" t="str">
        <f t="shared" si="27"/>
        <v/>
      </c>
      <c r="DF246" s="161" t="str">
        <f t="shared" si="27"/>
        <v/>
      </c>
      <c r="DG246" s="161" t="str">
        <f t="shared" si="27"/>
        <v/>
      </c>
      <c r="DH246" s="141"/>
      <c r="DI246" s="141"/>
      <c r="DJ246" s="141"/>
      <c r="DK246" s="141"/>
      <c r="DL246" s="141"/>
      <c r="DM246" s="141"/>
      <c r="DN246" s="163" t="str">
        <f t="shared" si="26"/>
        <v/>
      </c>
      <c r="DO246" s="164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0" t="str">
        <f>IF(ISBLANK(スキャン結果!C245),"",スキャン結果!C245)</f>
        <v/>
      </c>
      <c r="D247" s="161" t="str">
        <f>IF(ISBLANK(スキャン結果!D245),"",スキャン結果!D245)</f>
        <v/>
      </c>
      <c r="E247" s="161" t="str">
        <f>IF(ISBLANK(スキャン結果!E245),"",スキャン結果!E245)</f>
        <v/>
      </c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1" t="str">
        <f t="shared" si="28"/>
        <v/>
      </c>
      <c r="DC247" s="161" t="str">
        <f t="shared" si="27"/>
        <v/>
      </c>
      <c r="DD247" s="161" t="str">
        <f t="shared" si="27"/>
        <v/>
      </c>
      <c r="DE247" s="161" t="str">
        <f t="shared" si="27"/>
        <v/>
      </c>
      <c r="DF247" s="161" t="str">
        <f t="shared" si="27"/>
        <v/>
      </c>
      <c r="DG247" s="161" t="str">
        <f t="shared" si="27"/>
        <v/>
      </c>
      <c r="DH247" s="141"/>
      <c r="DI247" s="141"/>
      <c r="DJ247" s="141"/>
      <c r="DK247" s="141"/>
      <c r="DL247" s="141"/>
      <c r="DM247" s="141"/>
      <c r="DN247" s="163" t="str">
        <f t="shared" si="26"/>
        <v/>
      </c>
      <c r="DO247" s="164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160" t="str">
        <f>IF(ISBLANK(スキャン結果!C246),"",スキャン結果!C246)</f>
        <v/>
      </c>
      <c r="D248" s="161" t="str">
        <f>IF(ISBLANK(スキャン結果!D246),"",スキャン結果!D246)</f>
        <v/>
      </c>
      <c r="E248" s="161" t="str">
        <f>IF(ISBLANK(スキャン結果!E246),"",スキャン結果!E246)</f>
        <v/>
      </c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1" t="str">
        <f t="shared" si="28"/>
        <v/>
      </c>
      <c r="DC248" s="161" t="str">
        <f t="shared" si="27"/>
        <v/>
      </c>
      <c r="DD248" s="161" t="str">
        <f t="shared" si="27"/>
        <v/>
      </c>
      <c r="DE248" s="161" t="str">
        <f t="shared" si="27"/>
        <v/>
      </c>
      <c r="DF248" s="161" t="str">
        <f t="shared" si="27"/>
        <v/>
      </c>
      <c r="DG248" s="161" t="str">
        <f t="shared" si="27"/>
        <v/>
      </c>
      <c r="DH248" s="141"/>
      <c r="DI248" s="141"/>
      <c r="DJ248" s="141"/>
      <c r="DK248" s="141"/>
      <c r="DL248" s="141"/>
      <c r="DM248" s="141"/>
      <c r="DN248" s="163" t="str">
        <f t="shared" si="26"/>
        <v/>
      </c>
      <c r="DO248" s="164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60" t="str">
        <f>IF(ISBLANK(スキャン結果!C247),"",スキャン結果!C247)</f>
        <v/>
      </c>
      <c r="D249" s="161" t="str">
        <f>IF(ISBLANK(スキャン結果!D247),"",スキャン結果!D247)</f>
        <v/>
      </c>
      <c r="E249" s="161" t="str">
        <f>IF(ISBLANK(スキャン結果!E247),"",スキャン結果!E247)</f>
        <v/>
      </c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1" t="str">
        <f t="shared" si="28"/>
        <v/>
      </c>
      <c r="DC249" s="161" t="str">
        <f t="shared" si="27"/>
        <v/>
      </c>
      <c r="DD249" s="161" t="str">
        <f t="shared" si="27"/>
        <v/>
      </c>
      <c r="DE249" s="161" t="str">
        <f t="shared" si="27"/>
        <v/>
      </c>
      <c r="DF249" s="161" t="str">
        <f t="shared" si="27"/>
        <v/>
      </c>
      <c r="DG249" s="161" t="str">
        <f t="shared" si="27"/>
        <v/>
      </c>
      <c r="DH249" s="141"/>
      <c r="DI249" s="141"/>
      <c r="DJ249" s="141"/>
      <c r="DK249" s="141"/>
      <c r="DL249" s="141"/>
      <c r="DM249" s="141"/>
      <c r="DN249" s="163" t="str">
        <f t="shared" si="26"/>
        <v/>
      </c>
      <c r="DO249" s="164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0" t="str">
        <f>IF(ISBLANK(スキャン結果!C248),"",スキャン結果!C248)</f>
        <v/>
      </c>
      <c r="D250" s="161" t="str">
        <f>IF(ISBLANK(スキャン結果!D248),"",スキャン結果!D248)</f>
        <v/>
      </c>
      <c r="E250" s="161" t="str">
        <f>IF(ISBLANK(スキャン結果!E248),"",スキャン結果!E248)</f>
        <v/>
      </c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1" t="str">
        <f t="shared" si="28"/>
        <v/>
      </c>
      <c r="DC250" s="161" t="str">
        <f t="shared" si="27"/>
        <v/>
      </c>
      <c r="DD250" s="161" t="str">
        <f t="shared" si="27"/>
        <v/>
      </c>
      <c r="DE250" s="161" t="str">
        <f t="shared" si="27"/>
        <v/>
      </c>
      <c r="DF250" s="161" t="str">
        <f t="shared" si="27"/>
        <v/>
      </c>
      <c r="DG250" s="161" t="str">
        <f t="shared" si="27"/>
        <v/>
      </c>
      <c r="DH250" s="141"/>
      <c r="DI250" s="141"/>
      <c r="DJ250" s="141"/>
      <c r="DK250" s="141"/>
      <c r="DL250" s="141"/>
      <c r="DM250" s="141"/>
      <c r="DN250" s="163" t="str">
        <f t="shared" si="26"/>
        <v/>
      </c>
      <c r="DO250" s="164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0" t="str">
        <f>IF(ISBLANK(スキャン結果!C249),"",スキャン結果!C249)</f>
        <v/>
      </c>
      <c r="D251" s="161" t="str">
        <f>IF(ISBLANK(スキャン結果!D249),"",スキャン結果!D249)</f>
        <v/>
      </c>
      <c r="E251" s="161" t="str">
        <f>IF(ISBLANK(スキャン結果!E249),"",スキャン結果!E249)</f>
        <v/>
      </c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1" t="str">
        <f t="shared" si="28"/>
        <v/>
      </c>
      <c r="DC251" s="161" t="str">
        <f t="shared" si="27"/>
        <v/>
      </c>
      <c r="DD251" s="161" t="str">
        <f t="shared" si="27"/>
        <v/>
      </c>
      <c r="DE251" s="161" t="str">
        <f t="shared" si="27"/>
        <v/>
      </c>
      <c r="DF251" s="161" t="str">
        <f t="shared" si="27"/>
        <v/>
      </c>
      <c r="DG251" s="161" t="str">
        <f t="shared" si="27"/>
        <v/>
      </c>
      <c r="DH251" s="141"/>
      <c r="DI251" s="141"/>
      <c r="DJ251" s="141"/>
      <c r="DK251" s="141"/>
      <c r="DL251" s="141"/>
      <c r="DM251" s="141"/>
      <c r="DN251" s="163" t="str">
        <f t="shared" si="26"/>
        <v/>
      </c>
      <c r="DO251" s="164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0" t="str">
        <f>IF(ISBLANK(スキャン結果!C250),"",スキャン結果!C250)</f>
        <v/>
      </c>
      <c r="D252" s="161" t="str">
        <f>IF(ISBLANK(スキャン結果!D250),"",スキャン結果!D250)</f>
        <v/>
      </c>
      <c r="E252" s="161" t="str">
        <f>IF(ISBLANK(スキャン結果!E250),"",スキャン結果!E250)</f>
        <v/>
      </c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1" t="str">
        <f t="shared" si="28"/>
        <v/>
      </c>
      <c r="DC252" s="161" t="str">
        <f t="shared" si="27"/>
        <v/>
      </c>
      <c r="DD252" s="161" t="str">
        <f t="shared" si="27"/>
        <v/>
      </c>
      <c r="DE252" s="161" t="str">
        <f t="shared" si="27"/>
        <v/>
      </c>
      <c r="DF252" s="161" t="str">
        <f t="shared" si="27"/>
        <v/>
      </c>
      <c r="DG252" s="161" t="str">
        <f t="shared" si="27"/>
        <v/>
      </c>
      <c r="DH252" s="141"/>
      <c r="DI252" s="141"/>
      <c r="DJ252" s="141"/>
      <c r="DK252" s="141"/>
      <c r="DL252" s="141"/>
      <c r="DM252" s="141"/>
      <c r="DN252" s="163" t="str">
        <f t="shared" si="26"/>
        <v/>
      </c>
      <c r="DO252" s="164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160" t="str">
        <f>IF(ISBLANK(スキャン結果!C251),"",スキャン結果!C251)</f>
        <v/>
      </c>
      <c r="D253" s="161" t="str">
        <f>IF(ISBLANK(スキャン結果!D251),"",スキャン結果!D251)</f>
        <v/>
      </c>
      <c r="E253" s="161" t="str">
        <f>IF(ISBLANK(スキャン結果!E251),"",スキャン結果!E251)</f>
        <v/>
      </c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1" t="str">
        <f t="shared" si="28"/>
        <v/>
      </c>
      <c r="DC253" s="161" t="str">
        <f t="shared" si="27"/>
        <v/>
      </c>
      <c r="DD253" s="161" t="str">
        <f t="shared" si="27"/>
        <v/>
      </c>
      <c r="DE253" s="161" t="str">
        <f t="shared" si="27"/>
        <v/>
      </c>
      <c r="DF253" s="161" t="str">
        <f t="shared" si="27"/>
        <v/>
      </c>
      <c r="DG253" s="161" t="str">
        <f t="shared" si="27"/>
        <v/>
      </c>
      <c r="DH253" s="141"/>
      <c r="DI253" s="141"/>
      <c r="DJ253" s="141"/>
      <c r="DK253" s="141"/>
      <c r="DL253" s="141"/>
      <c r="DM253" s="141"/>
      <c r="DN253" s="163" t="str">
        <f t="shared" si="26"/>
        <v/>
      </c>
      <c r="DO253" s="164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60" t="str">
        <f>IF(ISBLANK(スキャン結果!C252),"",スキャン結果!C252)</f>
        <v/>
      </c>
      <c r="D254" s="161" t="str">
        <f>IF(ISBLANK(スキャン結果!D252),"",スキャン結果!D252)</f>
        <v/>
      </c>
      <c r="E254" s="161" t="str">
        <f>IF(ISBLANK(スキャン結果!E252),"",スキャン結果!E252)</f>
        <v/>
      </c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1" t="str">
        <f t="shared" si="28"/>
        <v/>
      </c>
      <c r="DC254" s="161" t="str">
        <f t="shared" si="27"/>
        <v/>
      </c>
      <c r="DD254" s="161" t="str">
        <f t="shared" si="27"/>
        <v/>
      </c>
      <c r="DE254" s="161" t="str">
        <f t="shared" si="27"/>
        <v/>
      </c>
      <c r="DF254" s="161" t="str">
        <f t="shared" si="27"/>
        <v/>
      </c>
      <c r="DG254" s="161" t="str">
        <f t="shared" si="27"/>
        <v/>
      </c>
      <c r="DH254" s="141"/>
      <c r="DI254" s="141"/>
      <c r="DJ254" s="141"/>
      <c r="DK254" s="141"/>
      <c r="DL254" s="141"/>
      <c r="DM254" s="141"/>
      <c r="DN254" s="163" t="str">
        <f t="shared" si="26"/>
        <v/>
      </c>
      <c r="DO254" s="164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0" t="str">
        <f>IF(ISBLANK(スキャン結果!C253),"",スキャン結果!C253)</f>
        <v/>
      </c>
      <c r="D255" s="161" t="str">
        <f>IF(ISBLANK(スキャン結果!D253),"",スキャン結果!D253)</f>
        <v/>
      </c>
      <c r="E255" s="161" t="str">
        <f>IF(ISBLANK(スキャン結果!E253),"",スキャン結果!E253)</f>
        <v/>
      </c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1" t="str">
        <f t="shared" si="28"/>
        <v/>
      </c>
      <c r="DC255" s="161" t="str">
        <f t="shared" si="27"/>
        <v/>
      </c>
      <c r="DD255" s="161" t="str">
        <f t="shared" si="27"/>
        <v/>
      </c>
      <c r="DE255" s="161" t="str">
        <f t="shared" si="27"/>
        <v/>
      </c>
      <c r="DF255" s="161" t="str">
        <f t="shared" si="27"/>
        <v/>
      </c>
      <c r="DG255" s="161" t="str">
        <f t="shared" si="27"/>
        <v/>
      </c>
      <c r="DH255" s="141"/>
      <c r="DI255" s="141"/>
      <c r="DJ255" s="141"/>
      <c r="DK255" s="141"/>
      <c r="DL255" s="141"/>
      <c r="DM255" s="141"/>
      <c r="DN255" s="163" t="str">
        <f t="shared" si="26"/>
        <v/>
      </c>
      <c r="DO255" s="164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0" t="str">
        <f>IF(ISBLANK(スキャン結果!C254),"",スキャン結果!C254)</f>
        <v/>
      </c>
      <c r="D256" s="161" t="str">
        <f>IF(ISBLANK(スキャン結果!D254),"",スキャン結果!D254)</f>
        <v/>
      </c>
      <c r="E256" s="161" t="str">
        <f>IF(ISBLANK(スキャン結果!E254),"",スキャン結果!E254)</f>
        <v/>
      </c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1" t="str">
        <f t="shared" si="28"/>
        <v/>
      </c>
      <c r="DC256" s="161" t="str">
        <f t="shared" si="27"/>
        <v/>
      </c>
      <c r="DD256" s="161" t="str">
        <f t="shared" si="27"/>
        <v/>
      </c>
      <c r="DE256" s="161" t="str">
        <f t="shared" si="27"/>
        <v/>
      </c>
      <c r="DF256" s="161" t="str">
        <f t="shared" si="27"/>
        <v/>
      </c>
      <c r="DG256" s="161" t="str">
        <f t="shared" si="27"/>
        <v/>
      </c>
      <c r="DH256" s="141"/>
      <c r="DI256" s="141"/>
      <c r="DJ256" s="141"/>
      <c r="DK256" s="141"/>
      <c r="DL256" s="141"/>
      <c r="DM256" s="141"/>
      <c r="DN256" s="163" t="str">
        <f t="shared" si="26"/>
        <v/>
      </c>
      <c r="DO256" s="164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0" t="str">
        <f>IF(ISBLANK(スキャン結果!C255),"",スキャン結果!C255)</f>
        <v/>
      </c>
      <c r="D257" s="161" t="str">
        <f>IF(ISBLANK(スキャン結果!D255),"",スキャン結果!D255)</f>
        <v/>
      </c>
      <c r="E257" s="161" t="str">
        <f>IF(ISBLANK(スキャン結果!E255),"",スキャン結果!E255)</f>
        <v/>
      </c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1" t="str">
        <f t="shared" si="28"/>
        <v/>
      </c>
      <c r="DC257" s="161" t="str">
        <f t="shared" si="27"/>
        <v/>
      </c>
      <c r="DD257" s="161" t="str">
        <f t="shared" si="27"/>
        <v/>
      </c>
      <c r="DE257" s="161" t="str">
        <f t="shared" si="27"/>
        <v/>
      </c>
      <c r="DF257" s="161" t="str">
        <f t="shared" si="27"/>
        <v/>
      </c>
      <c r="DG257" s="161" t="str">
        <f t="shared" si="27"/>
        <v/>
      </c>
      <c r="DH257" s="141"/>
      <c r="DI257" s="141"/>
      <c r="DJ257" s="141"/>
      <c r="DK257" s="141"/>
      <c r="DL257" s="141"/>
      <c r="DM257" s="141"/>
      <c r="DN257" s="163" t="str">
        <f t="shared" si="26"/>
        <v/>
      </c>
      <c r="DO257" s="164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160" t="str">
        <f>IF(ISBLANK(スキャン結果!C256),"",スキャン結果!C256)</f>
        <v/>
      </c>
      <c r="D258" s="161" t="str">
        <f>IF(ISBLANK(スキャン結果!D256),"",スキャン結果!D256)</f>
        <v/>
      </c>
      <c r="E258" s="161" t="str">
        <f>IF(ISBLANK(スキャン結果!E256),"",スキャン結果!E256)</f>
        <v/>
      </c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1" t="str">
        <f t="shared" si="28"/>
        <v/>
      </c>
      <c r="DC258" s="161" t="str">
        <f t="shared" si="27"/>
        <v/>
      </c>
      <c r="DD258" s="161" t="str">
        <f t="shared" si="27"/>
        <v/>
      </c>
      <c r="DE258" s="161" t="str">
        <f t="shared" si="27"/>
        <v/>
      </c>
      <c r="DF258" s="161" t="str">
        <f t="shared" si="27"/>
        <v/>
      </c>
      <c r="DG258" s="161" t="str">
        <f t="shared" si="27"/>
        <v/>
      </c>
      <c r="DH258" s="141"/>
      <c r="DI258" s="141"/>
      <c r="DJ258" s="141"/>
      <c r="DK258" s="141"/>
      <c r="DL258" s="141"/>
      <c r="DM258" s="141"/>
      <c r="DN258" s="163" t="str">
        <f t="shared" si="26"/>
        <v/>
      </c>
      <c r="DO258" s="164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60" t="str">
        <f>IF(ISBLANK(スキャン結果!C257),"",スキャン結果!C257)</f>
        <v/>
      </c>
      <c r="D259" s="161" t="str">
        <f>IF(ISBLANK(スキャン結果!D257),"",スキャン結果!D257)</f>
        <v/>
      </c>
      <c r="E259" s="161" t="str">
        <f>IF(ISBLANK(スキャン結果!E257),"",スキャン結果!E257)</f>
        <v/>
      </c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1" t="str">
        <f t="shared" si="28"/>
        <v/>
      </c>
      <c r="DC259" s="161" t="str">
        <f t="shared" si="27"/>
        <v/>
      </c>
      <c r="DD259" s="161" t="str">
        <f t="shared" si="27"/>
        <v/>
      </c>
      <c r="DE259" s="161" t="str">
        <f t="shared" si="27"/>
        <v/>
      </c>
      <c r="DF259" s="161" t="str">
        <f t="shared" si="27"/>
        <v/>
      </c>
      <c r="DG259" s="161" t="str">
        <f t="shared" si="27"/>
        <v/>
      </c>
      <c r="DH259" s="141"/>
      <c r="DI259" s="141"/>
      <c r="DJ259" s="141"/>
      <c r="DK259" s="141"/>
      <c r="DL259" s="141"/>
      <c r="DM259" s="141"/>
      <c r="DN259" s="163" t="str">
        <f t="shared" si="26"/>
        <v/>
      </c>
      <c r="DO259" s="164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0" t="str">
        <f>IF(ISBLANK(スキャン結果!C258),"",スキャン結果!C258)</f>
        <v/>
      </c>
      <c r="D260" s="161" t="str">
        <f>IF(ISBLANK(スキャン結果!D258),"",スキャン結果!D258)</f>
        <v/>
      </c>
      <c r="E260" s="161" t="str">
        <f>IF(ISBLANK(スキャン結果!E258),"",スキャン結果!E258)</f>
        <v/>
      </c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1" t="str">
        <f t="shared" si="28"/>
        <v/>
      </c>
      <c r="DC260" s="161" t="str">
        <f t="shared" si="27"/>
        <v/>
      </c>
      <c r="DD260" s="161" t="str">
        <f t="shared" si="27"/>
        <v/>
      </c>
      <c r="DE260" s="161" t="str">
        <f t="shared" si="27"/>
        <v/>
      </c>
      <c r="DF260" s="161" t="str">
        <f t="shared" si="27"/>
        <v/>
      </c>
      <c r="DG260" s="161" t="str">
        <f t="shared" si="27"/>
        <v/>
      </c>
      <c r="DH260" s="141"/>
      <c r="DI260" s="141"/>
      <c r="DJ260" s="141"/>
      <c r="DK260" s="141"/>
      <c r="DL260" s="141"/>
      <c r="DM260" s="141"/>
      <c r="DN260" s="163" t="str">
        <f t="shared" si="26"/>
        <v/>
      </c>
      <c r="DO260" s="164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0" t="str">
        <f>IF(ISBLANK(スキャン結果!C259),"",スキャン結果!C259)</f>
        <v/>
      </c>
      <c r="D261" s="161" t="str">
        <f>IF(ISBLANK(スキャン結果!D259),"",スキャン結果!D259)</f>
        <v/>
      </c>
      <c r="E261" s="161" t="str">
        <f>IF(ISBLANK(スキャン結果!E259),"",スキャン結果!E259)</f>
        <v/>
      </c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1" t="str">
        <f t="shared" si="28"/>
        <v/>
      </c>
      <c r="DC261" s="161" t="str">
        <f t="shared" si="27"/>
        <v/>
      </c>
      <c r="DD261" s="161" t="str">
        <f t="shared" si="27"/>
        <v/>
      </c>
      <c r="DE261" s="161" t="str">
        <f t="shared" si="27"/>
        <v/>
      </c>
      <c r="DF261" s="161" t="str">
        <f t="shared" si="27"/>
        <v/>
      </c>
      <c r="DG261" s="161" t="str">
        <f t="shared" si="27"/>
        <v/>
      </c>
      <c r="DH261" s="141"/>
      <c r="DI261" s="141"/>
      <c r="DJ261" s="141"/>
      <c r="DK261" s="141"/>
      <c r="DL261" s="141"/>
      <c r="DM261" s="141"/>
      <c r="DN261" s="163" t="str">
        <f t="shared" si="26"/>
        <v/>
      </c>
      <c r="DO261" s="164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0" t="str">
        <f>IF(ISBLANK(スキャン結果!C260),"",スキャン結果!C260)</f>
        <v/>
      </c>
      <c r="D262" s="161" t="str">
        <f>IF(ISBLANK(スキャン結果!D260),"",スキャン結果!D260)</f>
        <v/>
      </c>
      <c r="E262" s="161" t="str">
        <f>IF(ISBLANK(スキャン結果!E260),"",スキャン結果!E260)</f>
        <v/>
      </c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1" t="str">
        <f t="shared" si="28"/>
        <v/>
      </c>
      <c r="DC262" s="161" t="str">
        <f t="shared" si="27"/>
        <v/>
      </c>
      <c r="DD262" s="161" t="str">
        <f t="shared" si="27"/>
        <v/>
      </c>
      <c r="DE262" s="161" t="str">
        <f t="shared" si="27"/>
        <v/>
      </c>
      <c r="DF262" s="161" t="str">
        <f t="shared" si="27"/>
        <v/>
      </c>
      <c r="DG262" s="161" t="str">
        <f t="shared" si="27"/>
        <v/>
      </c>
      <c r="DH262" s="141"/>
      <c r="DI262" s="141"/>
      <c r="DJ262" s="141"/>
      <c r="DK262" s="141"/>
      <c r="DL262" s="141"/>
      <c r="DM262" s="141"/>
      <c r="DN262" s="163" t="str">
        <f t="shared" si="26"/>
        <v/>
      </c>
      <c r="DO262" s="164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160" t="str">
        <f>IF(ISBLANK(スキャン結果!C261),"",スキャン結果!C261)</f>
        <v/>
      </c>
      <c r="D263" s="161" t="str">
        <f>IF(ISBLANK(スキャン結果!D261),"",スキャン結果!D261)</f>
        <v/>
      </c>
      <c r="E263" s="161" t="str">
        <f>IF(ISBLANK(スキャン結果!E261),"",スキャン結果!E261)</f>
        <v/>
      </c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1" t="str">
        <f t="shared" si="28"/>
        <v/>
      </c>
      <c r="DC263" s="161" t="str">
        <f t="shared" si="27"/>
        <v/>
      </c>
      <c r="DD263" s="161" t="str">
        <f t="shared" si="27"/>
        <v/>
      </c>
      <c r="DE263" s="161" t="str">
        <f t="shared" si="27"/>
        <v/>
      </c>
      <c r="DF263" s="161" t="str">
        <f t="shared" si="27"/>
        <v/>
      </c>
      <c r="DG263" s="161" t="str">
        <f t="shared" si="27"/>
        <v/>
      </c>
      <c r="DH263" s="141"/>
      <c r="DI263" s="141"/>
      <c r="DJ263" s="141"/>
      <c r="DK263" s="141"/>
      <c r="DL263" s="141"/>
      <c r="DM263" s="141"/>
      <c r="DN263" s="163" t="str">
        <f t="shared" si="26"/>
        <v/>
      </c>
      <c r="DO263" s="164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60" t="str">
        <f>IF(ISBLANK(スキャン結果!C262),"",スキャン結果!C262)</f>
        <v/>
      </c>
      <c r="D264" s="161" t="str">
        <f>IF(ISBLANK(スキャン結果!D262),"",スキャン結果!D262)</f>
        <v/>
      </c>
      <c r="E264" s="161" t="str">
        <f>IF(ISBLANK(スキャン結果!E262),"",スキャン結果!E262)</f>
        <v/>
      </c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1" t="str">
        <f t="shared" si="28"/>
        <v/>
      </c>
      <c r="DC264" s="161" t="str">
        <f t="shared" si="27"/>
        <v/>
      </c>
      <c r="DD264" s="161" t="str">
        <f t="shared" si="27"/>
        <v/>
      </c>
      <c r="DE264" s="161" t="str">
        <f t="shared" si="27"/>
        <v/>
      </c>
      <c r="DF264" s="161" t="str">
        <f t="shared" si="27"/>
        <v/>
      </c>
      <c r="DG264" s="161" t="str">
        <f t="shared" si="27"/>
        <v/>
      </c>
      <c r="DH264" s="141"/>
      <c r="DI264" s="141"/>
      <c r="DJ264" s="141"/>
      <c r="DK264" s="141"/>
      <c r="DL264" s="141"/>
      <c r="DM264" s="141"/>
      <c r="DN264" s="163" t="str">
        <f t="shared" si="26"/>
        <v/>
      </c>
      <c r="DO264" s="164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0" t="str">
        <f>IF(ISBLANK(スキャン結果!C263),"",スキャン結果!C263)</f>
        <v/>
      </c>
      <c r="D265" s="161" t="str">
        <f>IF(ISBLANK(スキャン結果!D263),"",スキャン結果!D263)</f>
        <v/>
      </c>
      <c r="E265" s="161" t="str">
        <f>IF(ISBLANK(スキャン結果!E263),"",スキャン結果!E263)</f>
        <v/>
      </c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1" t="str">
        <f t="shared" si="28"/>
        <v/>
      </c>
      <c r="DC265" s="161" t="str">
        <f t="shared" si="27"/>
        <v/>
      </c>
      <c r="DD265" s="161" t="str">
        <f t="shared" si="27"/>
        <v/>
      </c>
      <c r="DE265" s="161" t="str">
        <f t="shared" ref="DC265:DG316" si="29">IF(OR($B265="",DE$4=""),"",SUMIF($F$3:$DA$4,DE$4,$F265:$DA265))</f>
        <v/>
      </c>
      <c r="DF265" s="161" t="str">
        <f t="shared" si="29"/>
        <v/>
      </c>
      <c r="DG265" s="161" t="str">
        <f t="shared" si="29"/>
        <v/>
      </c>
      <c r="DH265" s="141"/>
      <c r="DI265" s="141"/>
      <c r="DJ265" s="141"/>
      <c r="DK265" s="141"/>
      <c r="DL265" s="141"/>
      <c r="DM265" s="141"/>
      <c r="DN265" s="163" t="str">
        <f t="shared" si="26"/>
        <v/>
      </c>
      <c r="DO265" s="164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0" t="str">
        <f>IF(ISBLANK(スキャン結果!C264),"",スキャン結果!C264)</f>
        <v/>
      </c>
      <c r="D266" s="161" t="str">
        <f>IF(ISBLANK(スキャン結果!D264),"",スキャン結果!D264)</f>
        <v/>
      </c>
      <c r="E266" s="161" t="str">
        <f>IF(ISBLANK(スキャン結果!E264),"",スキャン結果!E264)</f>
        <v/>
      </c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1" t="str">
        <f t="shared" si="28"/>
        <v/>
      </c>
      <c r="DC266" s="161" t="str">
        <f t="shared" si="29"/>
        <v/>
      </c>
      <c r="DD266" s="161" t="str">
        <f t="shared" si="29"/>
        <v/>
      </c>
      <c r="DE266" s="161" t="str">
        <f t="shared" si="29"/>
        <v/>
      </c>
      <c r="DF266" s="161" t="str">
        <f t="shared" si="29"/>
        <v/>
      </c>
      <c r="DG266" s="161" t="str">
        <f t="shared" si="29"/>
        <v/>
      </c>
      <c r="DH266" s="141"/>
      <c r="DI266" s="141"/>
      <c r="DJ266" s="141"/>
      <c r="DK266" s="141"/>
      <c r="DL266" s="141"/>
      <c r="DM266" s="141"/>
      <c r="DN266" s="163" t="str">
        <f t="shared" si="26"/>
        <v/>
      </c>
      <c r="DO266" s="164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0" t="str">
        <f>IF(ISBLANK(スキャン結果!C265),"",スキャン結果!C265)</f>
        <v/>
      </c>
      <c r="D267" s="161" t="str">
        <f>IF(ISBLANK(スキャン結果!D265),"",スキャン結果!D265)</f>
        <v/>
      </c>
      <c r="E267" s="161" t="str">
        <f>IF(ISBLANK(スキャン結果!E265),"",スキャン結果!E265)</f>
        <v/>
      </c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1" t="str">
        <f t="shared" si="28"/>
        <v/>
      </c>
      <c r="DC267" s="161" t="str">
        <f t="shared" si="29"/>
        <v/>
      </c>
      <c r="DD267" s="161" t="str">
        <f t="shared" si="29"/>
        <v/>
      </c>
      <c r="DE267" s="161" t="str">
        <f t="shared" si="29"/>
        <v/>
      </c>
      <c r="DF267" s="161" t="str">
        <f t="shared" si="29"/>
        <v/>
      </c>
      <c r="DG267" s="161" t="str">
        <f t="shared" si="29"/>
        <v/>
      </c>
      <c r="DH267" s="141"/>
      <c r="DI267" s="141"/>
      <c r="DJ267" s="141"/>
      <c r="DK267" s="141"/>
      <c r="DL267" s="141"/>
      <c r="DM267" s="141"/>
      <c r="DN267" s="163" t="str">
        <f t="shared" si="26"/>
        <v/>
      </c>
      <c r="DO267" s="164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160" t="str">
        <f>IF(ISBLANK(スキャン結果!C266),"",スキャン結果!C266)</f>
        <v/>
      </c>
      <c r="D268" s="161" t="str">
        <f>IF(ISBLANK(スキャン結果!D266),"",スキャン結果!D266)</f>
        <v/>
      </c>
      <c r="E268" s="161" t="str">
        <f>IF(ISBLANK(スキャン結果!E266),"",スキャン結果!E266)</f>
        <v/>
      </c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1" t="str">
        <f t="shared" si="28"/>
        <v/>
      </c>
      <c r="DC268" s="161" t="str">
        <f t="shared" si="29"/>
        <v/>
      </c>
      <c r="DD268" s="161" t="str">
        <f t="shared" si="29"/>
        <v/>
      </c>
      <c r="DE268" s="161" t="str">
        <f t="shared" si="29"/>
        <v/>
      </c>
      <c r="DF268" s="161" t="str">
        <f t="shared" si="29"/>
        <v/>
      </c>
      <c r="DG268" s="161" t="str">
        <f t="shared" si="29"/>
        <v/>
      </c>
      <c r="DH268" s="141"/>
      <c r="DI268" s="141"/>
      <c r="DJ268" s="141"/>
      <c r="DK268" s="141"/>
      <c r="DL268" s="141"/>
      <c r="DM268" s="141"/>
      <c r="DN268" s="163" t="str">
        <f t="shared" si="26"/>
        <v/>
      </c>
      <c r="DO268" s="164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60" t="str">
        <f>IF(ISBLANK(スキャン結果!C267),"",スキャン結果!C267)</f>
        <v/>
      </c>
      <c r="D269" s="161" t="str">
        <f>IF(ISBLANK(スキャン結果!D267),"",スキャン結果!D267)</f>
        <v/>
      </c>
      <c r="E269" s="161" t="str">
        <f>IF(ISBLANK(スキャン結果!E267),"",スキャン結果!E267)</f>
        <v/>
      </c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1" t="str">
        <f t="shared" si="28"/>
        <v/>
      </c>
      <c r="DC269" s="161" t="str">
        <f t="shared" si="29"/>
        <v/>
      </c>
      <c r="DD269" s="161" t="str">
        <f t="shared" si="29"/>
        <v/>
      </c>
      <c r="DE269" s="161" t="str">
        <f t="shared" si="29"/>
        <v/>
      </c>
      <c r="DF269" s="161" t="str">
        <f t="shared" si="29"/>
        <v/>
      </c>
      <c r="DG269" s="161" t="str">
        <f t="shared" si="29"/>
        <v/>
      </c>
      <c r="DH269" s="141"/>
      <c r="DI269" s="141"/>
      <c r="DJ269" s="141"/>
      <c r="DK269" s="141"/>
      <c r="DL269" s="141"/>
      <c r="DM269" s="141"/>
      <c r="DN269" s="163" t="str">
        <f t="shared" si="26"/>
        <v/>
      </c>
      <c r="DO269" s="164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0" t="str">
        <f>IF(ISBLANK(スキャン結果!C268),"",スキャン結果!C268)</f>
        <v/>
      </c>
      <c r="D270" s="161" t="str">
        <f>IF(ISBLANK(スキャン結果!D268),"",スキャン結果!D268)</f>
        <v/>
      </c>
      <c r="E270" s="161" t="str">
        <f>IF(ISBLANK(スキャン結果!E268),"",スキャン結果!E268)</f>
        <v/>
      </c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1" t="str">
        <f t="shared" si="28"/>
        <v/>
      </c>
      <c r="DC270" s="161" t="str">
        <f t="shared" si="29"/>
        <v/>
      </c>
      <c r="DD270" s="161" t="str">
        <f t="shared" si="29"/>
        <v/>
      </c>
      <c r="DE270" s="161" t="str">
        <f t="shared" si="29"/>
        <v/>
      </c>
      <c r="DF270" s="161" t="str">
        <f t="shared" si="29"/>
        <v/>
      </c>
      <c r="DG270" s="161" t="str">
        <f t="shared" si="29"/>
        <v/>
      </c>
      <c r="DH270" s="141"/>
      <c r="DI270" s="141"/>
      <c r="DJ270" s="141"/>
      <c r="DK270" s="141"/>
      <c r="DL270" s="141"/>
      <c r="DM270" s="141"/>
      <c r="DN270" s="163" t="str">
        <f t="shared" si="26"/>
        <v/>
      </c>
      <c r="DO270" s="164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0" t="str">
        <f>IF(ISBLANK(スキャン結果!C269),"",スキャン結果!C269)</f>
        <v/>
      </c>
      <c r="D271" s="161" t="str">
        <f>IF(ISBLANK(スキャン結果!D269),"",スキャン結果!D269)</f>
        <v/>
      </c>
      <c r="E271" s="161" t="str">
        <f>IF(ISBLANK(スキャン結果!E269),"",スキャン結果!E269)</f>
        <v/>
      </c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1" t="str">
        <f t="shared" si="28"/>
        <v/>
      </c>
      <c r="DC271" s="161" t="str">
        <f t="shared" si="29"/>
        <v/>
      </c>
      <c r="DD271" s="161" t="str">
        <f t="shared" si="29"/>
        <v/>
      </c>
      <c r="DE271" s="161" t="str">
        <f t="shared" si="29"/>
        <v/>
      </c>
      <c r="DF271" s="161" t="str">
        <f t="shared" si="29"/>
        <v/>
      </c>
      <c r="DG271" s="161" t="str">
        <f t="shared" si="29"/>
        <v/>
      </c>
      <c r="DH271" s="141"/>
      <c r="DI271" s="141"/>
      <c r="DJ271" s="141"/>
      <c r="DK271" s="141"/>
      <c r="DL271" s="141"/>
      <c r="DM271" s="141"/>
      <c r="DN271" s="163" t="str">
        <f t="shared" ref="DN271:DN334" si="32">IF(A271="","",SUM(F271:DA271,DH271:DM271))</f>
        <v/>
      </c>
      <c r="DO271" s="164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0" t="str">
        <f>IF(ISBLANK(スキャン結果!C270),"",スキャン結果!C270)</f>
        <v/>
      </c>
      <c r="D272" s="161" t="str">
        <f>IF(ISBLANK(スキャン結果!D270),"",スキャン結果!D270)</f>
        <v/>
      </c>
      <c r="E272" s="161" t="str">
        <f>IF(ISBLANK(スキャン結果!E270),"",スキャン結果!E270)</f>
        <v/>
      </c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1" t="str">
        <f t="shared" si="28"/>
        <v/>
      </c>
      <c r="DC272" s="161" t="str">
        <f t="shared" si="29"/>
        <v/>
      </c>
      <c r="DD272" s="161" t="str">
        <f t="shared" si="29"/>
        <v/>
      </c>
      <c r="DE272" s="161" t="str">
        <f t="shared" si="29"/>
        <v/>
      </c>
      <c r="DF272" s="161" t="str">
        <f t="shared" si="29"/>
        <v/>
      </c>
      <c r="DG272" s="161" t="str">
        <f t="shared" si="29"/>
        <v/>
      </c>
      <c r="DH272" s="141"/>
      <c r="DI272" s="141"/>
      <c r="DJ272" s="141"/>
      <c r="DK272" s="141"/>
      <c r="DL272" s="141"/>
      <c r="DM272" s="141"/>
      <c r="DN272" s="163" t="str">
        <f t="shared" si="32"/>
        <v/>
      </c>
      <c r="DO272" s="164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160" t="str">
        <f>IF(ISBLANK(スキャン結果!C271),"",スキャン結果!C271)</f>
        <v/>
      </c>
      <c r="D273" s="161" t="str">
        <f>IF(ISBLANK(スキャン結果!D271),"",スキャン結果!D271)</f>
        <v/>
      </c>
      <c r="E273" s="161" t="str">
        <f>IF(ISBLANK(スキャン結果!E271),"",スキャン結果!E271)</f>
        <v/>
      </c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1" t="str">
        <f t="shared" si="28"/>
        <v/>
      </c>
      <c r="DC273" s="161" t="str">
        <f t="shared" si="29"/>
        <v/>
      </c>
      <c r="DD273" s="161" t="str">
        <f t="shared" si="29"/>
        <v/>
      </c>
      <c r="DE273" s="161" t="str">
        <f t="shared" si="29"/>
        <v/>
      </c>
      <c r="DF273" s="161" t="str">
        <f t="shared" si="29"/>
        <v/>
      </c>
      <c r="DG273" s="161" t="str">
        <f t="shared" si="29"/>
        <v/>
      </c>
      <c r="DH273" s="141"/>
      <c r="DI273" s="141"/>
      <c r="DJ273" s="141"/>
      <c r="DK273" s="141"/>
      <c r="DL273" s="141"/>
      <c r="DM273" s="141"/>
      <c r="DN273" s="163" t="str">
        <f t="shared" si="32"/>
        <v/>
      </c>
      <c r="DO273" s="164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60" t="str">
        <f>IF(ISBLANK(スキャン結果!C272),"",スキャン結果!C272)</f>
        <v/>
      </c>
      <c r="D274" s="161" t="str">
        <f>IF(ISBLANK(スキャン結果!D272),"",スキャン結果!D272)</f>
        <v/>
      </c>
      <c r="E274" s="161" t="str">
        <f>IF(ISBLANK(スキャン結果!E272),"",スキャン結果!E272)</f>
        <v/>
      </c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1" t="str">
        <f t="shared" si="28"/>
        <v/>
      </c>
      <c r="DC274" s="161" t="str">
        <f t="shared" si="29"/>
        <v/>
      </c>
      <c r="DD274" s="161" t="str">
        <f t="shared" si="29"/>
        <v/>
      </c>
      <c r="DE274" s="161" t="str">
        <f t="shared" si="29"/>
        <v/>
      </c>
      <c r="DF274" s="161" t="str">
        <f t="shared" si="29"/>
        <v/>
      </c>
      <c r="DG274" s="161" t="str">
        <f t="shared" si="29"/>
        <v/>
      </c>
      <c r="DH274" s="141"/>
      <c r="DI274" s="141"/>
      <c r="DJ274" s="141"/>
      <c r="DK274" s="141"/>
      <c r="DL274" s="141"/>
      <c r="DM274" s="141"/>
      <c r="DN274" s="163" t="str">
        <f t="shared" si="32"/>
        <v/>
      </c>
      <c r="DO274" s="164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0" t="str">
        <f>IF(ISBLANK(スキャン結果!C273),"",スキャン結果!C273)</f>
        <v/>
      </c>
      <c r="D275" s="161" t="str">
        <f>IF(ISBLANK(スキャン結果!D273),"",スキャン結果!D273)</f>
        <v/>
      </c>
      <c r="E275" s="161" t="str">
        <f>IF(ISBLANK(スキャン結果!E273),"",スキャン結果!E273)</f>
        <v/>
      </c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1" t="str">
        <f t="shared" si="28"/>
        <v/>
      </c>
      <c r="DC275" s="161" t="str">
        <f t="shared" si="29"/>
        <v/>
      </c>
      <c r="DD275" s="161" t="str">
        <f t="shared" si="29"/>
        <v/>
      </c>
      <c r="DE275" s="161" t="str">
        <f t="shared" si="29"/>
        <v/>
      </c>
      <c r="DF275" s="161" t="str">
        <f t="shared" si="29"/>
        <v/>
      </c>
      <c r="DG275" s="161" t="str">
        <f t="shared" si="29"/>
        <v/>
      </c>
      <c r="DH275" s="141"/>
      <c r="DI275" s="141"/>
      <c r="DJ275" s="141"/>
      <c r="DK275" s="141"/>
      <c r="DL275" s="141"/>
      <c r="DM275" s="141"/>
      <c r="DN275" s="163" t="str">
        <f t="shared" si="32"/>
        <v/>
      </c>
      <c r="DO275" s="164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0" t="str">
        <f>IF(ISBLANK(スキャン結果!C274),"",スキャン結果!C274)</f>
        <v/>
      </c>
      <c r="D276" s="161" t="str">
        <f>IF(ISBLANK(スキャン結果!D274),"",スキャン結果!D274)</f>
        <v/>
      </c>
      <c r="E276" s="161" t="str">
        <f>IF(ISBLANK(スキャン結果!E274),"",スキャン結果!E274)</f>
        <v/>
      </c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1" t="str">
        <f t="shared" si="28"/>
        <v/>
      </c>
      <c r="DC276" s="161" t="str">
        <f t="shared" si="29"/>
        <v/>
      </c>
      <c r="DD276" s="161" t="str">
        <f t="shared" si="29"/>
        <v/>
      </c>
      <c r="DE276" s="161" t="str">
        <f t="shared" si="29"/>
        <v/>
      </c>
      <c r="DF276" s="161" t="str">
        <f t="shared" si="29"/>
        <v/>
      </c>
      <c r="DG276" s="161" t="str">
        <f t="shared" si="29"/>
        <v/>
      </c>
      <c r="DH276" s="141"/>
      <c r="DI276" s="141"/>
      <c r="DJ276" s="141"/>
      <c r="DK276" s="141"/>
      <c r="DL276" s="141"/>
      <c r="DM276" s="141"/>
      <c r="DN276" s="163" t="str">
        <f t="shared" si="32"/>
        <v/>
      </c>
      <c r="DO276" s="164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0" t="str">
        <f>IF(ISBLANK(スキャン結果!C275),"",スキャン結果!C275)</f>
        <v/>
      </c>
      <c r="D277" s="161" t="str">
        <f>IF(ISBLANK(スキャン結果!D275),"",スキャン結果!D275)</f>
        <v/>
      </c>
      <c r="E277" s="161" t="str">
        <f>IF(ISBLANK(スキャン結果!E275),"",スキャン結果!E275)</f>
        <v/>
      </c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1" t="str">
        <f t="shared" si="28"/>
        <v/>
      </c>
      <c r="DC277" s="161" t="str">
        <f t="shared" si="29"/>
        <v/>
      </c>
      <c r="DD277" s="161" t="str">
        <f t="shared" si="29"/>
        <v/>
      </c>
      <c r="DE277" s="161" t="str">
        <f t="shared" si="29"/>
        <v/>
      </c>
      <c r="DF277" s="161" t="str">
        <f t="shared" si="29"/>
        <v/>
      </c>
      <c r="DG277" s="161" t="str">
        <f t="shared" si="29"/>
        <v/>
      </c>
      <c r="DH277" s="141"/>
      <c r="DI277" s="141"/>
      <c r="DJ277" s="141"/>
      <c r="DK277" s="141"/>
      <c r="DL277" s="141"/>
      <c r="DM277" s="141"/>
      <c r="DN277" s="163" t="str">
        <f t="shared" si="32"/>
        <v/>
      </c>
      <c r="DO277" s="164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160" t="str">
        <f>IF(ISBLANK(スキャン結果!C276),"",スキャン結果!C276)</f>
        <v/>
      </c>
      <c r="D278" s="161" t="str">
        <f>IF(ISBLANK(スキャン結果!D276),"",スキャン結果!D276)</f>
        <v/>
      </c>
      <c r="E278" s="161" t="str">
        <f>IF(ISBLANK(スキャン結果!E276),"",スキャン結果!E276)</f>
        <v/>
      </c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1" t="str">
        <f t="shared" si="28"/>
        <v/>
      </c>
      <c r="DC278" s="161" t="str">
        <f t="shared" si="29"/>
        <v/>
      </c>
      <c r="DD278" s="161" t="str">
        <f t="shared" si="29"/>
        <v/>
      </c>
      <c r="DE278" s="161" t="str">
        <f t="shared" si="29"/>
        <v/>
      </c>
      <c r="DF278" s="161" t="str">
        <f t="shared" si="29"/>
        <v/>
      </c>
      <c r="DG278" s="161" t="str">
        <f t="shared" si="29"/>
        <v/>
      </c>
      <c r="DH278" s="141"/>
      <c r="DI278" s="141"/>
      <c r="DJ278" s="141"/>
      <c r="DK278" s="141"/>
      <c r="DL278" s="141"/>
      <c r="DM278" s="141"/>
      <c r="DN278" s="163" t="str">
        <f t="shared" si="32"/>
        <v/>
      </c>
      <c r="DO278" s="164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60" t="str">
        <f>IF(ISBLANK(スキャン結果!C277),"",スキャン結果!C277)</f>
        <v/>
      </c>
      <c r="D279" s="161" t="str">
        <f>IF(ISBLANK(スキャン結果!D277),"",スキャン結果!D277)</f>
        <v/>
      </c>
      <c r="E279" s="161" t="str">
        <f>IF(ISBLANK(スキャン結果!E277),"",スキャン結果!E277)</f>
        <v/>
      </c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1" t="str">
        <f t="shared" si="28"/>
        <v/>
      </c>
      <c r="DC279" s="161" t="str">
        <f t="shared" si="29"/>
        <v/>
      </c>
      <c r="DD279" s="161" t="str">
        <f t="shared" si="29"/>
        <v/>
      </c>
      <c r="DE279" s="161" t="str">
        <f t="shared" si="29"/>
        <v/>
      </c>
      <c r="DF279" s="161" t="str">
        <f t="shared" si="29"/>
        <v/>
      </c>
      <c r="DG279" s="161" t="str">
        <f t="shared" si="29"/>
        <v/>
      </c>
      <c r="DH279" s="141"/>
      <c r="DI279" s="141"/>
      <c r="DJ279" s="141"/>
      <c r="DK279" s="141"/>
      <c r="DL279" s="141"/>
      <c r="DM279" s="141"/>
      <c r="DN279" s="163" t="str">
        <f t="shared" si="32"/>
        <v/>
      </c>
      <c r="DO279" s="164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0" t="str">
        <f>IF(ISBLANK(スキャン結果!C278),"",スキャン結果!C278)</f>
        <v/>
      </c>
      <c r="D280" s="161" t="str">
        <f>IF(ISBLANK(スキャン結果!D278),"",スキャン結果!D278)</f>
        <v/>
      </c>
      <c r="E280" s="161" t="str">
        <f>IF(ISBLANK(スキャン結果!E278),"",スキャン結果!E278)</f>
        <v/>
      </c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1" t="str">
        <f t="shared" si="28"/>
        <v/>
      </c>
      <c r="DC280" s="161" t="str">
        <f t="shared" si="29"/>
        <v/>
      </c>
      <c r="DD280" s="161" t="str">
        <f t="shared" si="29"/>
        <v/>
      </c>
      <c r="DE280" s="161" t="str">
        <f t="shared" si="29"/>
        <v/>
      </c>
      <c r="DF280" s="161" t="str">
        <f t="shared" si="29"/>
        <v/>
      </c>
      <c r="DG280" s="161" t="str">
        <f t="shared" si="29"/>
        <v/>
      </c>
      <c r="DH280" s="141"/>
      <c r="DI280" s="141"/>
      <c r="DJ280" s="141"/>
      <c r="DK280" s="141"/>
      <c r="DL280" s="141"/>
      <c r="DM280" s="141"/>
      <c r="DN280" s="163" t="str">
        <f t="shared" si="32"/>
        <v/>
      </c>
      <c r="DO280" s="164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0" t="str">
        <f>IF(ISBLANK(スキャン結果!C279),"",スキャン結果!C279)</f>
        <v/>
      </c>
      <c r="D281" s="161" t="str">
        <f>IF(ISBLANK(スキャン結果!D279),"",スキャン結果!D279)</f>
        <v/>
      </c>
      <c r="E281" s="161" t="str">
        <f>IF(ISBLANK(スキャン結果!E279),"",スキャン結果!E279)</f>
        <v/>
      </c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1" t="str">
        <f t="shared" si="28"/>
        <v/>
      </c>
      <c r="DC281" s="161" t="str">
        <f t="shared" si="29"/>
        <v/>
      </c>
      <c r="DD281" s="161" t="str">
        <f t="shared" si="29"/>
        <v/>
      </c>
      <c r="DE281" s="161" t="str">
        <f t="shared" si="29"/>
        <v/>
      </c>
      <c r="DF281" s="161" t="str">
        <f t="shared" si="29"/>
        <v/>
      </c>
      <c r="DG281" s="161" t="str">
        <f t="shared" si="29"/>
        <v/>
      </c>
      <c r="DH281" s="141"/>
      <c r="DI281" s="141"/>
      <c r="DJ281" s="141"/>
      <c r="DK281" s="141"/>
      <c r="DL281" s="141"/>
      <c r="DM281" s="141"/>
      <c r="DN281" s="163" t="str">
        <f t="shared" si="32"/>
        <v/>
      </c>
      <c r="DO281" s="164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0" t="str">
        <f>IF(ISBLANK(スキャン結果!C280),"",スキャン結果!C280)</f>
        <v/>
      </c>
      <c r="D282" s="161" t="str">
        <f>IF(ISBLANK(スキャン結果!D280),"",スキャン結果!D280)</f>
        <v/>
      </c>
      <c r="E282" s="161" t="str">
        <f>IF(ISBLANK(スキャン結果!E280),"",スキャン結果!E280)</f>
        <v/>
      </c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1" t="str">
        <f t="shared" si="28"/>
        <v/>
      </c>
      <c r="DC282" s="161" t="str">
        <f t="shared" si="29"/>
        <v/>
      </c>
      <c r="DD282" s="161" t="str">
        <f t="shared" si="29"/>
        <v/>
      </c>
      <c r="DE282" s="161" t="str">
        <f t="shared" si="29"/>
        <v/>
      </c>
      <c r="DF282" s="161" t="str">
        <f t="shared" si="29"/>
        <v/>
      </c>
      <c r="DG282" s="161" t="str">
        <f t="shared" si="29"/>
        <v/>
      </c>
      <c r="DH282" s="141"/>
      <c r="DI282" s="141"/>
      <c r="DJ282" s="141"/>
      <c r="DK282" s="141"/>
      <c r="DL282" s="141"/>
      <c r="DM282" s="141"/>
      <c r="DN282" s="163" t="str">
        <f t="shared" si="32"/>
        <v/>
      </c>
      <c r="DO282" s="164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160" t="str">
        <f>IF(ISBLANK(スキャン結果!C281),"",スキャン結果!C281)</f>
        <v/>
      </c>
      <c r="D283" s="161" t="str">
        <f>IF(ISBLANK(スキャン結果!D281),"",スキャン結果!D281)</f>
        <v/>
      </c>
      <c r="E283" s="161" t="str">
        <f>IF(ISBLANK(スキャン結果!E281),"",スキャン結果!E281)</f>
        <v/>
      </c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1" t="str">
        <f t="shared" si="28"/>
        <v/>
      </c>
      <c r="DC283" s="161" t="str">
        <f t="shared" si="29"/>
        <v/>
      </c>
      <c r="DD283" s="161" t="str">
        <f t="shared" si="29"/>
        <v/>
      </c>
      <c r="DE283" s="161" t="str">
        <f t="shared" si="29"/>
        <v/>
      </c>
      <c r="DF283" s="161" t="str">
        <f t="shared" si="29"/>
        <v/>
      </c>
      <c r="DG283" s="161" t="str">
        <f t="shared" si="29"/>
        <v/>
      </c>
      <c r="DH283" s="141"/>
      <c r="DI283" s="141"/>
      <c r="DJ283" s="141"/>
      <c r="DK283" s="141"/>
      <c r="DL283" s="141"/>
      <c r="DM283" s="141"/>
      <c r="DN283" s="163" t="str">
        <f t="shared" si="32"/>
        <v/>
      </c>
      <c r="DO283" s="164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60" t="str">
        <f>IF(ISBLANK(スキャン結果!C282),"",スキャン結果!C282)</f>
        <v/>
      </c>
      <c r="D284" s="161" t="str">
        <f>IF(ISBLANK(スキャン結果!D282),"",スキャン結果!D282)</f>
        <v/>
      </c>
      <c r="E284" s="161" t="str">
        <f>IF(ISBLANK(スキャン結果!E282),"",スキャン結果!E282)</f>
        <v/>
      </c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1" t="str">
        <f t="shared" si="28"/>
        <v/>
      </c>
      <c r="DC284" s="161" t="str">
        <f t="shared" si="29"/>
        <v/>
      </c>
      <c r="DD284" s="161" t="str">
        <f t="shared" si="29"/>
        <v/>
      </c>
      <c r="DE284" s="161" t="str">
        <f t="shared" si="29"/>
        <v/>
      </c>
      <c r="DF284" s="161" t="str">
        <f t="shared" si="29"/>
        <v/>
      </c>
      <c r="DG284" s="161" t="str">
        <f t="shared" si="29"/>
        <v/>
      </c>
      <c r="DH284" s="141"/>
      <c r="DI284" s="141"/>
      <c r="DJ284" s="141"/>
      <c r="DK284" s="141"/>
      <c r="DL284" s="141"/>
      <c r="DM284" s="141"/>
      <c r="DN284" s="163" t="str">
        <f t="shared" si="32"/>
        <v/>
      </c>
      <c r="DO284" s="164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0" t="str">
        <f>IF(ISBLANK(スキャン結果!C283),"",スキャン結果!C283)</f>
        <v/>
      </c>
      <c r="D285" s="161" t="str">
        <f>IF(ISBLANK(スキャン結果!D283),"",スキャン結果!D283)</f>
        <v/>
      </c>
      <c r="E285" s="161" t="str">
        <f>IF(ISBLANK(スキャン結果!E283),"",スキャン結果!E283)</f>
        <v/>
      </c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1" t="str">
        <f t="shared" si="28"/>
        <v/>
      </c>
      <c r="DC285" s="161" t="str">
        <f t="shared" si="29"/>
        <v/>
      </c>
      <c r="DD285" s="161" t="str">
        <f t="shared" si="29"/>
        <v/>
      </c>
      <c r="DE285" s="161" t="str">
        <f t="shared" si="29"/>
        <v/>
      </c>
      <c r="DF285" s="161" t="str">
        <f t="shared" si="29"/>
        <v/>
      </c>
      <c r="DG285" s="161" t="str">
        <f t="shared" si="29"/>
        <v/>
      </c>
      <c r="DH285" s="141"/>
      <c r="DI285" s="141"/>
      <c r="DJ285" s="141"/>
      <c r="DK285" s="141"/>
      <c r="DL285" s="141"/>
      <c r="DM285" s="141"/>
      <c r="DN285" s="163" t="str">
        <f t="shared" si="32"/>
        <v/>
      </c>
      <c r="DO285" s="164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0" t="str">
        <f>IF(ISBLANK(スキャン結果!C284),"",スキャン結果!C284)</f>
        <v/>
      </c>
      <c r="D286" s="161" t="str">
        <f>IF(ISBLANK(スキャン結果!D284),"",スキャン結果!D284)</f>
        <v/>
      </c>
      <c r="E286" s="161" t="str">
        <f>IF(ISBLANK(スキャン結果!E284),"",スキャン結果!E284)</f>
        <v/>
      </c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1" t="str">
        <f t="shared" si="28"/>
        <v/>
      </c>
      <c r="DC286" s="161" t="str">
        <f t="shared" si="29"/>
        <v/>
      </c>
      <c r="DD286" s="161" t="str">
        <f t="shared" si="29"/>
        <v/>
      </c>
      <c r="DE286" s="161" t="str">
        <f t="shared" si="29"/>
        <v/>
      </c>
      <c r="DF286" s="161" t="str">
        <f t="shared" si="29"/>
        <v/>
      </c>
      <c r="DG286" s="161" t="str">
        <f t="shared" si="29"/>
        <v/>
      </c>
      <c r="DH286" s="141"/>
      <c r="DI286" s="141"/>
      <c r="DJ286" s="141"/>
      <c r="DK286" s="141"/>
      <c r="DL286" s="141"/>
      <c r="DM286" s="141"/>
      <c r="DN286" s="163" t="str">
        <f t="shared" si="32"/>
        <v/>
      </c>
      <c r="DO286" s="164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0" t="str">
        <f>IF(ISBLANK(スキャン結果!C285),"",スキャン結果!C285)</f>
        <v/>
      </c>
      <c r="D287" s="161" t="str">
        <f>IF(ISBLANK(スキャン結果!D285),"",スキャン結果!D285)</f>
        <v/>
      </c>
      <c r="E287" s="161" t="str">
        <f>IF(ISBLANK(スキャン結果!E285),"",スキャン結果!E285)</f>
        <v/>
      </c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1" t="str">
        <f t="shared" si="28"/>
        <v/>
      </c>
      <c r="DC287" s="161" t="str">
        <f t="shared" si="29"/>
        <v/>
      </c>
      <c r="DD287" s="161" t="str">
        <f t="shared" si="29"/>
        <v/>
      </c>
      <c r="DE287" s="161" t="str">
        <f t="shared" si="29"/>
        <v/>
      </c>
      <c r="DF287" s="161" t="str">
        <f t="shared" si="29"/>
        <v/>
      </c>
      <c r="DG287" s="161" t="str">
        <f t="shared" si="29"/>
        <v/>
      </c>
      <c r="DH287" s="141"/>
      <c r="DI287" s="141"/>
      <c r="DJ287" s="141"/>
      <c r="DK287" s="141"/>
      <c r="DL287" s="141"/>
      <c r="DM287" s="141"/>
      <c r="DN287" s="163" t="str">
        <f t="shared" si="32"/>
        <v/>
      </c>
      <c r="DO287" s="164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160" t="str">
        <f>IF(ISBLANK(スキャン結果!C286),"",スキャン結果!C286)</f>
        <v/>
      </c>
      <c r="D288" s="161" t="str">
        <f>IF(ISBLANK(スキャン結果!D286),"",スキャン結果!D286)</f>
        <v/>
      </c>
      <c r="E288" s="161" t="str">
        <f>IF(ISBLANK(スキャン結果!E286),"",スキャン結果!E286)</f>
        <v/>
      </c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1" t="str">
        <f t="shared" si="28"/>
        <v/>
      </c>
      <c r="DC288" s="161" t="str">
        <f t="shared" si="29"/>
        <v/>
      </c>
      <c r="DD288" s="161" t="str">
        <f t="shared" si="29"/>
        <v/>
      </c>
      <c r="DE288" s="161" t="str">
        <f t="shared" si="29"/>
        <v/>
      </c>
      <c r="DF288" s="161" t="str">
        <f t="shared" si="29"/>
        <v/>
      </c>
      <c r="DG288" s="161" t="str">
        <f t="shared" si="29"/>
        <v/>
      </c>
      <c r="DH288" s="141"/>
      <c r="DI288" s="141"/>
      <c r="DJ288" s="141"/>
      <c r="DK288" s="141"/>
      <c r="DL288" s="141"/>
      <c r="DM288" s="141"/>
      <c r="DN288" s="163" t="str">
        <f t="shared" si="32"/>
        <v/>
      </c>
      <c r="DO288" s="164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60" t="str">
        <f>IF(ISBLANK(スキャン結果!C287),"",スキャン結果!C287)</f>
        <v/>
      </c>
      <c r="D289" s="161" t="str">
        <f>IF(ISBLANK(スキャン結果!D287),"",スキャン結果!D287)</f>
        <v/>
      </c>
      <c r="E289" s="161" t="str">
        <f>IF(ISBLANK(スキャン結果!E287),"",スキャン結果!E287)</f>
        <v/>
      </c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1" t="str">
        <f t="shared" si="28"/>
        <v/>
      </c>
      <c r="DC289" s="161" t="str">
        <f t="shared" si="29"/>
        <v/>
      </c>
      <c r="DD289" s="161" t="str">
        <f t="shared" si="29"/>
        <v/>
      </c>
      <c r="DE289" s="161" t="str">
        <f t="shared" si="29"/>
        <v/>
      </c>
      <c r="DF289" s="161" t="str">
        <f t="shared" si="29"/>
        <v/>
      </c>
      <c r="DG289" s="161" t="str">
        <f t="shared" si="29"/>
        <v/>
      </c>
      <c r="DH289" s="141"/>
      <c r="DI289" s="141"/>
      <c r="DJ289" s="141"/>
      <c r="DK289" s="141"/>
      <c r="DL289" s="141"/>
      <c r="DM289" s="141"/>
      <c r="DN289" s="163" t="str">
        <f t="shared" si="32"/>
        <v/>
      </c>
      <c r="DO289" s="164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0" t="str">
        <f>IF(ISBLANK(スキャン結果!C288),"",スキャン結果!C288)</f>
        <v/>
      </c>
      <c r="D290" s="161" t="str">
        <f>IF(ISBLANK(スキャン結果!D288),"",スキャン結果!D288)</f>
        <v/>
      </c>
      <c r="E290" s="161" t="str">
        <f>IF(ISBLANK(スキャン結果!E288),"",スキャン結果!E288)</f>
        <v/>
      </c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1" t="str">
        <f t="shared" si="28"/>
        <v/>
      </c>
      <c r="DC290" s="161" t="str">
        <f t="shared" si="29"/>
        <v/>
      </c>
      <c r="DD290" s="161" t="str">
        <f t="shared" si="29"/>
        <v/>
      </c>
      <c r="DE290" s="161" t="str">
        <f t="shared" si="29"/>
        <v/>
      </c>
      <c r="DF290" s="161" t="str">
        <f t="shared" si="29"/>
        <v/>
      </c>
      <c r="DG290" s="161" t="str">
        <f t="shared" si="29"/>
        <v/>
      </c>
      <c r="DH290" s="141"/>
      <c r="DI290" s="141"/>
      <c r="DJ290" s="141"/>
      <c r="DK290" s="141"/>
      <c r="DL290" s="141"/>
      <c r="DM290" s="141"/>
      <c r="DN290" s="163" t="str">
        <f t="shared" si="32"/>
        <v/>
      </c>
      <c r="DO290" s="164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0" t="str">
        <f>IF(ISBLANK(スキャン結果!C289),"",スキャン結果!C289)</f>
        <v/>
      </c>
      <c r="D291" s="161" t="str">
        <f>IF(ISBLANK(スキャン結果!D289),"",スキャン結果!D289)</f>
        <v/>
      </c>
      <c r="E291" s="161" t="str">
        <f>IF(ISBLANK(スキャン結果!E289),"",スキャン結果!E289)</f>
        <v/>
      </c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1" t="str">
        <f t="shared" si="28"/>
        <v/>
      </c>
      <c r="DC291" s="161" t="str">
        <f t="shared" si="29"/>
        <v/>
      </c>
      <c r="DD291" s="161" t="str">
        <f t="shared" si="29"/>
        <v/>
      </c>
      <c r="DE291" s="161" t="str">
        <f t="shared" si="29"/>
        <v/>
      </c>
      <c r="DF291" s="161" t="str">
        <f t="shared" si="29"/>
        <v/>
      </c>
      <c r="DG291" s="161" t="str">
        <f t="shared" si="29"/>
        <v/>
      </c>
      <c r="DH291" s="141"/>
      <c r="DI291" s="141"/>
      <c r="DJ291" s="141"/>
      <c r="DK291" s="141"/>
      <c r="DL291" s="141"/>
      <c r="DM291" s="141"/>
      <c r="DN291" s="163" t="str">
        <f t="shared" si="32"/>
        <v/>
      </c>
      <c r="DO291" s="164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0" t="str">
        <f>IF(ISBLANK(スキャン結果!C290),"",スキャン結果!C290)</f>
        <v/>
      </c>
      <c r="D292" s="161" t="str">
        <f>IF(ISBLANK(スキャン結果!D290),"",スキャン結果!D290)</f>
        <v/>
      </c>
      <c r="E292" s="161" t="str">
        <f>IF(ISBLANK(スキャン結果!E290),"",スキャン結果!E290)</f>
        <v/>
      </c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1" t="str">
        <f t="shared" si="28"/>
        <v/>
      </c>
      <c r="DC292" s="161" t="str">
        <f t="shared" si="29"/>
        <v/>
      </c>
      <c r="DD292" s="161" t="str">
        <f t="shared" si="29"/>
        <v/>
      </c>
      <c r="DE292" s="161" t="str">
        <f t="shared" si="29"/>
        <v/>
      </c>
      <c r="DF292" s="161" t="str">
        <f t="shared" si="29"/>
        <v/>
      </c>
      <c r="DG292" s="161" t="str">
        <f t="shared" si="29"/>
        <v/>
      </c>
      <c r="DH292" s="141"/>
      <c r="DI292" s="141"/>
      <c r="DJ292" s="141"/>
      <c r="DK292" s="141"/>
      <c r="DL292" s="141"/>
      <c r="DM292" s="141"/>
      <c r="DN292" s="163" t="str">
        <f t="shared" si="32"/>
        <v/>
      </c>
      <c r="DO292" s="164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160" t="str">
        <f>IF(ISBLANK(スキャン結果!C291),"",スキャン結果!C291)</f>
        <v/>
      </c>
      <c r="D293" s="161" t="str">
        <f>IF(ISBLANK(スキャン結果!D291),"",スキャン結果!D291)</f>
        <v/>
      </c>
      <c r="E293" s="161" t="str">
        <f>IF(ISBLANK(スキャン結果!E291),"",スキャン結果!E291)</f>
        <v/>
      </c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1" t="str">
        <f t="shared" si="28"/>
        <v/>
      </c>
      <c r="DC293" s="161" t="str">
        <f t="shared" si="29"/>
        <v/>
      </c>
      <c r="DD293" s="161" t="str">
        <f t="shared" si="29"/>
        <v/>
      </c>
      <c r="DE293" s="161" t="str">
        <f t="shared" si="29"/>
        <v/>
      </c>
      <c r="DF293" s="161" t="str">
        <f t="shared" si="29"/>
        <v/>
      </c>
      <c r="DG293" s="161" t="str">
        <f t="shared" si="29"/>
        <v/>
      </c>
      <c r="DH293" s="141"/>
      <c r="DI293" s="141"/>
      <c r="DJ293" s="141"/>
      <c r="DK293" s="141"/>
      <c r="DL293" s="141"/>
      <c r="DM293" s="141"/>
      <c r="DN293" s="163" t="str">
        <f t="shared" si="32"/>
        <v/>
      </c>
      <c r="DO293" s="164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60" t="str">
        <f>IF(ISBLANK(スキャン結果!C292),"",スキャン結果!C292)</f>
        <v/>
      </c>
      <c r="D294" s="161" t="str">
        <f>IF(ISBLANK(スキャン結果!D292),"",スキャン結果!D292)</f>
        <v/>
      </c>
      <c r="E294" s="161" t="str">
        <f>IF(ISBLANK(スキャン結果!E292),"",スキャン結果!E292)</f>
        <v/>
      </c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1" t="str">
        <f t="shared" si="28"/>
        <v/>
      </c>
      <c r="DC294" s="161" t="str">
        <f t="shared" si="29"/>
        <v/>
      </c>
      <c r="DD294" s="161" t="str">
        <f t="shared" si="29"/>
        <v/>
      </c>
      <c r="DE294" s="161" t="str">
        <f t="shared" si="29"/>
        <v/>
      </c>
      <c r="DF294" s="161" t="str">
        <f t="shared" si="29"/>
        <v/>
      </c>
      <c r="DG294" s="161" t="str">
        <f t="shared" si="29"/>
        <v/>
      </c>
      <c r="DH294" s="141"/>
      <c r="DI294" s="141"/>
      <c r="DJ294" s="141"/>
      <c r="DK294" s="141"/>
      <c r="DL294" s="141"/>
      <c r="DM294" s="141"/>
      <c r="DN294" s="163" t="str">
        <f t="shared" si="32"/>
        <v/>
      </c>
      <c r="DO294" s="164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0" t="str">
        <f>IF(ISBLANK(スキャン結果!C293),"",スキャン結果!C293)</f>
        <v/>
      </c>
      <c r="D295" s="161" t="str">
        <f>IF(ISBLANK(スキャン結果!D293),"",スキャン結果!D293)</f>
        <v/>
      </c>
      <c r="E295" s="161" t="str">
        <f>IF(ISBLANK(スキャン結果!E293),"",スキャン結果!E293)</f>
        <v/>
      </c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1" t="str">
        <f t="shared" si="28"/>
        <v/>
      </c>
      <c r="DC295" s="161" t="str">
        <f t="shared" si="29"/>
        <v/>
      </c>
      <c r="DD295" s="161" t="str">
        <f t="shared" si="29"/>
        <v/>
      </c>
      <c r="DE295" s="161" t="str">
        <f t="shared" si="29"/>
        <v/>
      </c>
      <c r="DF295" s="161" t="str">
        <f t="shared" si="29"/>
        <v/>
      </c>
      <c r="DG295" s="161" t="str">
        <f t="shared" si="29"/>
        <v/>
      </c>
      <c r="DH295" s="141"/>
      <c r="DI295" s="141"/>
      <c r="DJ295" s="141"/>
      <c r="DK295" s="141"/>
      <c r="DL295" s="141"/>
      <c r="DM295" s="141"/>
      <c r="DN295" s="163" t="str">
        <f t="shared" si="32"/>
        <v/>
      </c>
      <c r="DO295" s="164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0" t="str">
        <f>IF(ISBLANK(スキャン結果!C294),"",スキャン結果!C294)</f>
        <v/>
      </c>
      <c r="D296" s="161" t="str">
        <f>IF(ISBLANK(スキャン結果!D294),"",スキャン結果!D294)</f>
        <v/>
      </c>
      <c r="E296" s="161" t="str">
        <f>IF(ISBLANK(スキャン結果!E294),"",スキャン結果!E294)</f>
        <v/>
      </c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1" t="str">
        <f t="shared" si="28"/>
        <v/>
      </c>
      <c r="DC296" s="161" t="str">
        <f t="shared" si="29"/>
        <v/>
      </c>
      <c r="DD296" s="161" t="str">
        <f t="shared" si="29"/>
        <v/>
      </c>
      <c r="DE296" s="161" t="str">
        <f t="shared" si="29"/>
        <v/>
      </c>
      <c r="DF296" s="161" t="str">
        <f t="shared" si="29"/>
        <v/>
      </c>
      <c r="DG296" s="161" t="str">
        <f t="shared" si="29"/>
        <v/>
      </c>
      <c r="DH296" s="141"/>
      <c r="DI296" s="141"/>
      <c r="DJ296" s="141"/>
      <c r="DK296" s="141"/>
      <c r="DL296" s="141"/>
      <c r="DM296" s="141"/>
      <c r="DN296" s="163" t="str">
        <f t="shared" si="32"/>
        <v/>
      </c>
      <c r="DO296" s="164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0" t="str">
        <f>IF(ISBLANK(スキャン結果!C295),"",スキャン結果!C295)</f>
        <v/>
      </c>
      <c r="D297" s="161" t="str">
        <f>IF(ISBLANK(スキャン結果!D295),"",スキャン結果!D295)</f>
        <v/>
      </c>
      <c r="E297" s="161" t="str">
        <f>IF(ISBLANK(スキャン結果!E295),"",スキャン結果!E295)</f>
        <v/>
      </c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1" t="str">
        <f t="shared" si="28"/>
        <v/>
      </c>
      <c r="DC297" s="161" t="str">
        <f t="shared" si="29"/>
        <v/>
      </c>
      <c r="DD297" s="161" t="str">
        <f t="shared" si="29"/>
        <v/>
      </c>
      <c r="DE297" s="161" t="str">
        <f t="shared" si="29"/>
        <v/>
      </c>
      <c r="DF297" s="161" t="str">
        <f t="shared" si="29"/>
        <v/>
      </c>
      <c r="DG297" s="161" t="str">
        <f t="shared" si="29"/>
        <v/>
      </c>
      <c r="DH297" s="141"/>
      <c r="DI297" s="141"/>
      <c r="DJ297" s="141"/>
      <c r="DK297" s="141"/>
      <c r="DL297" s="141"/>
      <c r="DM297" s="141"/>
      <c r="DN297" s="163" t="str">
        <f t="shared" si="32"/>
        <v/>
      </c>
      <c r="DO297" s="164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160" t="str">
        <f>IF(ISBLANK(スキャン結果!C296),"",スキャン結果!C296)</f>
        <v/>
      </c>
      <c r="D298" s="161" t="str">
        <f>IF(ISBLANK(スキャン結果!D296),"",スキャン結果!D296)</f>
        <v/>
      </c>
      <c r="E298" s="161" t="str">
        <f>IF(ISBLANK(スキャン結果!E296),"",スキャン結果!E296)</f>
        <v/>
      </c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1" t="str">
        <f t="shared" si="28"/>
        <v/>
      </c>
      <c r="DC298" s="161" t="str">
        <f t="shared" si="29"/>
        <v/>
      </c>
      <c r="DD298" s="161" t="str">
        <f t="shared" si="29"/>
        <v/>
      </c>
      <c r="DE298" s="161" t="str">
        <f t="shared" si="29"/>
        <v/>
      </c>
      <c r="DF298" s="161" t="str">
        <f t="shared" si="29"/>
        <v/>
      </c>
      <c r="DG298" s="161" t="str">
        <f t="shared" si="29"/>
        <v/>
      </c>
      <c r="DH298" s="141"/>
      <c r="DI298" s="141"/>
      <c r="DJ298" s="141"/>
      <c r="DK298" s="141"/>
      <c r="DL298" s="141"/>
      <c r="DM298" s="141"/>
      <c r="DN298" s="163" t="str">
        <f t="shared" si="32"/>
        <v/>
      </c>
      <c r="DO298" s="164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60" t="str">
        <f>IF(ISBLANK(スキャン結果!C297),"",スキャン結果!C297)</f>
        <v/>
      </c>
      <c r="D299" s="161" t="str">
        <f>IF(ISBLANK(スキャン結果!D297),"",スキャン結果!D297)</f>
        <v/>
      </c>
      <c r="E299" s="161" t="str">
        <f>IF(ISBLANK(スキャン結果!E297),"",スキャン結果!E297)</f>
        <v/>
      </c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1" t="str">
        <f t="shared" si="28"/>
        <v/>
      </c>
      <c r="DC299" s="161" t="str">
        <f t="shared" si="29"/>
        <v/>
      </c>
      <c r="DD299" s="161" t="str">
        <f t="shared" si="29"/>
        <v/>
      </c>
      <c r="DE299" s="161" t="str">
        <f t="shared" si="29"/>
        <v/>
      </c>
      <c r="DF299" s="161" t="str">
        <f t="shared" si="29"/>
        <v/>
      </c>
      <c r="DG299" s="161" t="str">
        <f t="shared" si="29"/>
        <v/>
      </c>
      <c r="DH299" s="141"/>
      <c r="DI299" s="141"/>
      <c r="DJ299" s="141"/>
      <c r="DK299" s="141"/>
      <c r="DL299" s="141"/>
      <c r="DM299" s="141"/>
      <c r="DN299" s="163" t="str">
        <f t="shared" si="32"/>
        <v/>
      </c>
      <c r="DO299" s="164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0" t="str">
        <f>IF(ISBLANK(スキャン結果!C298),"",スキャン結果!C298)</f>
        <v/>
      </c>
      <c r="D300" s="161" t="str">
        <f>IF(ISBLANK(スキャン結果!D298),"",スキャン結果!D298)</f>
        <v/>
      </c>
      <c r="E300" s="161" t="str">
        <f>IF(ISBLANK(スキャン結果!E298),"",スキャン結果!E298)</f>
        <v/>
      </c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1" t="str">
        <f t="shared" si="28"/>
        <v/>
      </c>
      <c r="DC300" s="161" t="str">
        <f t="shared" si="29"/>
        <v/>
      </c>
      <c r="DD300" s="161" t="str">
        <f t="shared" si="29"/>
        <v/>
      </c>
      <c r="DE300" s="161" t="str">
        <f t="shared" si="29"/>
        <v/>
      </c>
      <c r="DF300" s="161" t="str">
        <f t="shared" si="29"/>
        <v/>
      </c>
      <c r="DG300" s="161" t="str">
        <f t="shared" si="29"/>
        <v/>
      </c>
      <c r="DH300" s="141"/>
      <c r="DI300" s="141"/>
      <c r="DJ300" s="141"/>
      <c r="DK300" s="141"/>
      <c r="DL300" s="141"/>
      <c r="DM300" s="141"/>
      <c r="DN300" s="163" t="str">
        <f t="shared" si="32"/>
        <v/>
      </c>
      <c r="DO300" s="164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0" t="str">
        <f>IF(ISBLANK(スキャン結果!C299),"",スキャン結果!C299)</f>
        <v/>
      </c>
      <c r="D301" s="161" t="str">
        <f>IF(ISBLANK(スキャン結果!D299),"",スキャン結果!D299)</f>
        <v/>
      </c>
      <c r="E301" s="161" t="str">
        <f>IF(ISBLANK(スキャン結果!E299),"",スキャン結果!E299)</f>
        <v/>
      </c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1" t="str">
        <f t="shared" si="28"/>
        <v/>
      </c>
      <c r="DC301" s="161" t="str">
        <f t="shared" si="29"/>
        <v/>
      </c>
      <c r="DD301" s="161" t="str">
        <f t="shared" si="29"/>
        <v/>
      </c>
      <c r="DE301" s="161" t="str">
        <f t="shared" si="29"/>
        <v/>
      </c>
      <c r="DF301" s="161" t="str">
        <f t="shared" si="29"/>
        <v/>
      </c>
      <c r="DG301" s="161" t="str">
        <f t="shared" si="29"/>
        <v/>
      </c>
      <c r="DH301" s="141"/>
      <c r="DI301" s="141"/>
      <c r="DJ301" s="141"/>
      <c r="DK301" s="141"/>
      <c r="DL301" s="141"/>
      <c r="DM301" s="141"/>
      <c r="DN301" s="163" t="str">
        <f t="shared" si="32"/>
        <v/>
      </c>
      <c r="DO301" s="164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0" t="str">
        <f>IF(ISBLANK(スキャン結果!C300),"",スキャン結果!C300)</f>
        <v/>
      </c>
      <c r="D302" s="161" t="str">
        <f>IF(ISBLANK(スキャン結果!D300),"",スキャン結果!D300)</f>
        <v/>
      </c>
      <c r="E302" s="161" t="str">
        <f>IF(ISBLANK(スキャン結果!E300),"",スキャン結果!E300)</f>
        <v/>
      </c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1" t="str">
        <f t="shared" si="28"/>
        <v/>
      </c>
      <c r="DC302" s="161" t="str">
        <f t="shared" si="29"/>
        <v/>
      </c>
      <c r="DD302" s="161" t="str">
        <f t="shared" si="29"/>
        <v/>
      </c>
      <c r="DE302" s="161" t="str">
        <f t="shared" si="29"/>
        <v/>
      </c>
      <c r="DF302" s="161" t="str">
        <f t="shared" si="29"/>
        <v/>
      </c>
      <c r="DG302" s="161" t="str">
        <f t="shared" si="29"/>
        <v/>
      </c>
      <c r="DH302" s="141"/>
      <c r="DI302" s="141"/>
      <c r="DJ302" s="141"/>
      <c r="DK302" s="141"/>
      <c r="DL302" s="141"/>
      <c r="DM302" s="141"/>
      <c r="DN302" s="163" t="str">
        <f t="shared" si="32"/>
        <v/>
      </c>
      <c r="DO302" s="164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160" t="str">
        <f>IF(ISBLANK(スキャン結果!C301),"",スキャン結果!C301)</f>
        <v/>
      </c>
      <c r="D303" s="161" t="str">
        <f>IF(ISBLANK(スキャン結果!D301),"",スキャン結果!D301)</f>
        <v/>
      </c>
      <c r="E303" s="161" t="str">
        <f>IF(ISBLANK(スキャン結果!E301),"",スキャン結果!E301)</f>
        <v/>
      </c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1" t="str">
        <f t="shared" si="28"/>
        <v/>
      </c>
      <c r="DC303" s="161" t="str">
        <f t="shared" si="29"/>
        <v/>
      </c>
      <c r="DD303" s="161" t="str">
        <f t="shared" si="29"/>
        <v/>
      </c>
      <c r="DE303" s="161" t="str">
        <f t="shared" si="29"/>
        <v/>
      </c>
      <c r="DF303" s="161" t="str">
        <f t="shared" si="29"/>
        <v/>
      </c>
      <c r="DG303" s="161" t="str">
        <f t="shared" si="29"/>
        <v/>
      </c>
      <c r="DH303" s="141"/>
      <c r="DI303" s="141"/>
      <c r="DJ303" s="141"/>
      <c r="DK303" s="141"/>
      <c r="DL303" s="141"/>
      <c r="DM303" s="141"/>
      <c r="DN303" s="163" t="str">
        <f t="shared" si="32"/>
        <v/>
      </c>
      <c r="DO303" s="164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60" t="str">
        <f>IF(ISBLANK(スキャン結果!C302),"",スキャン結果!C302)</f>
        <v/>
      </c>
      <c r="D304" s="161" t="str">
        <f>IF(ISBLANK(スキャン結果!D302),"",スキャン結果!D302)</f>
        <v/>
      </c>
      <c r="E304" s="161" t="str">
        <f>IF(ISBLANK(スキャン結果!E302),"",スキャン結果!E302)</f>
        <v/>
      </c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1" t="str">
        <f t="shared" si="28"/>
        <v/>
      </c>
      <c r="DC304" s="161" t="str">
        <f t="shared" si="29"/>
        <v/>
      </c>
      <c r="DD304" s="161" t="str">
        <f t="shared" si="29"/>
        <v/>
      </c>
      <c r="DE304" s="161" t="str">
        <f t="shared" si="29"/>
        <v/>
      </c>
      <c r="DF304" s="161" t="str">
        <f t="shared" si="29"/>
        <v/>
      </c>
      <c r="DG304" s="161" t="str">
        <f t="shared" si="29"/>
        <v/>
      </c>
      <c r="DH304" s="141"/>
      <c r="DI304" s="141"/>
      <c r="DJ304" s="141"/>
      <c r="DK304" s="141"/>
      <c r="DL304" s="141"/>
      <c r="DM304" s="141"/>
      <c r="DN304" s="163" t="str">
        <f t="shared" si="32"/>
        <v/>
      </c>
      <c r="DO304" s="164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0" t="str">
        <f>IF(ISBLANK(スキャン結果!C303),"",スキャン結果!C303)</f>
        <v/>
      </c>
      <c r="D305" s="161" t="str">
        <f>IF(ISBLANK(スキャン結果!D303),"",スキャン結果!D303)</f>
        <v/>
      </c>
      <c r="E305" s="161" t="str">
        <f>IF(ISBLANK(スキャン結果!E303),"",スキャン結果!E303)</f>
        <v/>
      </c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1" t="str">
        <f t="shared" ref="DB305:DB368" si="33">IF(OR($B305="",DB$4=""),"",SUMIF($F$3:$DA$4,DB$4,$F305:$DA305))</f>
        <v/>
      </c>
      <c r="DC305" s="161" t="str">
        <f t="shared" si="29"/>
        <v/>
      </c>
      <c r="DD305" s="161" t="str">
        <f t="shared" si="29"/>
        <v/>
      </c>
      <c r="DE305" s="161" t="str">
        <f t="shared" si="29"/>
        <v/>
      </c>
      <c r="DF305" s="161" t="str">
        <f t="shared" si="29"/>
        <v/>
      </c>
      <c r="DG305" s="161" t="str">
        <f t="shared" si="29"/>
        <v/>
      </c>
      <c r="DH305" s="141"/>
      <c r="DI305" s="141"/>
      <c r="DJ305" s="141"/>
      <c r="DK305" s="141"/>
      <c r="DL305" s="141"/>
      <c r="DM305" s="141"/>
      <c r="DN305" s="163" t="str">
        <f t="shared" si="32"/>
        <v/>
      </c>
      <c r="DO305" s="164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0" t="str">
        <f>IF(ISBLANK(スキャン結果!C304),"",スキャン結果!C304)</f>
        <v/>
      </c>
      <c r="D306" s="161" t="str">
        <f>IF(ISBLANK(スキャン結果!D304),"",スキャン結果!D304)</f>
        <v/>
      </c>
      <c r="E306" s="161" t="str">
        <f>IF(ISBLANK(スキャン結果!E304),"",スキャン結果!E304)</f>
        <v/>
      </c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1" t="str">
        <f t="shared" si="33"/>
        <v/>
      </c>
      <c r="DC306" s="161" t="str">
        <f t="shared" si="29"/>
        <v/>
      </c>
      <c r="DD306" s="161" t="str">
        <f t="shared" si="29"/>
        <v/>
      </c>
      <c r="DE306" s="161" t="str">
        <f t="shared" si="29"/>
        <v/>
      </c>
      <c r="DF306" s="161" t="str">
        <f t="shared" si="29"/>
        <v/>
      </c>
      <c r="DG306" s="161" t="str">
        <f t="shared" si="29"/>
        <v/>
      </c>
      <c r="DH306" s="141"/>
      <c r="DI306" s="141"/>
      <c r="DJ306" s="141"/>
      <c r="DK306" s="141"/>
      <c r="DL306" s="141"/>
      <c r="DM306" s="141"/>
      <c r="DN306" s="163" t="str">
        <f t="shared" si="32"/>
        <v/>
      </c>
      <c r="DO306" s="164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0" t="str">
        <f>IF(ISBLANK(スキャン結果!C305),"",スキャン結果!C305)</f>
        <v/>
      </c>
      <c r="D307" s="161" t="str">
        <f>IF(ISBLANK(スキャン結果!D305),"",スキャン結果!D305)</f>
        <v/>
      </c>
      <c r="E307" s="161" t="str">
        <f>IF(ISBLANK(スキャン結果!E305),"",スキャン結果!E305)</f>
        <v/>
      </c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1" t="str">
        <f t="shared" si="33"/>
        <v/>
      </c>
      <c r="DC307" s="161" t="str">
        <f t="shared" si="29"/>
        <v/>
      </c>
      <c r="DD307" s="161" t="str">
        <f t="shared" si="29"/>
        <v/>
      </c>
      <c r="DE307" s="161" t="str">
        <f t="shared" si="29"/>
        <v/>
      </c>
      <c r="DF307" s="161" t="str">
        <f t="shared" si="29"/>
        <v/>
      </c>
      <c r="DG307" s="161" t="str">
        <f t="shared" si="29"/>
        <v/>
      </c>
      <c r="DH307" s="141"/>
      <c r="DI307" s="141"/>
      <c r="DJ307" s="141"/>
      <c r="DK307" s="141"/>
      <c r="DL307" s="141"/>
      <c r="DM307" s="141"/>
      <c r="DN307" s="163" t="str">
        <f t="shared" si="32"/>
        <v/>
      </c>
      <c r="DO307" s="164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160" t="str">
        <f>IF(ISBLANK(スキャン結果!C306),"",スキャン結果!C306)</f>
        <v/>
      </c>
      <c r="D308" s="161" t="str">
        <f>IF(ISBLANK(スキャン結果!D306),"",スキャン結果!D306)</f>
        <v/>
      </c>
      <c r="E308" s="161" t="str">
        <f>IF(ISBLANK(スキャン結果!E306),"",スキャン結果!E306)</f>
        <v/>
      </c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1" t="str">
        <f t="shared" si="33"/>
        <v/>
      </c>
      <c r="DC308" s="161" t="str">
        <f t="shared" si="29"/>
        <v/>
      </c>
      <c r="DD308" s="161" t="str">
        <f t="shared" si="29"/>
        <v/>
      </c>
      <c r="DE308" s="161" t="str">
        <f t="shared" si="29"/>
        <v/>
      </c>
      <c r="DF308" s="161" t="str">
        <f t="shared" si="29"/>
        <v/>
      </c>
      <c r="DG308" s="161" t="str">
        <f t="shared" si="29"/>
        <v/>
      </c>
      <c r="DH308" s="141"/>
      <c r="DI308" s="141"/>
      <c r="DJ308" s="141"/>
      <c r="DK308" s="141"/>
      <c r="DL308" s="141"/>
      <c r="DM308" s="141"/>
      <c r="DN308" s="163" t="str">
        <f t="shared" si="32"/>
        <v/>
      </c>
      <c r="DO308" s="164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60" t="str">
        <f>IF(ISBLANK(スキャン結果!C307),"",スキャン結果!C307)</f>
        <v/>
      </c>
      <c r="D309" s="161" t="str">
        <f>IF(ISBLANK(スキャン結果!D307),"",スキャン結果!D307)</f>
        <v/>
      </c>
      <c r="E309" s="161" t="str">
        <f>IF(ISBLANK(スキャン結果!E307),"",スキャン結果!E307)</f>
        <v/>
      </c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1" t="str">
        <f t="shared" si="33"/>
        <v/>
      </c>
      <c r="DC309" s="161" t="str">
        <f t="shared" si="29"/>
        <v/>
      </c>
      <c r="DD309" s="161" t="str">
        <f t="shared" si="29"/>
        <v/>
      </c>
      <c r="DE309" s="161" t="str">
        <f t="shared" si="29"/>
        <v/>
      </c>
      <c r="DF309" s="161" t="str">
        <f t="shared" si="29"/>
        <v/>
      </c>
      <c r="DG309" s="161" t="str">
        <f t="shared" si="29"/>
        <v/>
      </c>
      <c r="DH309" s="141"/>
      <c r="DI309" s="141"/>
      <c r="DJ309" s="141"/>
      <c r="DK309" s="141"/>
      <c r="DL309" s="141"/>
      <c r="DM309" s="141"/>
      <c r="DN309" s="163" t="str">
        <f t="shared" si="32"/>
        <v/>
      </c>
      <c r="DO309" s="164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0" t="str">
        <f>IF(ISBLANK(スキャン結果!C308),"",スキャン結果!C308)</f>
        <v/>
      </c>
      <c r="D310" s="161" t="str">
        <f>IF(ISBLANK(スキャン結果!D308),"",スキャン結果!D308)</f>
        <v/>
      </c>
      <c r="E310" s="161" t="str">
        <f>IF(ISBLANK(スキャン結果!E308),"",スキャン結果!E308)</f>
        <v/>
      </c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1" t="str">
        <f t="shared" si="33"/>
        <v/>
      </c>
      <c r="DC310" s="161" t="str">
        <f t="shared" si="29"/>
        <v/>
      </c>
      <c r="DD310" s="161" t="str">
        <f t="shared" si="29"/>
        <v/>
      </c>
      <c r="DE310" s="161" t="str">
        <f t="shared" si="29"/>
        <v/>
      </c>
      <c r="DF310" s="161" t="str">
        <f t="shared" si="29"/>
        <v/>
      </c>
      <c r="DG310" s="161" t="str">
        <f t="shared" si="29"/>
        <v/>
      </c>
      <c r="DH310" s="141"/>
      <c r="DI310" s="141"/>
      <c r="DJ310" s="141"/>
      <c r="DK310" s="141"/>
      <c r="DL310" s="141"/>
      <c r="DM310" s="141"/>
      <c r="DN310" s="163" t="str">
        <f t="shared" si="32"/>
        <v/>
      </c>
      <c r="DO310" s="164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0" t="str">
        <f>IF(ISBLANK(スキャン結果!C309),"",スキャン結果!C309)</f>
        <v/>
      </c>
      <c r="D311" s="161" t="str">
        <f>IF(ISBLANK(スキャン結果!D309),"",スキャン結果!D309)</f>
        <v/>
      </c>
      <c r="E311" s="161" t="str">
        <f>IF(ISBLANK(スキャン結果!E309),"",スキャン結果!E309)</f>
        <v/>
      </c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1" t="str">
        <f t="shared" si="33"/>
        <v/>
      </c>
      <c r="DC311" s="161" t="str">
        <f t="shared" si="29"/>
        <v/>
      </c>
      <c r="DD311" s="161" t="str">
        <f t="shared" si="29"/>
        <v/>
      </c>
      <c r="DE311" s="161" t="str">
        <f t="shared" si="29"/>
        <v/>
      </c>
      <c r="DF311" s="161" t="str">
        <f t="shared" si="29"/>
        <v/>
      </c>
      <c r="DG311" s="161" t="str">
        <f t="shared" si="29"/>
        <v/>
      </c>
      <c r="DH311" s="141"/>
      <c r="DI311" s="141"/>
      <c r="DJ311" s="141"/>
      <c r="DK311" s="141"/>
      <c r="DL311" s="141"/>
      <c r="DM311" s="141"/>
      <c r="DN311" s="163" t="str">
        <f t="shared" si="32"/>
        <v/>
      </c>
      <c r="DO311" s="164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0" t="str">
        <f>IF(ISBLANK(スキャン結果!C310),"",スキャン結果!C310)</f>
        <v/>
      </c>
      <c r="D312" s="161" t="str">
        <f>IF(ISBLANK(スキャン結果!D310),"",スキャン結果!D310)</f>
        <v/>
      </c>
      <c r="E312" s="161" t="str">
        <f>IF(ISBLANK(スキャン結果!E310),"",スキャン結果!E310)</f>
        <v/>
      </c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1" t="str">
        <f t="shared" si="33"/>
        <v/>
      </c>
      <c r="DC312" s="161" t="str">
        <f t="shared" si="29"/>
        <v/>
      </c>
      <c r="DD312" s="161" t="str">
        <f t="shared" si="29"/>
        <v/>
      </c>
      <c r="DE312" s="161" t="str">
        <f t="shared" si="29"/>
        <v/>
      </c>
      <c r="DF312" s="161" t="str">
        <f t="shared" si="29"/>
        <v/>
      </c>
      <c r="DG312" s="161" t="str">
        <f t="shared" si="29"/>
        <v/>
      </c>
      <c r="DH312" s="141"/>
      <c r="DI312" s="141"/>
      <c r="DJ312" s="141"/>
      <c r="DK312" s="141"/>
      <c r="DL312" s="141"/>
      <c r="DM312" s="141"/>
      <c r="DN312" s="163" t="str">
        <f t="shared" si="32"/>
        <v/>
      </c>
      <c r="DO312" s="164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160" t="str">
        <f>IF(ISBLANK(スキャン結果!C311),"",スキャン結果!C311)</f>
        <v/>
      </c>
      <c r="D313" s="161" t="str">
        <f>IF(ISBLANK(スキャン結果!D311),"",スキャン結果!D311)</f>
        <v/>
      </c>
      <c r="E313" s="161" t="str">
        <f>IF(ISBLANK(スキャン結果!E311),"",スキャン結果!E311)</f>
        <v/>
      </c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1" t="str">
        <f t="shared" si="33"/>
        <v/>
      </c>
      <c r="DC313" s="161" t="str">
        <f t="shared" si="29"/>
        <v/>
      </c>
      <c r="DD313" s="161" t="str">
        <f t="shared" si="29"/>
        <v/>
      </c>
      <c r="DE313" s="161" t="str">
        <f t="shared" si="29"/>
        <v/>
      </c>
      <c r="DF313" s="161" t="str">
        <f t="shared" si="29"/>
        <v/>
      </c>
      <c r="DG313" s="161" t="str">
        <f t="shared" si="29"/>
        <v/>
      </c>
      <c r="DH313" s="141"/>
      <c r="DI313" s="141"/>
      <c r="DJ313" s="141"/>
      <c r="DK313" s="141"/>
      <c r="DL313" s="141"/>
      <c r="DM313" s="141"/>
      <c r="DN313" s="163" t="str">
        <f t="shared" si="32"/>
        <v/>
      </c>
      <c r="DO313" s="164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60" t="str">
        <f>IF(ISBLANK(スキャン結果!C312),"",スキャン結果!C312)</f>
        <v/>
      </c>
      <c r="D314" s="161" t="str">
        <f>IF(ISBLANK(スキャン結果!D312),"",スキャン結果!D312)</f>
        <v/>
      </c>
      <c r="E314" s="161" t="str">
        <f>IF(ISBLANK(スキャン結果!E312),"",スキャン結果!E312)</f>
        <v/>
      </c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1" t="str">
        <f t="shared" si="33"/>
        <v/>
      </c>
      <c r="DC314" s="161" t="str">
        <f t="shared" si="29"/>
        <v/>
      </c>
      <c r="DD314" s="161" t="str">
        <f t="shared" si="29"/>
        <v/>
      </c>
      <c r="DE314" s="161" t="str">
        <f t="shared" si="29"/>
        <v/>
      </c>
      <c r="DF314" s="161" t="str">
        <f t="shared" si="29"/>
        <v/>
      </c>
      <c r="DG314" s="161" t="str">
        <f t="shared" si="29"/>
        <v/>
      </c>
      <c r="DH314" s="141"/>
      <c r="DI314" s="141"/>
      <c r="DJ314" s="141"/>
      <c r="DK314" s="141"/>
      <c r="DL314" s="141"/>
      <c r="DM314" s="141"/>
      <c r="DN314" s="163" t="str">
        <f t="shared" si="32"/>
        <v/>
      </c>
      <c r="DO314" s="164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0" t="str">
        <f>IF(ISBLANK(スキャン結果!C313),"",スキャン結果!C313)</f>
        <v/>
      </c>
      <c r="D315" s="161" t="str">
        <f>IF(ISBLANK(スキャン結果!D313),"",スキャン結果!D313)</f>
        <v/>
      </c>
      <c r="E315" s="161" t="str">
        <f>IF(ISBLANK(スキャン結果!E313),"",スキャン結果!E313)</f>
        <v/>
      </c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1" t="str">
        <f t="shared" si="33"/>
        <v/>
      </c>
      <c r="DC315" s="161" t="str">
        <f t="shared" si="29"/>
        <v/>
      </c>
      <c r="DD315" s="161" t="str">
        <f t="shared" si="29"/>
        <v/>
      </c>
      <c r="DE315" s="161" t="str">
        <f t="shared" si="29"/>
        <v/>
      </c>
      <c r="DF315" s="161" t="str">
        <f t="shared" si="29"/>
        <v/>
      </c>
      <c r="DG315" s="161" t="str">
        <f t="shared" si="29"/>
        <v/>
      </c>
      <c r="DH315" s="141"/>
      <c r="DI315" s="141"/>
      <c r="DJ315" s="141"/>
      <c r="DK315" s="141"/>
      <c r="DL315" s="141"/>
      <c r="DM315" s="141"/>
      <c r="DN315" s="163" t="str">
        <f t="shared" si="32"/>
        <v/>
      </c>
      <c r="DO315" s="164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0" t="str">
        <f>IF(ISBLANK(スキャン結果!C314),"",スキャン結果!C314)</f>
        <v/>
      </c>
      <c r="D316" s="161" t="str">
        <f>IF(ISBLANK(スキャン結果!D314),"",スキャン結果!D314)</f>
        <v/>
      </c>
      <c r="E316" s="161" t="str">
        <f>IF(ISBLANK(スキャン結果!E314),"",スキャン結果!E314)</f>
        <v/>
      </c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1" t="str">
        <f t="shared" si="33"/>
        <v/>
      </c>
      <c r="DC316" s="161" t="str">
        <f t="shared" si="29"/>
        <v/>
      </c>
      <c r="DD316" s="161" t="str">
        <f t="shared" si="29"/>
        <v/>
      </c>
      <c r="DE316" s="161" t="str">
        <f t="shared" ref="DC316:DG367" si="34">IF(OR($B316="",DE$4=""),"",SUMIF($F$3:$DA$4,DE$4,$F316:$DA316))</f>
        <v/>
      </c>
      <c r="DF316" s="161" t="str">
        <f t="shared" si="34"/>
        <v/>
      </c>
      <c r="DG316" s="161" t="str">
        <f t="shared" si="34"/>
        <v/>
      </c>
      <c r="DH316" s="141"/>
      <c r="DI316" s="141"/>
      <c r="DJ316" s="141"/>
      <c r="DK316" s="141"/>
      <c r="DL316" s="141"/>
      <c r="DM316" s="141"/>
      <c r="DN316" s="163" t="str">
        <f t="shared" si="32"/>
        <v/>
      </c>
      <c r="DO316" s="164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0" t="str">
        <f>IF(ISBLANK(スキャン結果!C315),"",スキャン結果!C315)</f>
        <v/>
      </c>
      <c r="D317" s="161" t="str">
        <f>IF(ISBLANK(スキャン結果!D315),"",スキャン結果!D315)</f>
        <v/>
      </c>
      <c r="E317" s="161" t="str">
        <f>IF(ISBLANK(スキャン結果!E315),"",スキャン結果!E315)</f>
        <v/>
      </c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1" t="str">
        <f t="shared" si="33"/>
        <v/>
      </c>
      <c r="DC317" s="161" t="str">
        <f t="shared" si="34"/>
        <v/>
      </c>
      <c r="DD317" s="161" t="str">
        <f t="shared" si="34"/>
        <v/>
      </c>
      <c r="DE317" s="161" t="str">
        <f t="shared" si="34"/>
        <v/>
      </c>
      <c r="DF317" s="161" t="str">
        <f t="shared" si="34"/>
        <v/>
      </c>
      <c r="DG317" s="161" t="str">
        <f t="shared" si="34"/>
        <v/>
      </c>
      <c r="DH317" s="141"/>
      <c r="DI317" s="141"/>
      <c r="DJ317" s="141"/>
      <c r="DK317" s="141"/>
      <c r="DL317" s="141"/>
      <c r="DM317" s="141"/>
      <c r="DN317" s="163" t="str">
        <f t="shared" si="32"/>
        <v/>
      </c>
      <c r="DO317" s="164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160" t="str">
        <f>IF(ISBLANK(スキャン結果!C316),"",スキャン結果!C316)</f>
        <v/>
      </c>
      <c r="D318" s="161" t="str">
        <f>IF(ISBLANK(スキャン結果!D316),"",スキャン結果!D316)</f>
        <v/>
      </c>
      <c r="E318" s="161" t="str">
        <f>IF(ISBLANK(スキャン結果!E316),"",スキャン結果!E316)</f>
        <v/>
      </c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1" t="str">
        <f t="shared" si="33"/>
        <v/>
      </c>
      <c r="DC318" s="161" t="str">
        <f t="shared" si="34"/>
        <v/>
      </c>
      <c r="DD318" s="161" t="str">
        <f t="shared" si="34"/>
        <v/>
      </c>
      <c r="DE318" s="161" t="str">
        <f t="shared" si="34"/>
        <v/>
      </c>
      <c r="DF318" s="161" t="str">
        <f t="shared" si="34"/>
        <v/>
      </c>
      <c r="DG318" s="161" t="str">
        <f t="shared" si="34"/>
        <v/>
      </c>
      <c r="DH318" s="141"/>
      <c r="DI318" s="141"/>
      <c r="DJ318" s="141"/>
      <c r="DK318" s="141"/>
      <c r="DL318" s="141"/>
      <c r="DM318" s="141"/>
      <c r="DN318" s="163" t="str">
        <f t="shared" si="32"/>
        <v/>
      </c>
      <c r="DO318" s="164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60" t="str">
        <f>IF(ISBLANK(スキャン結果!C317),"",スキャン結果!C317)</f>
        <v/>
      </c>
      <c r="D319" s="161" t="str">
        <f>IF(ISBLANK(スキャン結果!D317),"",スキャン結果!D317)</f>
        <v/>
      </c>
      <c r="E319" s="161" t="str">
        <f>IF(ISBLANK(スキャン結果!E317),"",スキャン結果!E317)</f>
        <v/>
      </c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1" t="str">
        <f t="shared" si="33"/>
        <v/>
      </c>
      <c r="DC319" s="161" t="str">
        <f t="shared" si="34"/>
        <v/>
      </c>
      <c r="DD319" s="161" t="str">
        <f t="shared" si="34"/>
        <v/>
      </c>
      <c r="DE319" s="161" t="str">
        <f t="shared" si="34"/>
        <v/>
      </c>
      <c r="DF319" s="161" t="str">
        <f t="shared" si="34"/>
        <v/>
      </c>
      <c r="DG319" s="161" t="str">
        <f t="shared" si="34"/>
        <v/>
      </c>
      <c r="DH319" s="141"/>
      <c r="DI319" s="141"/>
      <c r="DJ319" s="141"/>
      <c r="DK319" s="141"/>
      <c r="DL319" s="141"/>
      <c r="DM319" s="141"/>
      <c r="DN319" s="163" t="str">
        <f t="shared" si="32"/>
        <v/>
      </c>
      <c r="DO319" s="164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0" t="str">
        <f>IF(ISBLANK(スキャン結果!C318),"",スキャン結果!C318)</f>
        <v/>
      </c>
      <c r="D320" s="161" t="str">
        <f>IF(ISBLANK(スキャン結果!D318),"",スキャン結果!D318)</f>
        <v/>
      </c>
      <c r="E320" s="161" t="str">
        <f>IF(ISBLANK(スキャン結果!E318),"",スキャン結果!E318)</f>
        <v/>
      </c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1" t="str">
        <f t="shared" si="33"/>
        <v/>
      </c>
      <c r="DC320" s="161" t="str">
        <f t="shared" si="34"/>
        <v/>
      </c>
      <c r="DD320" s="161" t="str">
        <f t="shared" si="34"/>
        <v/>
      </c>
      <c r="DE320" s="161" t="str">
        <f t="shared" si="34"/>
        <v/>
      </c>
      <c r="DF320" s="161" t="str">
        <f t="shared" si="34"/>
        <v/>
      </c>
      <c r="DG320" s="161" t="str">
        <f t="shared" si="34"/>
        <v/>
      </c>
      <c r="DH320" s="141"/>
      <c r="DI320" s="141"/>
      <c r="DJ320" s="141"/>
      <c r="DK320" s="141"/>
      <c r="DL320" s="141"/>
      <c r="DM320" s="141"/>
      <c r="DN320" s="163" t="str">
        <f t="shared" si="32"/>
        <v/>
      </c>
      <c r="DO320" s="164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0" t="str">
        <f>IF(ISBLANK(スキャン結果!C319),"",スキャン結果!C319)</f>
        <v/>
      </c>
      <c r="D321" s="161" t="str">
        <f>IF(ISBLANK(スキャン結果!D319),"",スキャン結果!D319)</f>
        <v/>
      </c>
      <c r="E321" s="161" t="str">
        <f>IF(ISBLANK(スキャン結果!E319),"",スキャン結果!E319)</f>
        <v/>
      </c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1" t="str">
        <f t="shared" si="33"/>
        <v/>
      </c>
      <c r="DC321" s="161" t="str">
        <f t="shared" si="34"/>
        <v/>
      </c>
      <c r="DD321" s="161" t="str">
        <f t="shared" si="34"/>
        <v/>
      </c>
      <c r="DE321" s="161" t="str">
        <f t="shared" si="34"/>
        <v/>
      </c>
      <c r="DF321" s="161" t="str">
        <f t="shared" si="34"/>
        <v/>
      </c>
      <c r="DG321" s="161" t="str">
        <f t="shared" si="34"/>
        <v/>
      </c>
      <c r="DH321" s="141"/>
      <c r="DI321" s="141"/>
      <c r="DJ321" s="141"/>
      <c r="DK321" s="141"/>
      <c r="DL321" s="141"/>
      <c r="DM321" s="141"/>
      <c r="DN321" s="163" t="str">
        <f t="shared" si="32"/>
        <v/>
      </c>
      <c r="DO321" s="164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0" t="str">
        <f>IF(ISBLANK(スキャン結果!C320),"",スキャン結果!C320)</f>
        <v/>
      </c>
      <c r="D322" s="161" t="str">
        <f>IF(ISBLANK(スキャン結果!D320),"",スキャン結果!D320)</f>
        <v/>
      </c>
      <c r="E322" s="161" t="str">
        <f>IF(ISBLANK(スキャン結果!E320),"",スキャン結果!E320)</f>
        <v/>
      </c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1" t="str">
        <f t="shared" si="33"/>
        <v/>
      </c>
      <c r="DC322" s="161" t="str">
        <f t="shared" si="34"/>
        <v/>
      </c>
      <c r="DD322" s="161" t="str">
        <f t="shared" si="34"/>
        <v/>
      </c>
      <c r="DE322" s="161" t="str">
        <f t="shared" si="34"/>
        <v/>
      </c>
      <c r="DF322" s="161" t="str">
        <f t="shared" si="34"/>
        <v/>
      </c>
      <c r="DG322" s="161" t="str">
        <f t="shared" si="34"/>
        <v/>
      </c>
      <c r="DH322" s="141"/>
      <c r="DI322" s="141"/>
      <c r="DJ322" s="141"/>
      <c r="DK322" s="141"/>
      <c r="DL322" s="141"/>
      <c r="DM322" s="141"/>
      <c r="DN322" s="163" t="str">
        <f t="shared" si="32"/>
        <v/>
      </c>
      <c r="DO322" s="164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160" t="str">
        <f>IF(ISBLANK(スキャン結果!C321),"",スキャン結果!C321)</f>
        <v/>
      </c>
      <c r="D323" s="161" t="str">
        <f>IF(ISBLANK(スキャン結果!D321),"",スキャン結果!D321)</f>
        <v/>
      </c>
      <c r="E323" s="161" t="str">
        <f>IF(ISBLANK(スキャン結果!E321),"",スキャン結果!E321)</f>
        <v/>
      </c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1" t="str">
        <f t="shared" si="33"/>
        <v/>
      </c>
      <c r="DC323" s="161" t="str">
        <f t="shared" si="34"/>
        <v/>
      </c>
      <c r="DD323" s="161" t="str">
        <f t="shared" si="34"/>
        <v/>
      </c>
      <c r="DE323" s="161" t="str">
        <f t="shared" si="34"/>
        <v/>
      </c>
      <c r="DF323" s="161" t="str">
        <f t="shared" si="34"/>
        <v/>
      </c>
      <c r="DG323" s="161" t="str">
        <f t="shared" si="34"/>
        <v/>
      </c>
      <c r="DH323" s="141"/>
      <c r="DI323" s="141"/>
      <c r="DJ323" s="141"/>
      <c r="DK323" s="141"/>
      <c r="DL323" s="141"/>
      <c r="DM323" s="141"/>
      <c r="DN323" s="163" t="str">
        <f t="shared" si="32"/>
        <v/>
      </c>
      <c r="DO323" s="164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60" t="str">
        <f>IF(ISBLANK(スキャン結果!C322),"",スキャン結果!C322)</f>
        <v/>
      </c>
      <c r="D324" s="161" t="str">
        <f>IF(ISBLANK(スキャン結果!D322),"",スキャン結果!D322)</f>
        <v/>
      </c>
      <c r="E324" s="161" t="str">
        <f>IF(ISBLANK(スキャン結果!E322),"",スキャン結果!E322)</f>
        <v/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1" t="str">
        <f t="shared" si="33"/>
        <v/>
      </c>
      <c r="DC324" s="161" t="str">
        <f t="shared" si="34"/>
        <v/>
      </c>
      <c r="DD324" s="161" t="str">
        <f t="shared" si="34"/>
        <v/>
      </c>
      <c r="DE324" s="161" t="str">
        <f t="shared" si="34"/>
        <v/>
      </c>
      <c r="DF324" s="161" t="str">
        <f t="shared" si="34"/>
        <v/>
      </c>
      <c r="DG324" s="161" t="str">
        <f t="shared" si="34"/>
        <v/>
      </c>
      <c r="DH324" s="141"/>
      <c r="DI324" s="141"/>
      <c r="DJ324" s="141"/>
      <c r="DK324" s="141"/>
      <c r="DL324" s="141"/>
      <c r="DM324" s="141"/>
      <c r="DN324" s="163" t="str">
        <f t="shared" si="32"/>
        <v/>
      </c>
      <c r="DO324" s="164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0" t="str">
        <f>IF(ISBLANK(スキャン結果!C323),"",スキャン結果!C323)</f>
        <v/>
      </c>
      <c r="D325" s="161" t="str">
        <f>IF(ISBLANK(スキャン結果!D323),"",スキャン結果!D323)</f>
        <v/>
      </c>
      <c r="E325" s="161" t="str">
        <f>IF(ISBLANK(スキャン結果!E323),"",スキャン結果!E323)</f>
        <v/>
      </c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1" t="str">
        <f t="shared" si="33"/>
        <v/>
      </c>
      <c r="DC325" s="161" t="str">
        <f t="shared" si="34"/>
        <v/>
      </c>
      <c r="DD325" s="161" t="str">
        <f t="shared" si="34"/>
        <v/>
      </c>
      <c r="DE325" s="161" t="str">
        <f t="shared" si="34"/>
        <v/>
      </c>
      <c r="DF325" s="161" t="str">
        <f t="shared" si="34"/>
        <v/>
      </c>
      <c r="DG325" s="161" t="str">
        <f t="shared" si="34"/>
        <v/>
      </c>
      <c r="DH325" s="141"/>
      <c r="DI325" s="141"/>
      <c r="DJ325" s="141"/>
      <c r="DK325" s="141"/>
      <c r="DL325" s="141"/>
      <c r="DM325" s="141"/>
      <c r="DN325" s="163" t="str">
        <f t="shared" si="32"/>
        <v/>
      </c>
      <c r="DO325" s="164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0" t="str">
        <f>IF(ISBLANK(スキャン結果!C324),"",スキャン結果!C324)</f>
        <v/>
      </c>
      <c r="D326" s="161" t="str">
        <f>IF(ISBLANK(スキャン結果!D324),"",スキャン結果!D324)</f>
        <v/>
      </c>
      <c r="E326" s="161" t="str">
        <f>IF(ISBLANK(スキャン結果!E324),"",スキャン結果!E324)</f>
        <v/>
      </c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1" t="str">
        <f t="shared" si="33"/>
        <v/>
      </c>
      <c r="DC326" s="161" t="str">
        <f t="shared" si="34"/>
        <v/>
      </c>
      <c r="DD326" s="161" t="str">
        <f t="shared" si="34"/>
        <v/>
      </c>
      <c r="DE326" s="161" t="str">
        <f t="shared" si="34"/>
        <v/>
      </c>
      <c r="DF326" s="161" t="str">
        <f t="shared" si="34"/>
        <v/>
      </c>
      <c r="DG326" s="161" t="str">
        <f t="shared" si="34"/>
        <v/>
      </c>
      <c r="DH326" s="141"/>
      <c r="DI326" s="141"/>
      <c r="DJ326" s="141"/>
      <c r="DK326" s="141"/>
      <c r="DL326" s="141"/>
      <c r="DM326" s="141"/>
      <c r="DN326" s="163" t="str">
        <f t="shared" si="32"/>
        <v/>
      </c>
      <c r="DO326" s="164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0" t="str">
        <f>IF(ISBLANK(スキャン結果!C325),"",スキャン結果!C325)</f>
        <v/>
      </c>
      <c r="D327" s="161" t="str">
        <f>IF(ISBLANK(スキャン結果!D325),"",スキャン結果!D325)</f>
        <v/>
      </c>
      <c r="E327" s="161" t="str">
        <f>IF(ISBLANK(スキャン結果!E325),"",スキャン結果!E325)</f>
        <v/>
      </c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1" t="str">
        <f t="shared" si="33"/>
        <v/>
      </c>
      <c r="DC327" s="161" t="str">
        <f t="shared" si="34"/>
        <v/>
      </c>
      <c r="DD327" s="161" t="str">
        <f t="shared" si="34"/>
        <v/>
      </c>
      <c r="DE327" s="161" t="str">
        <f t="shared" si="34"/>
        <v/>
      </c>
      <c r="DF327" s="161" t="str">
        <f t="shared" si="34"/>
        <v/>
      </c>
      <c r="DG327" s="161" t="str">
        <f t="shared" si="34"/>
        <v/>
      </c>
      <c r="DH327" s="141"/>
      <c r="DI327" s="141"/>
      <c r="DJ327" s="141"/>
      <c r="DK327" s="141"/>
      <c r="DL327" s="141"/>
      <c r="DM327" s="141"/>
      <c r="DN327" s="163" t="str">
        <f t="shared" si="32"/>
        <v/>
      </c>
      <c r="DO327" s="164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160" t="str">
        <f>IF(ISBLANK(スキャン結果!C326),"",スキャン結果!C326)</f>
        <v/>
      </c>
      <c r="D328" s="161" t="str">
        <f>IF(ISBLANK(スキャン結果!D326),"",スキャン結果!D326)</f>
        <v/>
      </c>
      <c r="E328" s="161" t="str">
        <f>IF(ISBLANK(スキャン結果!E326),"",スキャン結果!E326)</f>
        <v/>
      </c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1" t="str">
        <f t="shared" si="33"/>
        <v/>
      </c>
      <c r="DC328" s="161" t="str">
        <f t="shared" si="34"/>
        <v/>
      </c>
      <c r="DD328" s="161" t="str">
        <f t="shared" si="34"/>
        <v/>
      </c>
      <c r="DE328" s="161" t="str">
        <f t="shared" si="34"/>
        <v/>
      </c>
      <c r="DF328" s="161" t="str">
        <f t="shared" si="34"/>
        <v/>
      </c>
      <c r="DG328" s="161" t="str">
        <f t="shared" si="34"/>
        <v/>
      </c>
      <c r="DH328" s="141"/>
      <c r="DI328" s="141"/>
      <c r="DJ328" s="141"/>
      <c r="DK328" s="141"/>
      <c r="DL328" s="141"/>
      <c r="DM328" s="141"/>
      <c r="DN328" s="163" t="str">
        <f t="shared" si="32"/>
        <v/>
      </c>
      <c r="DO328" s="164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60" t="str">
        <f>IF(ISBLANK(スキャン結果!C327),"",スキャン結果!C327)</f>
        <v/>
      </c>
      <c r="D329" s="161" t="str">
        <f>IF(ISBLANK(スキャン結果!D327),"",スキャン結果!D327)</f>
        <v/>
      </c>
      <c r="E329" s="161" t="str">
        <f>IF(ISBLANK(スキャン結果!E327),"",スキャン結果!E327)</f>
        <v/>
      </c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1" t="str">
        <f t="shared" si="33"/>
        <v/>
      </c>
      <c r="DC329" s="161" t="str">
        <f t="shared" si="34"/>
        <v/>
      </c>
      <c r="DD329" s="161" t="str">
        <f t="shared" si="34"/>
        <v/>
      </c>
      <c r="DE329" s="161" t="str">
        <f t="shared" si="34"/>
        <v/>
      </c>
      <c r="DF329" s="161" t="str">
        <f t="shared" si="34"/>
        <v/>
      </c>
      <c r="DG329" s="161" t="str">
        <f t="shared" si="34"/>
        <v/>
      </c>
      <c r="DH329" s="141"/>
      <c r="DI329" s="141"/>
      <c r="DJ329" s="141"/>
      <c r="DK329" s="141"/>
      <c r="DL329" s="141"/>
      <c r="DM329" s="141"/>
      <c r="DN329" s="163" t="str">
        <f t="shared" si="32"/>
        <v/>
      </c>
      <c r="DO329" s="164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0" t="str">
        <f>IF(ISBLANK(スキャン結果!C328),"",スキャン結果!C328)</f>
        <v/>
      </c>
      <c r="D330" s="161" t="str">
        <f>IF(ISBLANK(スキャン結果!D328),"",スキャン結果!D328)</f>
        <v/>
      </c>
      <c r="E330" s="161" t="str">
        <f>IF(ISBLANK(スキャン結果!E328),"",スキャン結果!E328)</f>
        <v/>
      </c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1" t="str">
        <f t="shared" si="33"/>
        <v/>
      </c>
      <c r="DC330" s="161" t="str">
        <f t="shared" si="34"/>
        <v/>
      </c>
      <c r="DD330" s="161" t="str">
        <f t="shared" si="34"/>
        <v/>
      </c>
      <c r="DE330" s="161" t="str">
        <f t="shared" si="34"/>
        <v/>
      </c>
      <c r="DF330" s="161" t="str">
        <f t="shared" si="34"/>
        <v/>
      </c>
      <c r="DG330" s="161" t="str">
        <f t="shared" si="34"/>
        <v/>
      </c>
      <c r="DH330" s="141"/>
      <c r="DI330" s="141"/>
      <c r="DJ330" s="141"/>
      <c r="DK330" s="141"/>
      <c r="DL330" s="141"/>
      <c r="DM330" s="141"/>
      <c r="DN330" s="163" t="str">
        <f t="shared" si="32"/>
        <v/>
      </c>
      <c r="DO330" s="164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0" t="str">
        <f>IF(ISBLANK(スキャン結果!C329),"",スキャン結果!C329)</f>
        <v/>
      </c>
      <c r="D331" s="161" t="str">
        <f>IF(ISBLANK(スキャン結果!D329),"",スキャン結果!D329)</f>
        <v/>
      </c>
      <c r="E331" s="161" t="str">
        <f>IF(ISBLANK(スキャン結果!E329),"",スキャン結果!E329)</f>
        <v/>
      </c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1" t="str">
        <f t="shared" si="33"/>
        <v/>
      </c>
      <c r="DC331" s="161" t="str">
        <f t="shared" si="34"/>
        <v/>
      </c>
      <c r="DD331" s="161" t="str">
        <f t="shared" si="34"/>
        <v/>
      </c>
      <c r="DE331" s="161" t="str">
        <f t="shared" si="34"/>
        <v/>
      </c>
      <c r="DF331" s="161" t="str">
        <f t="shared" si="34"/>
        <v/>
      </c>
      <c r="DG331" s="161" t="str">
        <f t="shared" si="34"/>
        <v/>
      </c>
      <c r="DH331" s="141"/>
      <c r="DI331" s="141"/>
      <c r="DJ331" s="141"/>
      <c r="DK331" s="141"/>
      <c r="DL331" s="141"/>
      <c r="DM331" s="141"/>
      <c r="DN331" s="163" t="str">
        <f t="shared" si="32"/>
        <v/>
      </c>
      <c r="DO331" s="164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0" t="str">
        <f>IF(ISBLANK(スキャン結果!C330),"",スキャン結果!C330)</f>
        <v/>
      </c>
      <c r="D332" s="161" t="str">
        <f>IF(ISBLANK(スキャン結果!D330),"",スキャン結果!D330)</f>
        <v/>
      </c>
      <c r="E332" s="161" t="str">
        <f>IF(ISBLANK(スキャン結果!E330),"",スキャン結果!E330)</f>
        <v/>
      </c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1" t="str">
        <f t="shared" si="33"/>
        <v/>
      </c>
      <c r="DC332" s="161" t="str">
        <f t="shared" si="34"/>
        <v/>
      </c>
      <c r="DD332" s="161" t="str">
        <f t="shared" si="34"/>
        <v/>
      </c>
      <c r="DE332" s="161" t="str">
        <f t="shared" si="34"/>
        <v/>
      </c>
      <c r="DF332" s="161" t="str">
        <f t="shared" si="34"/>
        <v/>
      </c>
      <c r="DG332" s="161" t="str">
        <f t="shared" si="34"/>
        <v/>
      </c>
      <c r="DH332" s="141"/>
      <c r="DI332" s="141"/>
      <c r="DJ332" s="141"/>
      <c r="DK332" s="141"/>
      <c r="DL332" s="141"/>
      <c r="DM332" s="141"/>
      <c r="DN332" s="163" t="str">
        <f t="shared" si="32"/>
        <v/>
      </c>
      <c r="DO332" s="164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160" t="str">
        <f>IF(ISBLANK(スキャン結果!C331),"",スキャン結果!C331)</f>
        <v/>
      </c>
      <c r="D333" s="161" t="str">
        <f>IF(ISBLANK(スキャン結果!D331),"",スキャン結果!D331)</f>
        <v/>
      </c>
      <c r="E333" s="161" t="str">
        <f>IF(ISBLANK(スキャン結果!E331),"",スキャン結果!E331)</f>
        <v/>
      </c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1" t="str">
        <f t="shared" si="33"/>
        <v/>
      </c>
      <c r="DC333" s="161" t="str">
        <f t="shared" si="34"/>
        <v/>
      </c>
      <c r="DD333" s="161" t="str">
        <f t="shared" si="34"/>
        <v/>
      </c>
      <c r="DE333" s="161" t="str">
        <f t="shared" si="34"/>
        <v/>
      </c>
      <c r="DF333" s="161" t="str">
        <f t="shared" si="34"/>
        <v/>
      </c>
      <c r="DG333" s="161" t="str">
        <f t="shared" si="34"/>
        <v/>
      </c>
      <c r="DH333" s="141"/>
      <c r="DI333" s="141"/>
      <c r="DJ333" s="141"/>
      <c r="DK333" s="141"/>
      <c r="DL333" s="141"/>
      <c r="DM333" s="141"/>
      <c r="DN333" s="163" t="str">
        <f t="shared" si="32"/>
        <v/>
      </c>
      <c r="DO333" s="164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60" t="str">
        <f>IF(ISBLANK(スキャン結果!C332),"",スキャン結果!C332)</f>
        <v/>
      </c>
      <c r="D334" s="161" t="str">
        <f>IF(ISBLANK(スキャン結果!D332),"",スキャン結果!D332)</f>
        <v/>
      </c>
      <c r="E334" s="161" t="str">
        <f>IF(ISBLANK(スキャン結果!E332),"",スキャン結果!E332)</f>
        <v/>
      </c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1" t="str">
        <f t="shared" si="33"/>
        <v/>
      </c>
      <c r="DC334" s="161" t="str">
        <f t="shared" si="34"/>
        <v/>
      </c>
      <c r="DD334" s="161" t="str">
        <f t="shared" si="34"/>
        <v/>
      </c>
      <c r="DE334" s="161" t="str">
        <f t="shared" si="34"/>
        <v/>
      </c>
      <c r="DF334" s="161" t="str">
        <f t="shared" si="34"/>
        <v/>
      </c>
      <c r="DG334" s="161" t="str">
        <f t="shared" si="34"/>
        <v/>
      </c>
      <c r="DH334" s="141"/>
      <c r="DI334" s="141"/>
      <c r="DJ334" s="141"/>
      <c r="DK334" s="141"/>
      <c r="DL334" s="141"/>
      <c r="DM334" s="141"/>
      <c r="DN334" s="163" t="str">
        <f t="shared" si="32"/>
        <v/>
      </c>
      <c r="DO334" s="164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0" t="str">
        <f>IF(ISBLANK(スキャン結果!C333),"",スキャン結果!C333)</f>
        <v/>
      </c>
      <c r="D335" s="161" t="str">
        <f>IF(ISBLANK(スキャン結果!D333),"",スキャン結果!D333)</f>
        <v/>
      </c>
      <c r="E335" s="161" t="str">
        <f>IF(ISBLANK(スキャン結果!E333),"",スキャン結果!E333)</f>
        <v/>
      </c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1" t="str">
        <f t="shared" si="33"/>
        <v/>
      </c>
      <c r="DC335" s="161" t="str">
        <f t="shared" si="34"/>
        <v/>
      </c>
      <c r="DD335" s="161" t="str">
        <f t="shared" si="34"/>
        <v/>
      </c>
      <c r="DE335" s="161" t="str">
        <f t="shared" si="34"/>
        <v/>
      </c>
      <c r="DF335" s="161" t="str">
        <f t="shared" si="34"/>
        <v/>
      </c>
      <c r="DG335" s="161" t="str">
        <f t="shared" si="34"/>
        <v/>
      </c>
      <c r="DH335" s="141"/>
      <c r="DI335" s="141"/>
      <c r="DJ335" s="141"/>
      <c r="DK335" s="141"/>
      <c r="DL335" s="141"/>
      <c r="DM335" s="141"/>
      <c r="DN335" s="163" t="str">
        <f t="shared" ref="DN335:DN398" si="37">IF(A335="","",SUM(F335:DA335,DH335:DM335))</f>
        <v/>
      </c>
      <c r="DO335" s="164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0" t="str">
        <f>IF(ISBLANK(スキャン結果!C334),"",スキャン結果!C334)</f>
        <v/>
      </c>
      <c r="D336" s="161" t="str">
        <f>IF(ISBLANK(スキャン結果!D334),"",スキャン結果!D334)</f>
        <v/>
      </c>
      <c r="E336" s="161" t="str">
        <f>IF(ISBLANK(スキャン結果!E334),"",スキャン結果!E334)</f>
        <v/>
      </c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1" t="str">
        <f t="shared" si="33"/>
        <v/>
      </c>
      <c r="DC336" s="161" t="str">
        <f t="shared" si="34"/>
        <v/>
      </c>
      <c r="DD336" s="161" t="str">
        <f t="shared" si="34"/>
        <v/>
      </c>
      <c r="DE336" s="161" t="str">
        <f t="shared" si="34"/>
        <v/>
      </c>
      <c r="DF336" s="161" t="str">
        <f t="shared" si="34"/>
        <v/>
      </c>
      <c r="DG336" s="161" t="str">
        <f t="shared" si="34"/>
        <v/>
      </c>
      <c r="DH336" s="141"/>
      <c r="DI336" s="141"/>
      <c r="DJ336" s="141"/>
      <c r="DK336" s="141"/>
      <c r="DL336" s="141"/>
      <c r="DM336" s="141"/>
      <c r="DN336" s="163" t="str">
        <f t="shared" si="37"/>
        <v/>
      </c>
      <c r="DO336" s="164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0" t="str">
        <f>IF(ISBLANK(スキャン結果!C335),"",スキャン結果!C335)</f>
        <v/>
      </c>
      <c r="D337" s="161" t="str">
        <f>IF(ISBLANK(スキャン結果!D335),"",スキャン結果!D335)</f>
        <v/>
      </c>
      <c r="E337" s="161" t="str">
        <f>IF(ISBLANK(スキャン結果!E335),"",スキャン結果!E335)</f>
        <v/>
      </c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1" t="str">
        <f t="shared" si="33"/>
        <v/>
      </c>
      <c r="DC337" s="161" t="str">
        <f t="shared" si="34"/>
        <v/>
      </c>
      <c r="DD337" s="161" t="str">
        <f t="shared" si="34"/>
        <v/>
      </c>
      <c r="DE337" s="161" t="str">
        <f t="shared" si="34"/>
        <v/>
      </c>
      <c r="DF337" s="161" t="str">
        <f t="shared" si="34"/>
        <v/>
      </c>
      <c r="DG337" s="161" t="str">
        <f t="shared" si="34"/>
        <v/>
      </c>
      <c r="DH337" s="141"/>
      <c r="DI337" s="141"/>
      <c r="DJ337" s="141"/>
      <c r="DK337" s="141"/>
      <c r="DL337" s="141"/>
      <c r="DM337" s="141"/>
      <c r="DN337" s="163" t="str">
        <f t="shared" si="37"/>
        <v/>
      </c>
      <c r="DO337" s="164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160" t="str">
        <f>IF(ISBLANK(スキャン結果!C336),"",スキャン結果!C336)</f>
        <v/>
      </c>
      <c r="D338" s="161" t="str">
        <f>IF(ISBLANK(スキャン結果!D336),"",スキャン結果!D336)</f>
        <v/>
      </c>
      <c r="E338" s="161" t="str">
        <f>IF(ISBLANK(スキャン結果!E336),"",スキャン結果!E336)</f>
        <v/>
      </c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1" t="str">
        <f t="shared" si="33"/>
        <v/>
      </c>
      <c r="DC338" s="161" t="str">
        <f t="shared" si="34"/>
        <v/>
      </c>
      <c r="DD338" s="161" t="str">
        <f t="shared" si="34"/>
        <v/>
      </c>
      <c r="DE338" s="161" t="str">
        <f t="shared" si="34"/>
        <v/>
      </c>
      <c r="DF338" s="161" t="str">
        <f t="shared" si="34"/>
        <v/>
      </c>
      <c r="DG338" s="161" t="str">
        <f t="shared" si="34"/>
        <v/>
      </c>
      <c r="DH338" s="141"/>
      <c r="DI338" s="141"/>
      <c r="DJ338" s="141"/>
      <c r="DK338" s="141"/>
      <c r="DL338" s="141"/>
      <c r="DM338" s="141"/>
      <c r="DN338" s="163" t="str">
        <f t="shared" si="37"/>
        <v/>
      </c>
      <c r="DO338" s="164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60" t="str">
        <f>IF(ISBLANK(スキャン結果!C337),"",スキャン結果!C337)</f>
        <v/>
      </c>
      <c r="D339" s="161" t="str">
        <f>IF(ISBLANK(スキャン結果!D337),"",スキャン結果!D337)</f>
        <v/>
      </c>
      <c r="E339" s="161" t="str">
        <f>IF(ISBLANK(スキャン結果!E337),"",スキャン結果!E337)</f>
        <v/>
      </c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1" t="str">
        <f t="shared" si="33"/>
        <v/>
      </c>
      <c r="DC339" s="161" t="str">
        <f t="shared" si="34"/>
        <v/>
      </c>
      <c r="DD339" s="161" t="str">
        <f t="shared" si="34"/>
        <v/>
      </c>
      <c r="DE339" s="161" t="str">
        <f t="shared" si="34"/>
        <v/>
      </c>
      <c r="DF339" s="161" t="str">
        <f t="shared" si="34"/>
        <v/>
      </c>
      <c r="DG339" s="161" t="str">
        <f t="shared" si="34"/>
        <v/>
      </c>
      <c r="DH339" s="141"/>
      <c r="DI339" s="141"/>
      <c r="DJ339" s="141"/>
      <c r="DK339" s="141"/>
      <c r="DL339" s="141"/>
      <c r="DM339" s="141"/>
      <c r="DN339" s="163" t="str">
        <f t="shared" si="37"/>
        <v/>
      </c>
      <c r="DO339" s="164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0" t="str">
        <f>IF(ISBLANK(スキャン結果!C338),"",スキャン結果!C338)</f>
        <v/>
      </c>
      <c r="D340" s="161" t="str">
        <f>IF(ISBLANK(スキャン結果!D338),"",スキャン結果!D338)</f>
        <v/>
      </c>
      <c r="E340" s="161" t="str">
        <f>IF(ISBLANK(スキャン結果!E338),"",スキャン結果!E338)</f>
        <v/>
      </c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1" t="str">
        <f t="shared" si="33"/>
        <v/>
      </c>
      <c r="DC340" s="161" t="str">
        <f t="shared" si="34"/>
        <v/>
      </c>
      <c r="DD340" s="161" t="str">
        <f t="shared" si="34"/>
        <v/>
      </c>
      <c r="DE340" s="161" t="str">
        <f t="shared" si="34"/>
        <v/>
      </c>
      <c r="DF340" s="161" t="str">
        <f t="shared" si="34"/>
        <v/>
      </c>
      <c r="DG340" s="161" t="str">
        <f t="shared" si="34"/>
        <v/>
      </c>
      <c r="DH340" s="141"/>
      <c r="DI340" s="141"/>
      <c r="DJ340" s="141"/>
      <c r="DK340" s="141"/>
      <c r="DL340" s="141"/>
      <c r="DM340" s="141"/>
      <c r="DN340" s="163" t="str">
        <f t="shared" si="37"/>
        <v/>
      </c>
      <c r="DO340" s="164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0" t="str">
        <f>IF(ISBLANK(スキャン結果!C339),"",スキャン結果!C339)</f>
        <v/>
      </c>
      <c r="D341" s="161" t="str">
        <f>IF(ISBLANK(スキャン結果!D339),"",スキャン結果!D339)</f>
        <v/>
      </c>
      <c r="E341" s="161" t="str">
        <f>IF(ISBLANK(スキャン結果!E339),"",スキャン結果!E339)</f>
        <v/>
      </c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1" t="str">
        <f t="shared" si="33"/>
        <v/>
      </c>
      <c r="DC341" s="161" t="str">
        <f t="shared" si="34"/>
        <v/>
      </c>
      <c r="DD341" s="161" t="str">
        <f t="shared" si="34"/>
        <v/>
      </c>
      <c r="DE341" s="161" t="str">
        <f t="shared" si="34"/>
        <v/>
      </c>
      <c r="DF341" s="161" t="str">
        <f t="shared" si="34"/>
        <v/>
      </c>
      <c r="DG341" s="161" t="str">
        <f t="shared" si="34"/>
        <v/>
      </c>
      <c r="DH341" s="141"/>
      <c r="DI341" s="141"/>
      <c r="DJ341" s="141"/>
      <c r="DK341" s="141"/>
      <c r="DL341" s="141"/>
      <c r="DM341" s="141"/>
      <c r="DN341" s="163" t="str">
        <f t="shared" si="37"/>
        <v/>
      </c>
      <c r="DO341" s="164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0" t="str">
        <f>IF(ISBLANK(スキャン結果!C340),"",スキャン結果!C340)</f>
        <v/>
      </c>
      <c r="D342" s="161" t="str">
        <f>IF(ISBLANK(スキャン結果!D340),"",スキャン結果!D340)</f>
        <v/>
      </c>
      <c r="E342" s="161" t="str">
        <f>IF(ISBLANK(スキャン結果!E340),"",スキャン結果!E340)</f>
        <v/>
      </c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1" t="str">
        <f t="shared" si="33"/>
        <v/>
      </c>
      <c r="DC342" s="161" t="str">
        <f t="shared" si="34"/>
        <v/>
      </c>
      <c r="DD342" s="161" t="str">
        <f t="shared" si="34"/>
        <v/>
      </c>
      <c r="DE342" s="161" t="str">
        <f t="shared" si="34"/>
        <v/>
      </c>
      <c r="DF342" s="161" t="str">
        <f t="shared" si="34"/>
        <v/>
      </c>
      <c r="DG342" s="161" t="str">
        <f t="shared" si="34"/>
        <v/>
      </c>
      <c r="DH342" s="141"/>
      <c r="DI342" s="141"/>
      <c r="DJ342" s="141"/>
      <c r="DK342" s="141"/>
      <c r="DL342" s="141"/>
      <c r="DM342" s="141"/>
      <c r="DN342" s="163" t="str">
        <f t="shared" si="37"/>
        <v/>
      </c>
      <c r="DO342" s="164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160" t="str">
        <f>IF(ISBLANK(スキャン結果!C341),"",スキャン結果!C341)</f>
        <v/>
      </c>
      <c r="D343" s="161" t="str">
        <f>IF(ISBLANK(スキャン結果!D341),"",スキャン結果!D341)</f>
        <v/>
      </c>
      <c r="E343" s="161" t="str">
        <f>IF(ISBLANK(スキャン結果!E341),"",スキャン結果!E341)</f>
        <v/>
      </c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1" t="str">
        <f t="shared" si="33"/>
        <v/>
      </c>
      <c r="DC343" s="161" t="str">
        <f t="shared" si="34"/>
        <v/>
      </c>
      <c r="DD343" s="161" t="str">
        <f t="shared" si="34"/>
        <v/>
      </c>
      <c r="DE343" s="161" t="str">
        <f t="shared" si="34"/>
        <v/>
      </c>
      <c r="DF343" s="161" t="str">
        <f t="shared" si="34"/>
        <v/>
      </c>
      <c r="DG343" s="161" t="str">
        <f t="shared" si="34"/>
        <v/>
      </c>
      <c r="DH343" s="141"/>
      <c r="DI343" s="141"/>
      <c r="DJ343" s="141"/>
      <c r="DK343" s="141"/>
      <c r="DL343" s="141"/>
      <c r="DM343" s="141"/>
      <c r="DN343" s="163" t="str">
        <f t="shared" si="37"/>
        <v/>
      </c>
      <c r="DO343" s="164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60" t="str">
        <f>IF(ISBLANK(スキャン結果!C342),"",スキャン結果!C342)</f>
        <v/>
      </c>
      <c r="D344" s="161" t="str">
        <f>IF(ISBLANK(スキャン結果!D342),"",スキャン結果!D342)</f>
        <v/>
      </c>
      <c r="E344" s="161" t="str">
        <f>IF(ISBLANK(スキャン結果!E342),"",スキャン結果!E342)</f>
        <v/>
      </c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1" t="str">
        <f t="shared" si="33"/>
        <v/>
      </c>
      <c r="DC344" s="161" t="str">
        <f t="shared" si="34"/>
        <v/>
      </c>
      <c r="DD344" s="161" t="str">
        <f t="shared" si="34"/>
        <v/>
      </c>
      <c r="DE344" s="161" t="str">
        <f t="shared" si="34"/>
        <v/>
      </c>
      <c r="DF344" s="161" t="str">
        <f t="shared" si="34"/>
        <v/>
      </c>
      <c r="DG344" s="161" t="str">
        <f t="shared" si="34"/>
        <v/>
      </c>
      <c r="DH344" s="141"/>
      <c r="DI344" s="141"/>
      <c r="DJ344" s="141"/>
      <c r="DK344" s="141"/>
      <c r="DL344" s="141"/>
      <c r="DM344" s="141"/>
      <c r="DN344" s="163" t="str">
        <f t="shared" si="37"/>
        <v/>
      </c>
      <c r="DO344" s="164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0" t="str">
        <f>IF(ISBLANK(スキャン結果!C343),"",スキャン結果!C343)</f>
        <v/>
      </c>
      <c r="D345" s="161" t="str">
        <f>IF(ISBLANK(スキャン結果!D343),"",スキャン結果!D343)</f>
        <v/>
      </c>
      <c r="E345" s="161" t="str">
        <f>IF(ISBLANK(スキャン結果!E343),"",スキャン結果!E343)</f>
        <v/>
      </c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1" t="str">
        <f t="shared" si="33"/>
        <v/>
      </c>
      <c r="DC345" s="161" t="str">
        <f t="shared" si="34"/>
        <v/>
      </c>
      <c r="DD345" s="161" t="str">
        <f t="shared" si="34"/>
        <v/>
      </c>
      <c r="DE345" s="161" t="str">
        <f t="shared" si="34"/>
        <v/>
      </c>
      <c r="DF345" s="161" t="str">
        <f t="shared" si="34"/>
        <v/>
      </c>
      <c r="DG345" s="161" t="str">
        <f t="shared" si="34"/>
        <v/>
      </c>
      <c r="DH345" s="141"/>
      <c r="DI345" s="141"/>
      <c r="DJ345" s="141"/>
      <c r="DK345" s="141"/>
      <c r="DL345" s="141"/>
      <c r="DM345" s="141"/>
      <c r="DN345" s="163" t="str">
        <f t="shared" si="37"/>
        <v/>
      </c>
      <c r="DO345" s="164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0" t="str">
        <f>IF(ISBLANK(スキャン結果!C344),"",スキャン結果!C344)</f>
        <v/>
      </c>
      <c r="D346" s="161" t="str">
        <f>IF(ISBLANK(スキャン結果!D344),"",スキャン結果!D344)</f>
        <v/>
      </c>
      <c r="E346" s="161" t="str">
        <f>IF(ISBLANK(スキャン結果!E344),"",スキャン結果!E344)</f>
        <v/>
      </c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1" t="str">
        <f t="shared" si="33"/>
        <v/>
      </c>
      <c r="DC346" s="161" t="str">
        <f t="shared" si="34"/>
        <v/>
      </c>
      <c r="DD346" s="161" t="str">
        <f t="shared" si="34"/>
        <v/>
      </c>
      <c r="DE346" s="161" t="str">
        <f t="shared" si="34"/>
        <v/>
      </c>
      <c r="DF346" s="161" t="str">
        <f t="shared" si="34"/>
        <v/>
      </c>
      <c r="DG346" s="161" t="str">
        <f t="shared" si="34"/>
        <v/>
      </c>
      <c r="DH346" s="141"/>
      <c r="DI346" s="141"/>
      <c r="DJ346" s="141"/>
      <c r="DK346" s="141"/>
      <c r="DL346" s="141"/>
      <c r="DM346" s="141"/>
      <c r="DN346" s="163" t="str">
        <f t="shared" si="37"/>
        <v/>
      </c>
      <c r="DO346" s="164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0" t="str">
        <f>IF(ISBLANK(スキャン結果!C345),"",スキャン結果!C345)</f>
        <v/>
      </c>
      <c r="D347" s="161" t="str">
        <f>IF(ISBLANK(スキャン結果!D345),"",スキャン結果!D345)</f>
        <v/>
      </c>
      <c r="E347" s="161" t="str">
        <f>IF(ISBLANK(スキャン結果!E345),"",スキャン結果!E345)</f>
        <v/>
      </c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1" t="str">
        <f t="shared" si="33"/>
        <v/>
      </c>
      <c r="DC347" s="161" t="str">
        <f t="shared" si="34"/>
        <v/>
      </c>
      <c r="DD347" s="161" t="str">
        <f t="shared" si="34"/>
        <v/>
      </c>
      <c r="DE347" s="161" t="str">
        <f t="shared" si="34"/>
        <v/>
      </c>
      <c r="DF347" s="161" t="str">
        <f t="shared" si="34"/>
        <v/>
      </c>
      <c r="DG347" s="161" t="str">
        <f t="shared" si="34"/>
        <v/>
      </c>
      <c r="DH347" s="141"/>
      <c r="DI347" s="141"/>
      <c r="DJ347" s="141"/>
      <c r="DK347" s="141"/>
      <c r="DL347" s="141"/>
      <c r="DM347" s="141"/>
      <c r="DN347" s="163" t="str">
        <f t="shared" si="37"/>
        <v/>
      </c>
      <c r="DO347" s="164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160" t="str">
        <f>IF(ISBLANK(スキャン結果!C346),"",スキャン結果!C346)</f>
        <v/>
      </c>
      <c r="D348" s="161" t="str">
        <f>IF(ISBLANK(スキャン結果!D346),"",スキャン結果!D346)</f>
        <v/>
      </c>
      <c r="E348" s="161" t="str">
        <f>IF(ISBLANK(スキャン結果!E346),"",スキャン結果!E346)</f>
        <v/>
      </c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1" t="str">
        <f t="shared" si="33"/>
        <v/>
      </c>
      <c r="DC348" s="161" t="str">
        <f t="shared" si="34"/>
        <v/>
      </c>
      <c r="DD348" s="161" t="str">
        <f t="shared" si="34"/>
        <v/>
      </c>
      <c r="DE348" s="161" t="str">
        <f t="shared" si="34"/>
        <v/>
      </c>
      <c r="DF348" s="161" t="str">
        <f t="shared" si="34"/>
        <v/>
      </c>
      <c r="DG348" s="161" t="str">
        <f t="shared" si="34"/>
        <v/>
      </c>
      <c r="DH348" s="141"/>
      <c r="DI348" s="141"/>
      <c r="DJ348" s="141"/>
      <c r="DK348" s="141"/>
      <c r="DL348" s="141"/>
      <c r="DM348" s="141"/>
      <c r="DN348" s="163" t="str">
        <f t="shared" si="37"/>
        <v/>
      </c>
      <c r="DO348" s="164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60" t="str">
        <f>IF(ISBLANK(スキャン結果!C347),"",スキャン結果!C347)</f>
        <v/>
      </c>
      <c r="D349" s="161" t="str">
        <f>IF(ISBLANK(スキャン結果!D347),"",スキャン結果!D347)</f>
        <v/>
      </c>
      <c r="E349" s="161" t="str">
        <f>IF(ISBLANK(スキャン結果!E347),"",スキャン結果!E347)</f>
        <v/>
      </c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1" t="str">
        <f t="shared" si="33"/>
        <v/>
      </c>
      <c r="DC349" s="161" t="str">
        <f t="shared" si="34"/>
        <v/>
      </c>
      <c r="DD349" s="161" t="str">
        <f t="shared" si="34"/>
        <v/>
      </c>
      <c r="DE349" s="161" t="str">
        <f t="shared" si="34"/>
        <v/>
      </c>
      <c r="DF349" s="161" t="str">
        <f t="shared" si="34"/>
        <v/>
      </c>
      <c r="DG349" s="161" t="str">
        <f t="shared" si="34"/>
        <v/>
      </c>
      <c r="DH349" s="141"/>
      <c r="DI349" s="141"/>
      <c r="DJ349" s="141"/>
      <c r="DK349" s="141"/>
      <c r="DL349" s="141"/>
      <c r="DM349" s="141"/>
      <c r="DN349" s="163" t="str">
        <f t="shared" si="37"/>
        <v/>
      </c>
      <c r="DO349" s="164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0" t="str">
        <f>IF(ISBLANK(スキャン結果!C348),"",スキャン結果!C348)</f>
        <v/>
      </c>
      <c r="D350" s="161" t="str">
        <f>IF(ISBLANK(スキャン結果!D348),"",スキャン結果!D348)</f>
        <v/>
      </c>
      <c r="E350" s="161" t="str">
        <f>IF(ISBLANK(スキャン結果!E348),"",スキャン結果!E348)</f>
        <v/>
      </c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1" t="str">
        <f t="shared" si="33"/>
        <v/>
      </c>
      <c r="DC350" s="161" t="str">
        <f t="shared" si="34"/>
        <v/>
      </c>
      <c r="DD350" s="161" t="str">
        <f t="shared" si="34"/>
        <v/>
      </c>
      <c r="DE350" s="161" t="str">
        <f t="shared" si="34"/>
        <v/>
      </c>
      <c r="DF350" s="161" t="str">
        <f t="shared" si="34"/>
        <v/>
      </c>
      <c r="DG350" s="161" t="str">
        <f t="shared" si="34"/>
        <v/>
      </c>
      <c r="DH350" s="141"/>
      <c r="DI350" s="141"/>
      <c r="DJ350" s="141"/>
      <c r="DK350" s="141"/>
      <c r="DL350" s="141"/>
      <c r="DM350" s="141"/>
      <c r="DN350" s="163" t="str">
        <f t="shared" si="37"/>
        <v/>
      </c>
      <c r="DO350" s="164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0" t="str">
        <f>IF(ISBLANK(スキャン結果!C349),"",スキャン結果!C349)</f>
        <v/>
      </c>
      <c r="D351" s="161" t="str">
        <f>IF(ISBLANK(スキャン結果!D349),"",スキャン結果!D349)</f>
        <v/>
      </c>
      <c r="E351" s="161" t="str">
        <f>IF(ISBLANK(スキャン結果!E349),"",スキャン結果!E349)</f>
        <v/>
      </c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1" t="str">
        <f t="shared" si="33"/>
        <v/>
      </c>
      <c r="DC351" s="161" t="str">
        <f t="shared" si="34"/>
        <v/>
      </c>
      <c r="DD351" s="161" t="str">
        <f t="shared" si="34"/>
        <v/>
      </c>
      <c r="DE351" s="161" t="str">
        <f t="shared" si="34"/>
        <v/>
      </c>
      <c r="DF351" s="161" t="str">
        <f t="shared" si="34"/>
        <v/>
      </c>
      <c r="DG351" s="161" t="str">
        <f t="shared" si="34"/>
        <v/>
      </c>
      <c r="DH351" s="141"/>
      <c r="DI351" s="141"/>
      <c r="DJ351" s="141"/>
      <c r="DK351" s="141"/>
      <c r="DL351" s="141"/>
      <c r="DM351" s="141"/>
      <c r="DN351" s="163" t="str">
        <f t="shared" si="37"/>
        <v/>
      </c>
      <c r="DO351" s="164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0" t="str">
        <f>IF(ISBLANK(スキャン結果!C350),"",スキャン結果!C350)</f>
        <v/>
      </c>
      <c r="D352" s="161" t="str">
        <f>IF(ISBLANK(スキャン結果!D350),"",スキャン結果!D350)</f>
        <v/>
      </c>
      <c r="E352" s="161" t="str">
        <f>IF(ISBLANK(スキャン結果!E350),"",スキャン結果!E350)</f>
        <v/>
      </c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1" t="str">
        <f t="shared" si="33"/>
        <v/>
      </c>
      <c r="DC352" s="161" t="str">
        <f t="shared" si="34"/>
        <v/>
      </c>
      <c r="DD352" s="161" t="str">
        <f t="shared" si="34"/>
        <v/>
      </c>
      <c r="DE352" s="161" t="str">
        <f t="shared" si="34"/>
        <v/>
      </c>
      <c r="DF352" s="161" t="str">
        <f t="shared" si="34"/>
        <v/>
      </c>
      <c r="DG352" s="161" t="str">
        <f t="shared" si="34"/>
        <v/>
      </c>
      <c r="DH352" s="141"/>
      <c r="DI352" s="141"/>
      <c r="DJ352" s="141"/>
      <c r="DK352" s="141"/>
      <c r="DL352" s="141"/>
      <c r="DM352" s="141"/>
      <c r="DN352" s="163" t="str">
        <f t="shared" si="37"/>
        <v/>
      </c>
      <c r="DO352" s="164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160" t="str">
        <f>IF(ISBLANK(スキャン結果!C351),"",スキャン結果!C351)</f>
        <v/>
      </c>
      <c r="D353" s="161" t="str">
        <f>IF(ISBLANK(スキャン結果!D351),"",スキャン結果!D351)</f>
        <v/>
      </c>
      <c r="E353" s="161" t="str">
        <f>IF(ISBLANK(スキャン結果!E351),"",スキャン結果!E351)</f>
        <v/>
      </c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1" t="str">
        <f t="shared" si="33"/>
        <v/>
      </c>
      <c r="DC353" s="161" t="str">
        <f t="shared" si="34"/>
        <v/>
      </c>
      <c r="DD353" s="161" t="str">
        <f t="shared" si="34"/>
        <v/>
      </c>
      <c r="DE353" s="161" t="str">
        <f t="shared" si="34"/>
        <v/>
      </c>
      <c r="DF353" s="161" t="str">
        <f t="shared" si="34"/>
        <v/>
      </c>
      <c r="DG353" s="161" t="str">
        <f t="shared" si="34"/>
        <v/>
      </c>
      <c r="DH353" s="141"/>
      <c r="DI353" s="141"/>
      <c r="DJ353" s="141"/>
      <c r="DK353" s="141"/>
      <c r="DL353" s="141"/>
      <c r="DM353" s="141"/>
      <c r="DN353" s="163" t="str">
        <f t="shared" si="37"/>
        <v/>
      </c>
      <c r="DO353" s="164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60" t="str">
        <f>IF(ISBLANK(スキャン結果!C352),"",スキャン結果!C352)</f>
        <v/>
      </c>
      <c r="D354" s="161" t="str">
        <f>IF(ISBLANK(スキャン結果!D352),"",スキャン結果!D352)</f>
        <v/>
      </c>
      <c r="E354" s="161" t="str">
        <f>IF(ISBLANK(スキャン結果!E352),"",スキャン結果!E352)</f>
        <v/>
      </c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1" t="str">
        <f t="shared" si="33"/>
        <v/>
      </c>
      <c r="DC354" s="161" t="str">
        <f t="shared" si="34"/>
        <v/>
      </c>
      <c r="DD354" s="161" t="str">
        <f t="shared" si="34"/>
        <v/>
      </c>
      <c r="DE354" s="161" t="str">
        <f t="shared" si="34"/>
        <v/>
      </c>
      <c r="DF354" s="161" t="str">
        <f t="shared" si="34"/>
        <v/>
      </c>
      <c r="DG354" s="161" t="str">
        <f t="shared" si="34"/>
        <v/>
      </c>
      <c r="DH354" s="141"/>
      <c r="DI354" s="141"/>
      <c r="DJ354" s="141"/>
      <c r="DK354" s="141"/>
      <c r="DL354" s="141"/>
      <c r="DM354" s="141"/>
      <c r="DN354" s="163" t="str">
        <f t="shared" si="37"/>
        <v/>
      </c>
      <c r="DO354" s="164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0" t="str">
        <f>IF(ISBLANK(スキャン結果!C353),"",スキャン結果!C353)</f>
        <v/>
      </c>
      <c r="D355" s="161" t="str">
        <f>IF(ISBLANK(スキャン結果!D353),"",スキャン結果!D353)</f>
        <v/>
      </c>
      <c r="E355" s="161" t="str">
        <f>IF(ISBLANK(スキャン結果!E353),"",スキャン結果!E353)</f>
        <v/>
      </c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1" t="str">
        <f t="shared" si="33"/>
        <v/>
      </c>
      <c r="DC355" s="161" t="str">
        <f t="shared" si="34"/>
        <v/>
      </c>
      <c r="DD355" s="161" t="str">
        <f t="shared" si="34"/>
        <v/>
      </c>
      <c r="DE355" s="161" t="str">
        <f t="shared" si="34"/>
        <v/>
      </c>
      <c r="DF355" s="161" t="str">
        <f t="shared" si="34"/>
        <v/>
      </c>
      <c r="DG355" s="161" t="str">
        <f t="shared" si="34"/>
        <v/>
      </c>
      <c r="DH355" s="141"/>
      <c r="DI355" s="141"/>
      <c r="DJ355" s="141"/>
      <c r="DK355" s="141"/>
      <c r="DL355" s="141"/>
      <c r="DM355" s="141"/>
      <c r="DN355" s="163" t="str">
        <f t="shared" si="37"/>
        <v/>
      </c>
      <c r="DO355" s="164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0" t="str">
        <f>IF(ISBLANK(スキャン結果!C354),"",スキャン結果!C354)</f>
        <v/>
      </c>
      <c r="D356" s="161" t="str">
        <f>IF(ISBLANK(スキャン結果!D354),"",スキャン結果!D354)</f>
        <v/>
      </c>
      <c r="E356" s="161" t="str">
        <f>IF(ISBLANK(スキャン結果!E354),"",スキャン結果!E354)</f>
        <v/>
      </c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1" t="str">
        <f t="shared" si="33"/>
        <v/>
      </c>
      <c r="DC356" s="161" t="str">
        <f t="shared" si="34"/>
        <v/>
      </c>
      <c r="DD356" s="161" t="str">
        <f t="shared" si="34"/>
        <v/>
      </c>
      <c r="DE356" s="161" t="str">
        <f t="shared" si="34"/>
        <v/>
      </c>
      <c r="DF356" s="161" t="str">
        <f t="shared" si="34"/>
        <v/>
      </c>
      <c r="DG356" s="161" t="str">
        <f t="shared" si="34"/>
        <v/>
      </c>
      <c r="DH356" s="141"/>
      <c r="DI356" s="141"/>
      <c r="DJ356" s="141"/>
      <c r="DK356" s="141"/>
      <c r="DL356" s="141"/>
      <c r="DM356" s="141"/>
      <c r="DN356" s="163" t="str">
        <f t="shared" si="37"/>
        <v/>
      </c>
      <c r="DO356" s="164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0" t="str">
        <f>IF(ISBLANK(スキャン結果!C355),"",スキャン結果!C355)</f>
        <v/>
      </c>
      <c r="D357" s="161" t="str">
        <f>IF(ISBLANK(スキャン結果!D355),"",スキャン結果!D355)</f>
        <v/>
      </c>
      <c r="E357" s="161" t="str">
        <f>IF(ISBLANK(スキャン結果!E355),"",スキャン結果!E355)</f>
        <v/>
      </c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1" t="str">
        <f t="shared" si="33"/>
        <v/>
      </c>
      <c r="DC357" s="161" t="str">
        <f t="shared" si="34"/>
        <v/>
      </c>
      <c r="DD357" s="161" t="str">
        <f t="shared" si="34"/>
        <v/>
      </c>
      <c r="DE357" s="161" t="str">
        <f t="shared" si="34"/>
        <v/>
      </c>
      <c r="DF357" s="161" t="str">
        <f t="shared" si="34"/>
        <v/>
      </c>
      <c r="DG357" s="161" t="str">
        <f t="shared" si="34"/>
        <v/>
      </c>
      <c r="DH357" s="141"/>
      <c r="DI357" s="141"/>
      <c r="DJ357" s="141"/>
      <c r="DK357" s="141"/>
      <c r="DL357" s="141"/>
      <c r="DM357" s="141"/>
      <c r="DN357" s="163" t="str">
        <f t="shared" si="37"/>
        <v/>
      </c>
      <c r="DO357" s="164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160" t="str">
        <f>IF(ISBLANK(スキャン結果!C356),"",スキャン結果!C356)</f>
        <v/>
      </c>
      <c r="D358" s="161" t="str">
        <f>IF(ISBLANK(スキャン結果!D356),"",スキャン結果!D356)</f>
        <v/>
      </c>
      <c r="E358" s="161" t="str">
        <f>IF(ISBLANK(スキャン結果!E356),"",スキャン結果!E356)</f>
        <v/>
      </c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1" t="str">
        <f t="shared" si="33"/>
        <v/>
      </c>
      <c r="DC358" s="161" t="str">
        <f t="shared" si="34"/>
        <v/>
      </c>
      <c r="DD358" s="161" t="str">
        <f t="shared" si="34"/>
        <v/>
      </c>
      <c r="DE358" s="161" t="str">
        <f t="shared" si="34"/>
        <v/>
      </c>
      <c r="DF358" s="161" t="str">
        <f t="shared" si="34"/>
        <v/>
      </c>
      <c r="DG358" s="161" t="str">
        <f t="shared" si="34"/>
        <v/>
      </c>
      <c r="DH358" s="141"/>
      <c r="DI358" s="141"/>
      <c r="DJ358" s="141"/>
      <c r="DK358" s="141"/>
      <c r="DL358" s="141"/>
      <c r="DM358" s="141"/>
      <c r="DN358" s="163" t="str">
        <f t="shared" si="37"/>
        <v/>
      </c>
      <c r="DO358" s="164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60" t="str">
        <f>IF(ISBLANK(スキャン結果!C357),"",スキャン結果!C357)</f>
        <v/>
      </c>
      <c r="D359" s="161" t="str">
        <f>IF(ISBLANK(スキャン結果!D357),"",スキャン結果!D357)</f>
        <v/>
      </c>
      <c r="E359" s="161" t="str">
        <f>IF(ISBLANK(スキャン結果!E357),"",スキャン結果!E357)</f>
        <v/>
      </c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1" t="str">
        <f t="shared" si="33"/>
        <v/>
      </c>
      <c r="DC359" s="161" t="str">
        <f t="shared" si="34"/>
        <v/>
      </c>
      <c r="DD359" s="161" t="str">
        <f t="shared" si="34"/>
        <v/>
      </c>
      <c r="DE359" s="161" t="str">
        <f t="shared" si="34"/>
        <v/>
      </c>
      <c r="DF359" s="161" t="str">
        <f t="shared" si="34"/>
        <v/>
      </c>
      <c r="DG359" s="161" t="str">
        <f t="shared" si="34"/>
        <v/>
      </c>
      <c r="DH359" s="141"/>
      <c r="DI359" s="141"/>
      <c r="DJ359" s="141"/>
      <c r="DK359" s="141"/>
      <c r="DL359" s="141"/>
      <c r="DM359" s="141"/>
      <c r="DN359" s="163" t="str">
        <f t="shared" si="37"/>
        <v/>
      </c>
      <c r="DO359" s="164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0" t="str">
        <f>IF(ISBLANK(スキャン結果!C358),"",スキャン結果!C358)</f>
        <v/>
      </c>
      <c r="D360" s="161" t="str">
        <f>IF(ISBLANK(スキャン結果!D358),"",スキャン結果!D358)</f>
        <v/>
      </c>
      <c r="E360" s="161" t="str">
        <f>IF(ISBLANK(スキャン結果!E358),"",スキャン結果!E358)</f>
        <v/>
      </c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1" t="str">
        <f t="shared" si="33"/>
        <v/>
      </c>
      <c r="DC360" s="161" t="str">
        <f t="shared" si="34"/>
        <v/>
      </c>
      <c r="DD360" s="161" t="str">
        <f t="shared" si="34"/>
        <v/>
      </c>
      <c r="DE360" s="161" t="str">
        <f t="shared" si="34"/>
        <v/>
      </c>
      <c r="DF360" s="161" t="str">
        <f t="shared" si="34"/>
        <v/>
      </c>
      <c r="DG360" s="161" t="str">
        <f t="shared" si="34"/>
        <v/>
      </c>
      <c r="DH360" s="141"/>
      <c r="DI360" s="141"/>
      <c r="DJ360" s="141"/>
      <c r="DK360" s="141"/>
      <c r="DL360" s="141"/>
      <c r="DM360" s="141"/>
      <c r="DN360" s="163" t="str">
        <f t="shared" si="37"/>
        <v/>
      </c>
      <c r="DO360" s="164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0" t="str">
        <f>IF(ISBLANK(スキャン結果!C359),"",スキャン結果!C359)</f>
        <v/>
      </c>
      <c r="D361" s="161" t="str">
        <f>IF(ISBLANK(スキャン結果!D359),"",スキャン結果!D359)</f>
        <v/>
      </c>
      <c r="E361" s="161" t="str">
        <f>IF(ISBLANK(スキャン結果!E359),"",スキャン結果!E359)</f>
        <v/>
      </c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1" t="str">
        <f t="shared" si="33"/>
        <v/>
      </c>
      <c r="DC361" s="161" t="str">
        <f t="shared" si="34"/>
        <v/>
      </c>
      <c r="DD361" s="161" t="str">
        <f t="shared" si="34"/>
        <v/>
      </c>
      <c r="DE361" s="161" t="str">
        <f t="shared" si="34"/>
        <v/>
      </c>
      <c r="DF361" s="161" t="str">
        <f t="shared" si="34"/>
        <v/>
      </c>
      <c r="DG361" s="161" t="str">
        <f t="shared" si="34"/>
        <v/>
      </c>
      <c r="DH361" s="141"/>
      <c r="DI361" s="141"/>
      <c r="DJ361" s="141"/>
      <c r="DK361" s="141"/>
      <c r="DL361" s="141"/>
      <c r="DM361" s="141"/>
      <c r="DN361" s="163" t="str">
        <f t="shared" si="37"/>
        <v/>
      </c>
      <c r="DO361" s="164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0" t="str">
        <f>IF(ISBLANK(スキャン結果!C360),"",スキャン結果!C360)</f>
        <v/>
      </c>
      <c r="D362" s="161" t="str">
        <f>IF(ISBLANK(スキャン結果!D360),"",スキャン結果!D360)</f>
        <v/>
      </c>
      <c r="E362" s="161" t="str">
        <f>IF(ISBLANK(スキャン結果!E360),"",スキャン結果!E360)</f>
        <v/>
      </c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1" t="str">
        <f t="shared" si="33"/>
        <v/>
      </c>
      <c r="DC362" s="161" t="str">
        <f t="shared" si="34"/>
        <v/>
      </c>
      <c r="DD362" s="161" t="str">
        <f t="shared" si="34"/>
        <v/>
      </c>
      <c r="DE362" s="161" t="str">
        <f t="shared" si="34"/>
        <v/>
      </c>
      <c r="DF362" s="161" t="str">
        <f t="shared" si="34"/>
        <v/>
      </c>
      <c r="DG362" s="161" t="str">
        <f t="shared" si="34"/>
        <v/>
      </c>
      <c r="DH362" s="141"/>
      <c r="DI362" s="141"/>
      <c r="DJ362" s="141"/>
      <c r="DK362" s="141"/>
      <c r="DL362" s="141"/>
      <c r="DM362" s="141"/>
      <c r="DN362" s="163" t="str">
        <f t="shared" si="37"/>
        <v/>
      </c>
      <c r="DO362" s="164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160" t="str">
        <f>IF(ISBLANK(スキャン結果!C361),"",スキャン結果!C361)</f>
        <v/>
      </c>
      <c r="D363" s="161" t="str">
        <f>IF(ISBLANK(スキャン結果!D361),"",スキャン結果!D361)</f>
        <v/>
      </c>
      <c r="E363" s="161" t="str">
        <f>IF(ISBLANK(スキャン結果!E361),"",スキャン結果!E361)</f>
        <v/>
      </c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1" t="str">
        <f t="shared" si="33"/>
        <v/>
      </c>
      <c r="DC363" s="161" t="str">
        <f t="shared" si="34"/>
        <v/>
      </c>
      <c r="DD363" s="161" t="str">
        <f t="shared" si="34"/>
        <v/>
      </c>
      <c r="DE363" s="161" t="str">
        <f t="shared" si="34"/>
        <v/>
      </c>
      <c r="DF363" s="161" t="str">
        <f t="shared" si="34"/>
        <v/>
      </c>
      <c r="DG363" s="161" t="str">
        <f t="shared" si="34"/>
        <v/>
      </c>
      <c r="DH363" s="141"/>
      <c r="DI363" s="141"/>
      <c r="DJ363" s="141"/>
      <c r="DK363" s="141"/>
      <c r="DL363" s="141"/>
      <c r="DM363" s="141"/>
      <c r="DN363" s="163" t="str">
        <f t="shared" si="37"/>
        <v/>
      </c>
      <c r="DO363" s="164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60" t="str">
        <f>IF(ISBLANK(スキャン結果!C362),"",スキャン結果!C362)</f>
        <v/>
      </c>
      <c r="D364" s="161" t="str">
        <f>IF(ISBLANK(スキャン結果!D362),"",スキャン結果!D362)</f>
        <v/>
      </c>
      <c r="E364" s="161" t="str">
        <f>IF(ISBLANK(スキャン結果!E362),"",スキャン結果!E362)</f>
        <v/>
      </c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1" t="str">
        <f t="shared" si="33"/>
        <v/>
      </c>
      <c r="DC364" s="161" t="str">
        <f t="shared" si="34"/>
        <v/>
      </c>
      <c r="DD364" s="161" t="str">
        <f t="shared" si="34"/>
        <v/>
      </c>
      <c r="DE364" s="161" t="str">
        <f t="shared" si="34"/>
        <v/>
      </c>
      <c r="DF364" s="161" t="str">
        <f t="shared" si="34"/>
        <v/>
      </c>
      <c r="DG364" s="161" t="str">
        <f t="shared" si="34"/>
        <v/>
      </c>
      <c r="DH364" s="141"/>
      <c r="DI364" s="141"/>
      <c r="DJ364" s="141"/>
      <c r="DK364" s="141"/>
      <c r="DL364" s="141"/>
      <c r="DM364" s="141"/>
      <c r="DN364" s="163" t="str">
        <f t="shared" si="37"/>
        <v/>
      </c>
      <c r="DO364" s="164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0" t="str">
        <f>IF(ISBLANK(スキャン結果!C363),"",スキャン結果!C363)</f>
        <v/>
      </c>
      <c r="D365" s="161" t="str">
        <f>IF(ISBLANK(スキャン結果!D363),"",スキャン結果!D363)</f>
        <v/>
      </c>
      <c r="E365" s="161" t="str">
        <f>IF(ISBLANK(スキャン結果!E363),"",スキャン結果!E363)</f>
        <v/>
      </c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1" t="str">
        <f t="shared" si="33"/>
        <v/>
      </c>
      <c r="DC365" s="161" t="str">
        <f t="shared" si="34"/>
        <v/>
      </c>
      <c r="DD365" s="161" t="str">
        <f t="shared" si="34"/>
        <v/>
      </c>
      <c r="DE365" s="161" t="str">
        <f t="shared" si="34"/>
        <v/>
      </c>
      <c r="DF365" s="161" t="str">
        <f t="shared" si="34"/>
        <v/>
      </c>
      <c r="DG365" s="161" t="str">
        <f t="shared" si="34"/>
        <v/>
      </c>
      <c r="DH365" s="141"/>
      <c r="DI365" s="141"/>
      <c r="DJ365" s="141"/>
      <c r="DK365" s="141"/>
      <c r="DL365" s="141"/>
      <c r="DM365" s="141"/>
      <c r="DN365" s="163" t="str">
        <f t="shared" si="37"/>
        <v/>
      </c>
      <c r="DO365" s="164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0" t="str">
        <f>IF(ISBLANK(スキャン結果!C364),"",スキャン結果!C364)</f>
        <v/>
      </c>
      <c r="D366" s="161" t="str">
        <f>IF(ISBLANK(スキャン結果!D364),"",スキャン結果!D364)</f>
        <v/>
      </c>
      <c r="E366" s="161" t="str">
        <f>IF(ISBLANK(スキャン結果!E364),"",スキャン結果!E364)</f>
        <v/>
      </c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1" t="str">
        <f t="shared" si="33"/>
        <v/>
      </c>
      <c r="DC366" s="161" t="str">
        <f t="shared" si="34"/>
        <v/>
      </c>
      <c r="DD366" s="161" t="str">
        <f t="shared" si="34"/>
        <v/>
      </c>
      <c r="DE366" s="161" t="str">
        <f t="shared" si="34"/>
        <v/>
      </c>
      <c r="DF366" s="161" t="str">
        <f t="shared" si="34"/>
        <v/>
      </c>
      <c r="DG366" s="161" t="str">
        <f t="shared" si="34"/>
        <v/>
      </c>
      <c r="DH366" s="141"/>
      <c r="DI366" s="141"/>
      <c r="DJ366" s="141"/>
      <c r="DK366" s="141"/>
      <c r="DL366" s="141"/>
      <c r="DM366" s="141"/>
      <c r="DN366" s="163" t="str">
        <f t="shared" si="37"/>
        <v/>
      </c>
      <c r="DO366" s="164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0" t="str">
        <f>IF(ISBLANK(スキャン結果!C365),"",スキャン結果!C365)</f>
        <v/>
      </c>
      <c r="D367" s="161" t="str">
        <f>IF(ISBLANK(スキャン結果!D365),"",スキャン結果!D365)</f>
        <v/>
      </c>
      <c r="E367" s="161" t="str">
        <f>IF(ISBLANK(スキャン結果!E365),"",スキャン結果!E365)</f>
        <v/>
      </c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1" t="str">
        <f t="shared" si="33"/>
        <v/>
      </c>
      <c r="DC367" s="161" t="str">
        <f t="shared" si="34"/>
        <v/>
      </c>
      <c r="DD367" s="161" t="str">
        <f t="shared" si="34"/>
        <v/>
      </c>
      <c r="DE367" s="161" t="str">
        <f t="shared" ref="DC367:DG418" si="38">IF(OR($B367="",DE$4=""),"",SUMIF($F$3:$DA$4,DE$4,$F367:$DA367))</f>
        <v/>
      </c>
      <c r="DF367" s="161" t="str">
        <f t="shared" si="38"/>
        <v/>
      </c>
      <c r="DG367" s="161" t="str">
        <f t="shared" si="38"/>
        <v/>
      </c>
      <c r="DH367" s="141"/>
      <c r="DI367" s="141"/>
      <c r="DJ367" s="141"/>
      <c r="DK367" s="141"/>
      <c r="DL367" s="141"/>
      <c r="DM367" s="141"/>
      <c r="DN367" s="163" t="str">
        <f t="shared" si="37"/>
        <v/>
      </c>
      <c r="DO367" s="164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160" t="str">
        <f>IF(ISBLANK(スキャン結果!C366),"",スキャン結果!C366)</f>
        <v/>
      </c>
      <c r="D368" s="161" t="str">
        <f>IF(ISBLANK(スキャン結果!D366),"",スキャン結果!D366)</f>
        <v/>
      </c>
      <c r="E368" s="161" t="str">
        <f>IF(ISBLANK(スキャン結果!E366),"",スキャン結果!E366)</f>
        <v/>
      </c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1" t="str">
        <f t="shared" si="33"/>
        <v/>
      </c>
      <c r="DC368" s="161" t="str">
        <f t="shared" si="38"/>
        <v/>
      </c>
      <c r="DD368" s="161" t="str">
        <f t="shared" si="38"/>
        <v/>
      </c>
      <c r="DE368" s="161" t="str">
        <f t="shared" si="38"/>
        <v/>
      </c>
      <c r="DF368" s="161" t="str">
        <f t="shared" si="38"/>
        <v/>
      </c>
      <c r="DG368" s="161" t="str">
        <f t="shared" si="38"/>
        <v/>
      </c>
      <c r="DH368" s="141"/>
      <c r="DI368" s="141"/>
      <c r="DJ368" s="141"/>
      <c r="DK368" s="141"/>
      <c r="DL368" s="141"/>
      <c r="DM368" s="141"/>
      <c r="DN368" s="163" t="str">
        <f t="shared" si="37"/>
        <v/>
      </c>
      <c r="DO368" s="164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60" t="str">
        <f>IF(ISBLANK(スキャン結果!C367),"",スキャン結果!C367)</f>
        <v/>
      </c>
      <c r="D369" s="161" t="str">
        <f>IF(ISBLANK(スキャン結果!D367),"",スキャン結果!D367)</f>
        <v/>
      </c>
      <c r="E369" s="161" t="str">
        <f>IF(ISBLANK(スキャン結果!E367),"",スキャン結果!E367)</f>
        <v/>
      </c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1" t="str">
        <f t="shared" ref="DB369:DB432" si="39">IF(OR($B369="",DB$4=""),"",SUMIF($F$3:$DA$4,DB$4,$F369:$DA369))</f>
        <v/>
      </c>
      <c r="DC369" s="161" t="str">
        <f t="shared" si="38"/>
        <v/>
      </c>
      <c r="DD369" s="161" t="str">
        <f t="shared" si="38"/>
        <v/>
      </c>
      <c r="DE369" s="161" t="str">
        <f t="shared" si="38"/>
        <v/>
      </c>
      <c r="DF369" s="161" t="str">
        <f t="shared" si="38"/>
        <v/>
      </c>
      <c r="DG369" s="161" t="str">
        <f t="shared" si="38"/>
        <v/>
      </c>
      <c r="DH369" s="141"/>
      <c r="DI369" s="141"/>
      <c r="DJ369" s="141"/>
      <c r="DK369" s="141"/>
      <c r="DL369" s="141"/>
      <c r="DM369" s="141"/>
      <c r="DN369" s="163" t="str">
        <f t="shared" si="37"/>
        <v/>
      </c>
      <c r="DO369" s="164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0" t="str">
        <f>IF(ISBLANK(スキャン結果!C368),"",スキャン結果!C368)</f>
        <v/>
      </c>
      <c r="D370" s="161" t="str">
        <f>IF(ISBLANK(スキャン結果!D368),"",スキャン結果!D368)</f>
        <v/>
      </c>
      <c r="E370" s="161" t="str">
        <f>IF(ISBLANK(スキャン結果!E368),"",スキャン結果!E368)</f>
        <v/>
      </c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1" t="str">
        <f t="shared" si="39"/>
        <v/>
      </c>
      <c r="DC370" s="161" t="str">
        <f t="shared" si="38"/>
        <v/>
      </c>
      <c r="DD370" s="161" t="str">
        <f t="shared" si="38"/>
        <v/>
      </c>
      <c r="DE370" s="161" t="str">
        <f t="shared" si="38"/>
        <v/>
      </c>
      <c r="DF370" s="161" t="str">
        <f t="shared" si="38"/>
        <v/>
      </c>
      <c r="DG370" s="161" t="str">
        <f t="shared" si="38"/>
        <v/>
      </c>
      <c r="DH370" s="141"/>
      <c r="DI370" s="141"/>
      <c r="DJ370" s="141"/>
      <c r="DK370" s="141"/>
      <c r="DL370" s="141"/>
      <c r="DM370" s="141"/>
      <c r="DN370" s="163" t="str">
        <f t="shared" si="37"/>
        <v/>
      </c>
      <c r="DO370" s="164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0" t="str">
        <f>IF(ISBLANK(スキャン結果!C369),"",スキャン結果!C369)</f>
        <v/>
      </c>
      <c r="D371" s="161" t="str">
        <f>IF(ISBLANK(スキャン結果!D369),"",スキャン結果!D369)</f>
        <v/>
      </c>
      <c r="E371" s="161" t="str">
        <f>IF(ISBLANK(スキャン結果!E369),"",スキャン結果!E369)</f>
        <v/>
      </c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1" t="str">
        <f t="shared" si="39"/>
        <v/>
      </c>
      <c r="DC371" s="161" t="str">
        <f t="shared" si="38"/>
        <v/>
      </c>
      <c r="DD371" s="161" t="str">
        <f t="shared" si="38"/>
        <v/>
      </c>
      <c r="DE371" s="161" t="str">
        <f t="shared" si="38"/>
        <v/>
      </c>
      <c r="DF371" s="161" t="str">
        <f t="shared" si="38"/>
        <v/>
      </c>
      <c r="DG371" s="161" t="str">
        <f t="shared" si="38"/>
        <v/>
      </c>
      <c r="DH371" s="141"/>
      <c r="DI371" s="141"/>
      <c r="DJ371" s="141"/>
      <c r="DK371" s="141"/>
      <c r="DL371" s="141"/>
      <c r="DM371" s="141"/>
      <c r="DN371" s="163" t="str">
        <f t="shared" si="37"/>
        <v/>
      </c>
      <c r="DO371" s="164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0" t="str">
        <f>IF(ISBLANK(スキャン結果!C370),"",スキャン結果!C370)</f>
        <v/>
      </c>
      <c r="D372" s="161" t="str">
        <f>IF(ISBLANK(スキャン結果!D370),"",スキャン結果!D370)</f>
        <v/>
      </c>
      <c r="E372" s="161" t="str">
        <f>IF(ISBLANK(スキャン結果!E370),"",スキャン結果!E370)</f>
        <v/>
      </c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1" t="str">
        <f t="shared" si="39"/>
        <v/>
      </c>
      <c r="DC372" s="161" t="str">
        <f t="shared" si="38"/>
        <v/>
      </c>
      <c r="DD372" s="161" t="str">
        <f t="shared" si="38"/>
        <v/>
      </c>
      <c r="DE372" s="161" t="str">
        <f t="shared" si="38"/>
        <v/>
      </c>
      <c r="DF372" s="161" t="str">
        <f t="shared" si="38"/>
        <v/>
      </c>
      <c r="DG372" s="161" t="str">
        <f t="shared" si="38"/>
        <v/>
      </c>
      <c r="DH372" s="141"/>
      <c r="DI372" s="141"/>
      <c r="DJ372" s="141"/>
      <c r="DK372" s="141"/>
      <c r="DL372" s="141"/>
      <c r="DM372" s="141"/>
      <c r="DN372" s="163" t="str">
        <f t="shared" si="37"/>
        <v/>
      </c>
      <c r="DO372" s="164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160" t="str">
        <f>IF(ISBLANK(スキャン結果!C371),"",スキャン結果!C371)</f>
        <v/>
      </c>
      <c r="D373" s="161" t="str">
        <f>IF(ISBLANK(スキャン結果!D371),"",スキャン結果!D371)</f>
        <v/>
      </c>
      <c r="E373" s="161" t="str">
        <f>IF(ISBLANK(スキャン結果!E371),"",スキャン結果!E371)</f>
        <v/>
      </c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1" t="str">
        <f t="shared" si="39"/>
        <v/>
      </c>
      <c r="DC373" s="161" t="str">
        <f t="shared" si="38"/>
        <v/>
      </c>
      <c r="DD373" s="161" t="str">
        <f t="shared" si="38"/>
        <v/>
      </c>
      <c r="DE373" s="161" t="str">
        <f t="shared" si="38"/>
        <v/>
      </c>
      <c r="DF373" s="161" t="str">
        <f t="shared" si="38"/>
        <v/>
      </c>
      <c r="DG373" s="161" t="str">
        <f t="shared" si="38"/>
        <v/>
      </c>
      <c r="DH373" s="141"/>
      <c r="DI373" s="141"/>
      <c r="DJ373" s="141"/>
      <c r="DK373" s="141"/>
      <c r="DL373" s="141"/>
      <c r="DM373" s="141"/>
      <c r="DN373" s="163" t="str">
        <f t="shared" si="37"/>
        <v/>
      </c>
      <c r="DO373" s="164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60" t="str">
        <f>IF(ISBLANK(スキャン結果!C372),"",スキャン結果!C372)</f>
        <v/>
      </c>
      <c r="D374" s="161" t="str">
        <f>IF(ISBLANK(スキャン結果!D372),"",スキャン結果!D372)</f>
        <v/>
      </c>
      <c r="E374" s="161" t="str">
        <f>IF(ISBLANK(スキャン結果!E372),"",スキャン結果!E372)</f>
        <v/>
      </c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1" t="str">
        <f t="shared" si="39"/>
        <v/>
      </c>
      <c r="DC374" s="161" t="str">
        <f t="shared" si="38"/>
        <v/>
      </c>
      <c r="DD374" s="161" t="str">
        <f t="shared" si="38"/>
        <v/>
      </c>
      <c r="DE374" s="161" t="str">
        <f t="shared" si="38"/>
        <v/>
      </c>
      <c r="DF374" s="161" t="str">
        <f t="shared" si="38"/>
        <v/>
      </c>
      <c r="DG374" s="161" t="str">
        <f t="shared" si="38"/>
        <v/>
      </c>
      <c r="DH374" s="141"/>
      <c r="DI374" s="141"/>
      <c r="DJ374" s="141"/>
      <c r="DK374" s="141"/>
      <c r="DL374" s="141"/>
      <c r="DM374" s="141"/>
      <c r="DN374" s="163" t="str">
        <f t="shared" si="37"/>
        <v/>
      </c>
      <c r="DO374" s="164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0" t="str">
        <f>IF(ISBLANK(スキャン結果!C373),"",スキャン結果!C373)</f>
        <v/>
      </c>
      <c r="D375" s="161" t="str">
        <f>IF(ISBLANK(スキャン結果!D373),"",スキャン結果!D373)</f>
        <v/>
      </c>
      <c r="E375" s="161" t="str">
        <f>IF(ISBLANK(スキャン結果!E373),"",スキャン結果!E373)</f>
        <v/>
      </c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1" t="str">
        <f t="shared" si="39"/>
        <v/>
      </c>
      <c r="DC375" s="161" t="str">
        <f t="shared" si="38"/>
        <v/>
      </c>
      <c r="DD375" s="161" t="str">
        <f t="shared" si="38"/>
        <v/>
      </c>
      <c r="DE375" s="161" t="str">
        <f t="shared" si="38"/>
        <v/>
      </c>
      <c r="DF375" s="161" t="str">
        <f t="shared" si="38"/>
        <v/>
      </c>
      <c r="DG375" s="161" t="str">
        <f t="shared" si="38"/>
        <v/>
      </c>
      <c r="DH375" s="141"/>
      <c r="DI375" s="141"/>
      <c r="DJ375" s="141"/>
      <c r="DK375" s="141"/>
      <c r="DL375" s="141"/>
      <c r="DM375" s="141"/>
      <c r="DN375" s="163" t="str">
        <f t="shared" si="37"/>
        <v/>
      </c>
      <c r="DO375" s="164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0" t="str">
        <f>IF(ISBLANK(スキャン結果!C374),"",スキャン結果!C374)</f>
        <v/>
      </c>
      <c r="D376" s="161" t="str">
        <f>IF(ISBLANK(スキャン結果!D374),"",スキャン結果!D374)</f>
        <v/>
      </c>
      <c r="E376" s="161" t="str">
        <f>IF(ISBLANK(スキャン結果!E374),"",スキャン結果!E374)</f>
        <v/>
      </c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1" t="str">
        <f t="shared" si="39"/>
        <v/>
      </c>
      <c r="DC376" s="161" t="str">
        <f t="shared" si="38"/>
        <v/>
      </c>
      <c r="DD376" s="161" t="str">
        <f t="shared" si="38"/>
        <v/>
      </c>
      <c r="DE376" s="161" t="str">
        <f t="shared" si="38"/>
        <v/>
      </c>
      <c r="DF376" s="161" t="str">
        <f t="shared" si="38"/>
        <v/>
      </c>
      <c r="DG376" s="161" t="str">
        <f t="shared" si="38"/>
        <v/>
      </c>
      <c r="DH376" s="141"/>
      <c r="DI376" s="141"/>
      <c r="DJ376" s="141"/>
      <c r="DK376" s="141"/>
      <c r="DL376" s="141"/>
      <c r="DM376" s="141"/>
      <c r="DN376" s="163" t="str">
        <f t="shared" si="37"/>
        <v/>
      </c>
      <c r="DO376" s="164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0" t="str">
        <f>IF(ISBLANK(スキャン結果!C375),"",スキャン結果!C375)</f>
        <v/>
      </c>
      <c r="D377" s="161" t="str">
        <f>IF(ISBLANK(スキャン結果!D375),"",スキャン結果!D375)</f>
        <v/>
      </c>
      <c r="E377" s="161" t="str">
        <f>IF(ISBLANK(スキャン結果!E375),"",スキャン結果!E375)</f>
        <v/>
      </c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1" t="str">
        <f t="shared" si="39"/>
        <v/>
      </c>
      <c r="DC377" s="161" t="str">
        <f t="shared" si="38"/>
        <v/>
      </c>
      <c r="DD377" s="161" t="str">
        <f t="shared" si="38"/>
        <v/>
      </c>
      <c r="DE377" s="161" t="str">
        <f t="shared" si="38"/>
        <v/>
      </c>
      <c r="DF377" s="161" t="str">
        <f t="shared" si="38"/>
        <v/>
      </c>
      <c r="DG377" s="161" t="str">
        <f t="shared" si="38"/>
        <v/>
      </c>
      <c r="DH377" s="141"/>
      <c r="DI377" s="141"/>
      <c r="DJ377" s="141"/>
      <c r="DK377" s="141"/>
      <c r="DL377" s="141"/>
      <c r="DM377" s="141"/>
      <c r="DN377" s="163" t="str">
        <f t="shared" si="37"/>
        <v/>
      </c>
      <c r="DO377" s="164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0" t="str">
        <f>IF(ISBLANK(スキャン結果!C376),"",スキャン結果!C376)</f>
        <v/>
      </c>
      <c r="D378" s="161" t="str">
        <f>IF(ISBLANK(スキャン結果!D376),"",スキャン結果!D376)</f>
        <v/>
      </c>
      <c r="E378" s="161" t="str">
        <f>IF(ISBLANK(スキャン結果!E376),"",スキャン結果!E376)</f>
        <v/>
      </c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1" t="str">
        <f t="shared" si="39"/>
        <v/>
      </c>
      <c r="DC378" s="161" t="str">
        <f t="shared" si="38"/>
        <v/>
      </c>
      <c r="DD378" s="161" t="str">
        <f t="shared" si="38"/>
        <v/>
      </c>
      <c r="DE378" s="161" t="str">
        <f t="shared" si="38"/>
        <v/>
      </c>
      <c r="DF378" s="161" t="str">
        <f t="shared" si="38"/>
        <v/>
      </c>
      <c r="DG378" s="161" t="str">
        <f t="shared" si="38"/>
        <v/>
      </c>
      <c r="DH378" s="141"/>
      <c r="DI378" s="141"/>
      <c r="DJ378" s="141"/>
      <c r="DK378" s="141"/>
      <c r="DL378" s="141"/>
      <c r="DM378" s="141"/>
      <c r="DN378" s="163" t="str">
        <f t="shared" si="37"/>
        <v/>
      </c>
      <c r="DO378" s="164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0" t="str">
        <f>IF(ISBLANK(スキャン結果!C377),"",スキャン結果!C377)</f>
        <v/>
      </c>
      <c r="D379" s="161" t="str">
        <f>IF(ISBLANK(スキャン結果!D377),"",スキャン結果!D377)</f>
        <v/>
      </c>
      <c r="E379" s="161" t="str">
        <f>IF(ISBLANK(スキャン結果!E377),"",スキャン結果!E377)</f>
        <v/>
      </c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1" t="str">
        <f t="shared" si="39"/>
        <v/>
      </c>
      <c r="DC379" s="161" t="str">
        <f t="shared" si="38"/>
        <v/>
      </c>
      <c r="DD379" s="161" t="str">
        <f t="shared" si="38"/>
        <v/>
      </c>
      <c r="DE379" s="161" t="str">
        <f t="shared" si="38"/>
        <v/>
      </c>
      <c r="DF379" s="161" t="str">
        <f t="shared" si="38"/>
        <v/>
      </c>
      <c r="DG379" s="161" t="str">
        <f t="shared" si="38"/>
        <v/>
      </c>
      <c r="DH379" s="141"/>
      <c r="DI379" s="141"/>
      <c r="DJ379" s="141"/>
      <c r="DK379" s="141"/>
      <c r="DL379" s="141"/>
      <c r="DM379" s="141"/>
      <c r="DN379" s="163" t="str">
        <f t="shared" si="37"/>
        <v/>
      </c>
      <c r="DO379" s="164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0" t="str">
        <f>IF(ISBLANK(スキャン結果!C378),"",スキャン結果!C378)</f>
        <v/>
      </c>
      <c r="D380" s="161" t="str">
        <f>IF(ISBLANK(スキャン結果!D378),"",スキャン結果!D378)</f>
        <v/>
      </c>
      <c r="E380" s="161" t="str">
        <f>IF(ISBLANK(スキャン結果!E378),"",スキャン結果!E378)</f>
        <v/>
      </c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1" t="str">
        <f t="shared" si="39"/>
        <v/>
      </c>
      <c r="DC380" s="161" t="str">
        <f t="shared" si="38"/>
        <v/>
      </c>
      <c r="DD380" s="161" t="str">
        <f t="shared" si="38"/>
        <v/>
      </c>
      <c r="DE380" s="161" t="str">
        <f t="shared" si="38"/>
        <v/>
      </c>
      <c r="DF380" s="161" t="str">
        <f t="shared" si="38"/>
        <v/>
      </c>
      <c r="DG380" s="161" t="str">
        <f t="shared" si="38"/>
        <v/>
      </c>
      <c r="DH380" s="141"/>
      <c r="DI380" s="141"/>
      <c r="DJ380" s="141"/>
      <c r="DK380" s="141"/>
      <c r="DL380" s="141"/>
      <c r="DM380" s="141"/>
      <c r="DN380" s="163" t="str">
        <f t="shared" si="37"/>
        <v/>
      </c>
      <c r="DO380" s="164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0" t="str">
        <f>IF(ISBLANK(スキャン結果!C379),"",スキャン結果!C379)</f>
        <v/>
      </c>
      <c r="D381" s="161" t="str">
        <f>IF(ISBLANK(スキャン結果!D379),"",スキャン結果!D379)</f>
        <v/>
      </c>
      <c r="E381" s="161" t="str">
        <f>IF(ISBLANK(スキャン結果!E379),"",スキャン結果!E379)</f>
        <v/>
      </c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1" t="str">
        <f t="shared" si="39"/>
        <v/>
      </c>
      <c r="DC381" s="161" t="str">
        <f t="shared" si="38"/>
        <v/>
      </c>
      <c r="DD381" s="161" t="str">
        <f t="shared" si="38"/>
        <v/>
      </c>
      <c r="DE381" s="161" t="str">
        <f t="shared" si="38"/>
        <v/>
      </c>
      <c r="DF381" s="161" t="str">
        <f t="shared" si="38"/>
        <v/>
      </c>
      <c r="DG381" s="161" t="str">
        <f t="shared" si="38"/>
        <v/>
      </c>
      <c r="DH381" s="141"/>
      <c r="DI381" s="141"/>
      <c r="DJ381" s="141"/>
      <c r="DK381" s="141"/>
      <c r="DL381" s="141"/>
      <c r="DM381" s="141"/>
      <c r="DN381" s="163" t="str">
        <f t="shared" si="37"/>
        <v/>
      </c>
      <c r="DO381" s="164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0" t="str">
        <f>IF(ISBLANK(スキャン結果!C380),"",スキャン結果!C380)</f>
        <v/>
      </c>
      <c r="D382" s="161" t="str">
        <f>IF(ISBLANK(スキャン結果!D380),"",スキャン結果!D380)</f>
        <v/>
      </c>
      <c r="E382" s="161" t="str">
        <f>IF(ISBLANK(スキャン結果!E380),"",スキャン結果!E380)</f>
        <v/>
      </c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1" t="str">
        <f t="shared" si="39"/>
        <v/>
      </c>
      <c r="DC382" s="161" t="str">
        <f t="shared" si="38"/>
        <v/>
      </c>
      <c r="DD382" s="161" t="str">
        <f t="shared" si="38"/>
        <v/>
      </c>
      <c r="DE382" s="161" t="str">
        <f t="shared" si="38"/>
        <v/>
      </c>
      <c r="DF382" s="161" t="str">
        <f t="shared" si="38"/>
        <v/>
      </c>
      <c r="DG382" s="161" t="str">
        <f t="shared" si="38"/>
        <v/>
      </c>
      <c r="DH382" s="141"/>
      <c r="DI382" s="141"/>
      <c r="DJ382" s="141"/>
      <c r="DK382" s="141"/>
      <c r="DL382" s="141"/>
      <c r="DM382" s="141"/>
      <c r="DN382" s="163" t="str">
        <f t="shared" si="37"/>
        <v/>
      </c>
      <c r="DO382" s="164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0" t="str">
        <f>IF(ISBLANK(スキャン結果!C381),"",スキャン結果!C381)</f>
        <v/>
      </c>
      <c r="D383" s="161" t="str">
        <f>IF(ISBLANK(スキャン結果!D381),"",スキャン結果!D381)</f>
        <v/>
      </c>
      <c r="E383" s="161" t="str">
        <f>IF(ISBLANK(スキャン結果!E381),"",スキャン結果!E381)</f>
        <v/>
      </c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1" t="str">
        <f t="shared" si="39"/>
        <v/>
      </c>
      <c r="DC383" s="161" t="str">
        <f t="shared" si="38"/>
        <v/>
      </c>
      <c r="DD383" s="161" t="str">
        <f t="shared" si="38"/>
        <v/>
      </c>
      <c r="DE383" s="161" t="str">
        <f t="shared" si="38"/>
        <v/>
      </c>
      <c r="DF383" s="161" t="str">
        <f t="shared" si="38"/>
        <v/>
      </c>
      <c r="DG383" s="161" t="str">
        <f t="shared" si="38"/>
        <v/>
      </c>
      <c r="DH383" s="141"/>
      <c r="DI383" s="141"/>
      <c r="DJ383" s="141"/>
      <c r="DK383" s="141"/>
      <c r="DL383" s="141"/>
      <c r="DM383" s="141"/>
      <c r="DN383" s="163" t="str">
        <f t="shared" si="37"/>
        <v/>
      </c>
      <c r="DO383" s="164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0" t="str">
        <f>IF(ISBLANK(スキャン結果!C382),"",スキャン結果!C382)</f>
        <v/>
      </c>
      <c r="D384" s="161" t="str">
        <f>IF(ISBLANK(スキャン結果!D382),"",スキャン結果!D382)</f>
        <v/>
      </c>
      <c r="E384" s="161" t="str">
        <f>IF(ISBLANK(スキャン結果!E382),"",スキャン結果!E382)</f>
        <v/>
      </c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1" t="str">
        <f t="shared" si="39"/>
        <v/>
      </c>
      <c r="DC384" s="161" t="str">
        <f t="shared" si="38"/>
        <v/>
      </c>
      <c r="DD384" s="161" t="str">
        <f t="shared" si="38"/>
        <v/>
      </c>
      <c r="DE384" s="161" t="str">
        <f t="shared" si="38"/>
        <v/>
      </c>
      <c r="DF384" s="161" t="str">
        <f t="shared" si="38"/>
        <v/>
      </c>
      <c r="DG384" s="161" t="str">
        <f t="shared" si="38"/>
        <v/>
      </c>
      <c r="DH384" s="141"/>
      <c r="DI384" s="141"/>
      <c r="DJ384" s="141"/>
      <c r="DK384" s="141"/>
      <c r="DL384" s="141"/>
      <c r="DM384" s="141"/>
      <c r="DN384" s="163" t="str">
        <f t="shared" si="37"/>
        <v/>
      </c>
      <c r="DO384" s="164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0" t="str">
        <f>IF(ISBLANK(スキャン結果!C383),"",スキャン結果!C383)</f>
        <v/>
      </c>
      <c r="D385" s="161" t="str">
        <f>IF(ISBLANK(スキャン結果!D383),"",スキャン結果!D383)</f>
        <v/>
      </c>
      <c r="E385" s="161" t="str">
        <f>IF(ISBLANK(スキャン結果!E383),"",スキャン結果!E383)</f>
        <v/>
      </c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1" t="str">
        <f t="shared" si="39"/>
        <v/>
      </c>
      <c r="DC385" s="161" t="str">
        <f t="shared" si="38"/>
        <v/>
      </c>
      <c r="DD385" s="161" t="str">
        <f t="shared" si="38"/>
        <v/>
      </c>
      <c r="DE385" s="161" t="str">
        <f t="shared" si="38"/>
        <v/>
      </c>
      <c r="DF385" s="161" t="str">
        <f t="shared" si="38"/>
        <v/>
      </c>
      <c r="DG385" s="161" t="str">
        <f t="shared" si="38"/>
        <v/>
      </c>
      <c r="DH385" s="141"/>
      <c r="DI385" s="141"/>
      <c r="DJ385" s="141"/>
      <c r="DK385" s="141"/>
      <c r="DL385" s="141"/>
      <c r="DM385" s="141"/>
      <c r="DN385" s="163" t="str">
        <f t="shared" si="37"/>
        <v/>
      </c>
      <c r="DO385" s="164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0" t="str">
        <f>IF(ISBLANK(スキャン結果!C384),"",スキャン結果!C384)</f>
        <v/>
      </c>
      <c r="D386" s="161" t="str">
        <f>IF(ISBLANK(スキャン結果!D384),"",スキャン結果!D384)</f>
        <v/>
      </c>
      <c r="E386" s="161" t="str">
        <f>IF(ISBLANK(スキャン結果!E384),"",スキャン結果!E384)</f>
        <v/>
      </c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1" t="str">
        <f t="shared" si="39"/>
        <v/>
      </c>
      <c r="DC386" s="161" t="str">
        <f t="shared" si="38"/>
        <v/>
      </c>
      <c r="DD386" s="161" t="str">
        <f t="shared" si="38"/>
        <v/>
      </c>
      <c r="DE386" s="161" t="str">
        <f t="shared" si="38"/>
        <v/>
      </c>
      <c r="DF386" s="161" t="str">
        <f t="shared" si="38"/>
        <v/>
      </c>
      <c r="DG386" s="161" t="str">
        <f t="shared" si="38"/>
        <v/>
      </c>
      <c r="DH386" s="141"/>
      <c r="DI386" s="141"/>
      <c r="DJ386" s="141"/>
      <c r="DK386" s="141"/>
      <c r="DL386" s="141"/>
      <c r="DM386" s="141"/>
      <c r="DN386" s="163" t="str">
        <f t="shared" si="37"/>
        <v/>
      </c>
      <c r="DO386" s="164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0" t="str">
        <f>IF(ISBLANK(スキャン結果!C385),"",スキャン結果!C385)</f>
        <v/>
      </c>
      <c r="D387" s="161" t="str">
        <f>IF(ISBLANK(スキャン結果!D385),"",スキャン結果!D385)</f>
        <v/>
      </c>
      <c r="E387" s="161" t="str">
        <f>IF(ISBLANK(スキャン結果!E385),"",スキャン結果!E385)</f>
        <v/>
      </c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1" t="str">
        <f t="shared" si="39"/>
        <v/>
      </c>
      <c r="DC387" s="161" t="str">
        <f t="shared" si="38"/>
        <v/>
      </c>
      <c r="DD387" s="161" t="str">
        <f t="shared" si="38"/>
        <v/>
      </c>
      <c r="DE387" s="161" t="str">
        <f t="shared" si="38"/>
        <v/>
      </c>
      <c r="DF387" s="161" t="str">
        <f t="shared" si="38"/>
        <v/>
      </c>
      <c r="DG387" s="161" t="str">
        <f t="shared" si="38"/>
        <v/>
      </c>
      <c r="DH387" s="141"/>
      <c r="DI387" s="141"/>
      <c r="DJ387" s="141"/>
      <c r="DK387" s="141"/>
      <c r="DL387" s="141"/>
      <c r="DM387" s="141"/>
      <c r="DN387" s="163" t="str">
        <f t="shared" si="37"/>
        <v/>
      </c>
      <c r="DO387" s="164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0" t="str">
        <f>IF(ISBLANK(スキャン結果!C386),"",スキャン結果!C386)</f>
        <v/>
      </c>
      <c r="D388" s="161" t="str">
        <f>IF(ISBLANK(スキャン結果!D386),"",スキャン結果!D386)</f>
        <v/>
      </c>
      <c r="E388" s="161" t="str">
        <f>IF(ISBLANK(スキャン結果!E386),"",スキャン結果!E386)</f>
        <v/>
      </c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1" t="str">
        <f t="shared" si="39"/>
        <v/>
      </c>
      <c r="DC388" s="161" t="str">
        <f t="shared" si="38"/>
        <v/>
      </c>
      <c r="DD388" s="161" t="str">
        <f t="shared" si="38"/>
        <v/>
      </c>
      <c r="DE388" s="161" t="str">
        <f t="shared" si="38"/>
        <v/>
      </c>
      <c r="DF388" s="161" t="str">
        <f t="shared" si="38"/>
        <v/>
      </c>
      <c r="DG388" s="161" t="str">
        <f t="shared" si="38"/>
        <v/>
      </c>
      <c r="DH388" s="141"/>
      <c r="DI388" s="141"/>
      <c r="DJ388" s="141"/>
      <c r="DK388" s="141"/>
      <c r="DL388" s="141"/>
      <c r="DM388" s="141"/>
      <c r="DN388" s="163" t="str">
        <f t="shared" si="37"/>
        <v/>
      </c>
      <c r="DO388" s="164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0" t="str">
        <f>IF(ISBLANK(スキャン結果!C387),"",スキャン結果!C387)</f>
        <v/>
      </c>
      <c r="D389" s="161" t="str">
        <f>IF(ISBLANK(スキャン結果!D387),"",スキャン結果!D387)</f>
        <v/>
      </c>
      <c r="E389" s="161" t="str">
        <f>IF(ISBLANK(スキャン結果!E387),"",スキャン結果!E387)</f>
        <v/>
      </c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1" t="str">
        <f t="shared" si="39"/>
        <v/>
      </c>
      <c r="DC389" s="161" t="str">
        <f t="shared" si="38"/>
        <v/>
      </c>
      <c r="DD389" s="161" t="str">
        <f t="shared" si="38"/>
        <v/>
      </c>
      <c r="DE389" s="161" t="str">
        <f t="shared" si="38"/>
        <v/>
      </c>
      <c r="DF389" s="161" t="str">
        <f t="shared" si="38"/>
        <v/>
      </c>
      <c r="DG389" s="161" t="str">
        <f t="shared" si="38"/>
        <v/>
      </c>
      <c r="DH389" s="141"/>
      <c r="DI389" s="141"/>
      <c r="DJ389" s="141"/>
      <c r="DK389" s="141"/>
      <c r="DL389" s="141"/>
      <c r="DM389" s="141"/>
      <c r="DN389" s="163" t="str">
        <f t="shared" si="37"/>
        <v/>
      </c>
      <c r="DO389" s="164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0" t="str">
        <f>IF(ISBLANK(スキャン結果!C388),"",スキャン結果!C388)</f>
        <v/>
      </c>
      <c r="D390" s="161" t="str">
        <f>IF(ISBLANK(スキャン結果!D388),"",スキャン結果!D388)</f>
        <v/>
      </c>
      <c r="E390" s="161" t="str">
        <f>IF(ISBLANK(スキャン結果!E388),"",スキャン結果!E388)</f>
        <v/>
      </c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1" t="str">
        <f t="shared" si="39"/>
        <v/>
      </c>
      <c r="DC390" s="161" t="str">
        <f t="shared" si="38"/>
        <v/>
      </c>
      <c r="DD390" s="161" t="str">
        <f t="shared" si="38"/>
        <v/>
      </c>
      <c r="DE390" s="161" t="str">
        <f t="shared" si="38"/>
        <v/>
      </c>
      <c r="DF390" s="161" t="str">
        <f t="shared" si="38"/>
        <v/>
      </c>
      <c r="DG390" s="161" t="str">
        <f t="shared" si="38"/>
        <v/>
      </c>
      <c r="DH390" s="141"/>
      <c r="DI390" s="141"/>
      <c r="DJ390" s="141"/>
      <c r="DK390" s="141"/>
      <c r="DL390" s="141"/>
      <c r="DM390" s="141"/>
      <c r="DN390" s="163" t="str">
        <f t="shared" si="37"/>
        <v/>
      </c>
      <c r="DO390" s="164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0" t="str">
        <f>IF(ISBLANK(スキャン結果!C389),"",スキャン結果!C389)</f>
        <v/>
      </c>
      <c r="D391" s="161" t="str">
        <f>IF(ISBLANK(スキャン結果!D389),"",スキャン結果!D389)</f>
        <v/>
      </c>
      <c r="E391" s="161" t="str">
        <f>IF(ISBLANK(スキャン結果!E389),"",スキャン結果!E389)</f>
        <v/>
      </c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1" t="str">
        <f t="shared" si="39"/>
        <v/>
      </c>
      <c r="DC391" s="161" t="str">
        <f t="shared" si="38"/>
        <v/>
      </c>
      <c r="DD391" s="161" t="str">
        <f t="shared" si="38"/>
        <v/>
      </c>
      <c r="DE391" s="161" t="str">
        <f t="shared" si="38"/>
        <v/>
      </c>
      <c r="DF391" s="161" t="str">
        <f t="shared" si="38"/>
        <v/>
      </c>
      <c r="DG391" s="161" t="str">
        <f t="shared" si="38"/>
        <v/>
      </c>
      <c r="DH391" s="141"/>
      <c r="DI391" s="141"/>
      <c r="DJ391" s="141"/>
      <c r="DK391" s="141"/>
      <c r="DL391" s="141"/>
      <c r="DM391" s="141"/>
      <c r="DN391" s="163" t="str">
        <f t="shared" si="37"/>
        <v/>
      </c>
      <c r="DO391" s="164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0" t="str">
        <f>IF(ISBLANK(スキャン結果!C390),"",スキャン結果!C390)</f>
        <v/>
      </c>
      <c r="D392" s="161" t="str">
        <f>IF(ISBLANK(スキャン結果!D390),"",スキャン結果!D390)</f>
        <v/>
      </c>
      <c r="E392" s="161" t="str">
        <f>IF(ISBLANK(スキャン結果!E390),"",スキャン結果!E390)</f>
        <v/>
      </c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1" t="str">
        <f t="shared" si="39"/>
        <v/>
      </c>
      <c r="DC392" s="161" t="str">
        <f t="shared" si="38"/>
        <v/>
      </c>
      <c r="DD392" s="161" t="str">
        <f t="shared" si="38"/>
        <v/>
      </c>
      <c r="DE392" s="161" t="str">
        <f t="shared" si="38"/>
        <v/>
      </c>
      <c r="DF392" s="161" t="str">
        <f t="shared" si="38"/>
        <v/>
      </c>
      <c r="DG392" s="161" t="str">
        <f t="shared" si="38"/>
        <v/>
      </c>
      <c r="DH392" s="141"/>
      <c r="DI392" s="141"/>
      <c r="DJ392" s="141"/>
      <c r="DK392" s="141"/>
      <c r="DL392" s="141"/>
      <c r="DM392" s="141"/>
      <c r="DN392" s="163" t="str">
        <f t="shared" si="37"/>
        <v/>
      </c>
      <c r="DO392" s="164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0" t="str">
        <f>IF(ISBLANK(スキャン結果!C391),"",スキャン結果!C391)</f>
        <v/>
      </c>
      <c r="D393" s="161" t="str">
        <f>IF(ISBLANK(スキャン結果!D391),"",スキャン結果!D391)</f>
        <v/>
      </c>
      <c r="E393" s="161" t="str">
        <f>IF(ISBLANK(スキャン結果!E391),"",スキャン結果!E391)</f>
        <v/>
      </c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1" t="str">
        <f t="shared" si="39"/>
        <v/>
      </c>
      <c r="DC393" s="161" t="str">
        <f t="shared" si="38"/>
        <v/>
      </c>
      <c r="DD393" s="161" t="str">
        <f t="shared" si="38"/>
        <v/>
      </c>
      <c r="DE393" s="161" t="str">
        <f t="shared" si="38"/>
        <v/>
      </c>
      <c r="DF393" s="161" t="str">
        <f t="shared" si="38"/>
        <v/>
      </c>
      <c r="DG393" s="161" t="str">
        <f t="shared" si="38"/>
        <v/>
      </c>
      <c r="DH393" s="141"/>
      <c r="DI393" s="141"/>
      <c r="DJ393" s="141"/>
      <c r="DK393" s="141"/>
      <c r="DL393" s="141"/>
      <c r="DM393" s="141"/>
      <c r="DN393" s="163" t="str">
        <f t="shared" si="37"/>
        <v/>
      </c>
      <c r="DO393" s="164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0" t="str">
        <f>IF(ISBLANK(スキャン結果!C392),"",スキャン結果!C392)</f>
        <v/>
      </c>
      <c r="D394" s="161" t="str">
        <f>IF(ISBLANK(スキャン結果!D392),"",スキャン結果!D392)</f>
        <v/>
      </c>
      <c r="E394" s="161" t="str">
        <f>IF(ISBLANK(スキャン結果!E392),"",スキャン結果!E392)</f>
        <v/>
      </c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1" t="str">
        <f t="shared" si="39"/>
        <v/>
      </c>
      <c r="DC394" s="161" t="str">
        <f t="shared" si="38"/>
        <v/>
      </c>
      <c r="DD394" s="161" t="str">
        <f t="shared" si="38"/>
        <v/>
      </c>
      <c r="DE394" s="161" t="str">
        <f t="shared" si="38"/>
        <v/>
      </c>
      <c r="DF394" s="161" t="str">
        <f t="shared" si="38"/>
        <v/>
      </c>
      <c r="DG394" s="161" t="str">
        <f t="shared" si="38"/>
        <v/>
      </c>
      <c r="DH394" s="141"/>
      <c r="DI394" s="141"/>
      <c r="DJ394" s="141"/>
      <c r="DK394" s="141"/>
      <c r="DL394" s="141"/>
      <c r="DM394" s="141"/>
      <c r="DN394" s="163" t="str">
        <f t="shared" si="37"/>
        <v/>
      </c>
      <c r="DO394" s="164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0" t="str">
        <f>IF(ISBLANK(スキャン結果!C393),"",スキャン結果!C393)</f>
        <v/>
      </c>
      <c r="D395" s="161" t="str">
        <f>IF(ISBLANK(スキャン結果!D393),"",スキャン結果!D393)</f>
        <v/>
      </c>
      <c r="E395" s="161" t="str">
        <f>IF(ISBLANK(スキャン結果!E393),"",スキャン結果!E393)</f>
        <v/>
      </c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1" t="str">
        <f t="shared" si="39"/>
        <v/>
      </c>
      <c r="DC395" s="161" t="str">
        <f t="shared" si="38"/>
        <v/>
      </c>
      <c r="DD395" s="161" t="str">
        <f t="shared" si="38"/>
        <v/>
      </c>
      <c r="DE395" s="161" t="str">
        <f t="shared" si="38"/>
        <v/>
      </c>
      <c r="DF395" s="161" t="str">
        <f t="shared" si="38"/>
        <v/>
      </c>
      <c r="DG395" s="161" t="str">
        <f t="shared" si="38"/>
        <v/>
      </c>
      <c r="DH395" s="141"/>
      <c r="DI395" s="141"/>
      <c r="DJ395" s="141"/>
      <c r="DK395" s="141"/>
      <c r="DL395" s="141"/>
      <c r="DM395" s="141"/>
      <c r="DN395" s="163" t="str">
        <f t="shared" si="37"/>
        <v/>
      </c>
      <c r="DO395" s="164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0" t="str">
        <f>IF(ISBLANK(スキャン結果!C394),"",スキャン結果!C394)</f>
        <v/>
      </c>
      <c r="D396" s="161" t="str">
        <f>IF(ISBLANK(スキャン結果!D394),"",スキャン結果!D394)</f>
        <v/>
      </c>
      <c r="E396" s="161" t="str">
        <f>IF(ISBLANK(スキャン結果!E394),"",スキャン結果!E394)</f>
        <v/>
      </c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1" t="str">
        <f t="shared" si="39"/>
        <v/>
      </c>
      <c r="DC396" s="161" t="str">
        <f t="shared" si="38"/>
        <v/>
      </c>
      <c r="DD396" s="161" t="str">
        <f t="shared" si="38"/>
        <v/>
      </c>
      <c r="DE396" s="161" t="str">
        <f t="shared" si="38"/>
        <v/>
      </c>
      <c r="DF396" s="161" t="str">
        <f t="shared" si="38"/>
        <v/>
      </c>
      <c r="DG396" s="161" t="str">
        <f t="shared" si="38"/>
        <v/>
      </c>
      <c r="DH396" s="141"/>
      <c r="DI396" s="141"/>
      <c r="DJ396" s="141"/>
      <c r="DK396" s="141"/>
      <c r="DL396" s="141"/>
      <c r="DM396" s="141"/>
      <c r="DN396" s="163" t="str">
        <f t="shared" si="37"/>
        <v/>
      </c>
      <c r="DO396" s="164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0" t="str">
        <f>IF(ISBLANK(スキャン結果!C395),"",スキャン結果!C395)</f>
        <v/>
      </c>
      <c r="D397" s="161" t="str">
        <f>IF(ISBLANK(スキャン結果!D395),"",スキャン結果!D395)</f>
        <v/>
      </c>
      <c r="E397" s="161" t="str">
        <f>IF(ISBLANK(スキャン結果!E395),"",スキャン結果!E395)</f>
        <v/>
      </c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1" t="str">
        <f t="shared" si="39"/>
        <v/>
      </c>
      <c r="DC397" s="161" t="str">
        <f t="shared" si="38"/>
        <v/>
      </c>
      <c r="DD397" s="161" t="str">
        <f t="shared" si="38"/>
        <v/>
      </c>
      <c r="DE397" s="161" t="str">
        <f t="shared" si="38"/>
        <v/>
      </c>
      <c r="DF397" s="161" t="str">
        <f t="shared" si="38"/>
        <v/>
      </c>
      <c r="DG397" s="161" t="str">
        <f t="shared" si="38"/>
        <v/>
      </c>
      <c r="DH397" s="141"/>
      <c r="DI397" s="141"/>
      <c r="DJ397" s="141"/>
      <c r="DK397" s="141"/>
      <c r="DL397" s="141"/>
      <c r="DM397" s="141"/>
      <c r="DN397" s="163" t="str">
        <f t="shared" si="37"/>
        <v/>
      </c>
      <c r="DO397" s="164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0" t="str">
        <f>IF(ISBLANK(スキャン結果!C396),"",スキャン結果!C396)</f>
        <v/>
      </c>
      <c r="D398" s="161" t="str">
        <f>IF(ISBLANK(スキャン結果!D396),"",スキャン結果!D396)</f>
        <v/>
      </c>
      <c r="E398" s="161" t="str">
        <f>IF(ISBLANK(スキャン結果!E396),"",スキャン結果!E396)</f>
        <v/>
      </c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1" t="str">
        <f t="shared" si="39"/>
        <v/>
      </c>
      <c r="DC398" s="161" t="str">
        <f t="shared" si="38"/>
        <v/>
      </c>
      <c r="DD398" s="161" t="str">
        <f t="shared" si="38"/>
        <v/>
      </c>
      <c r="DE398" s="161" t="str">
        <f t="shared" si="38"/>
        <v/>
      </c>
      <c r="DF398" s="161" t="str">
        <f t="shared" si="38"/>
        <v/>
      </c>
      <c r="DG398" s="161" t="str">
        <f t="shared" si="38"/>
        <v/>
      </c>
      <c r="DH398" s="141"/>
      <c r="DI398" s="141"/>
      <c r="DJ398" s="141"/>
      <c r="DK398" s="141"/>
      <c r="DL398" s="141"/>
      <c r="DM398" s="141"/>
      <c r="DN398" s="163" t="str">
        <f t="shared" si="37"/>
        <v/>
      </c>
      <c r="DO398" s="164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0" t="str">
        <f>IF(ISBLANK(スキャン結果!C397),"",スキャン結果!C397)</f>
        <v/>
      </c>
      <c r="D399" s="161" t="str">
        <f>IF(ISBLANK(スキャン結果!D397),"",スキャン結果!D397)</f>
        <v/>
      </c>
      <c r="E399" s="161" t="str">
        <f>IF(ISBLANK(スキャン結果!E397),"",スキャン結果!E397)</f>
        <v/>
      </c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1" t="str">
        <f t="shared" si="39"/>
        <v/>
      </c>
      <c r="DC399" s="161" t="str">
        <f t="shared" si="38"/>
        <v/>
      </c>
      <c r="DD399" s="161" t="str">
        <f t="shared" si="38"/>
        <v/>
      </c>
      <c r="DE399" s="161" t="str">
        <f t="shared" si="38"/>
        <v/>
      </c>
      <c r="DF399" s="161" t="str">
        <f t="shared" si="38"/>
        <v/>
      </c>
      <c r="DG399" s="161" t="str">
        <f t="shared" si="38"/>
        <v/>
      </c>
      <c r="DH399" s="141"/>
      <c r="DI399" s="141"/>
      <c r="DJ399" s="141"/>
      <c r="DK399" s="141"/>
      <c r="DL399" s="141"/>
      <c r="DM399" s="141"/>
      <c r="DN399" s="163" t="str">
        <f t="shared" ref="DN399:DN462" si="42">IF(A399="","",SUM(F399:DA399,DH399:DM399))</f>
        <v/>
      </c>
      <c r="DO399" s="164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0" t="str">
        <f>IF(ISBLANK(スキャン結果!C398),"",スキャン結果!C398)</f>
        <v/>
      </c>
      <c r="D400" s="161" t="str">
        <f>IF(ISBLANK(スキャン結果!D398),"",スキャン結果!D398)</f>
        <v/>
      </c>
      <c r="E400" s="161" t="str">
        <f>IF(ISBLANK(スキャン結果!E398),"",スキャン結果!E398)</f>
        <v/>
      </c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1" t="str">
        <f t="shared" si="39"/>
        <v/>
      </c>
      <c r="DC400" s="161" t="str">
        <f t="shared" si="38"/>
        <v/>
      </c>
      <c r="DD400" s="161" t="str">
        <f t="shared" si="38"/>
        <v/>
      </c>
      <c r="DE400" s="161" t="str">
        <f t="shared" si="38"/>
        <v/>
      </c>
      <c r="DF400" s="161" t="str">
        <f t="shared" si="38"/>
        <v/>
      </c>
      <c r="DG400" s="161" t="str">
        <f t="shared" si="38"/>
        <v/>
      </c>
      <c r="DH400" s="141"/>
      <c r="DI400" s="141"/>
      <c r="DJ400" s="141"/>
      <c r="DK400" s="141"/>
      <c r="DL400" s="141"/>
      <c r="DM400" s="141"/>
      <c r="DN400" s="163" t="str">
        <f t="shared" si="42"/>
        <v/>
      </c>
      <c r="DO400" s="164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0" t="str">
        <f>IF(ISBLANK(スキャン結果!C399),"",スキャン結果!C399)</f>
        <v/>
      </c>
      <c r="D401" s="161" t="str">
        <f>IF(ISBLANK(スキャン結果!D399),"",スキャン結果!D399)</f>
        <v/>
      </c>
      <c r="E401" s="161" t="str">
        <f>IF(ISBLANK(スキャン結果!E399),"",スキャン結果!E399)</f>
        <v/>
      </c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1" t="str">
        <f t="shared" si="39"/>
        <v/>
      </c>
      <c r="DC401" s="161" t="str">
        <f t="shared" si="38"/>
        <v/>
      </c>
      <c r="DD401" s="161" t="str">
        <f t="shared" si="38"/>
        <v/>
      </c>
      <c r="DE401" s="161" t="str">
        <f t="shared" si="38"/>
        <v/>
      </c>
      <c r="DF401" s="161" t="str">
        <f t="shared" si="38"/>
        <v/>
      </c>
      <c r="DG401" s="161" t="str">
        <f t="shared" si="38"/>
        <v/>
      </c>
      <c r="DH401" s="141"/>
      <c r="DI401" s="141"/>
      <c r="DJ401" s="141"/>
      <c r="DK401" s="141"/>
      <c r="DL401" s="141"/>
      <c r="DM401" s="141"/>
      <c r="DN401" s="163" t="str">
        <f t="shared" si="42"/>
        <v/>
      </c>
      <c r="DO401" s="164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0" t="str">
        <f>IF(ISBLANK(スキャン結果!C400),"",スキャン結果!C400)</f>
        <v/>
      </c>
      <c r="D402" s="161" t="str">
        <f>IF(ISBLANK(スキャン結果!D400),"",スキャン結果!D400)</f>
        <v/>
      </c>
      <c r="E402" s="161" t="str">
        <f>IF(ISBLANK(スキャン結果!E400),"",スキャン結果!E400)</f>
        <v/>
      </c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1" t="str">
        <f t="shared" si="39"/>
        <v/>
      </c>
      <c r="DC402" s="161" t="str">
        <f t="shared" si="38"/>
        <v/>
      </c>
      <c r="DD402" s="161" t="str">
        <f t="shared" si="38"/>
        <v/>
      </c>
      <c r="DE402" s="161" t="str">
        <f t="shared" si="38"/>
        <v/>
      </c>
      <c r="DF402" s="161" t="str">
        <f t="shared" si="38"/>
        <v/>
      </c>
      <c r="DG402" s="161" t="str">
        <f t="shared" si="38"/>
        <v/>
      </c>
      <c r="DH402" s="141"/>
      <c r="DI402" s="141"/>
      <c r="DJ402" s="141"/>
      <c r="DK402" s="141"/>
      <c r="DL402" s="141"/>
      <c r="DM402" s="141"/>
      <c r="DN402" s="163" t="str">
        <f t="shared" si="42"/>
        <v/>
      </c>
      <c r="DO402" s="164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0" t="str">
        <f>IF(ISBLANK(スキャン結果!C401),"",スキャン結果!C401)</f>
        <v/>
      </c>
      <c r="D403" s="161" t="str">
        <f>IF(ISBLANK(スキャン結果!D401),"",スキャン結果!D401)</f>
        <v/>
      </c>
      <c r="E403" s="161" t="str">
        <f>IF(ISBLANK(スキャン結果!E401),"",スキャン結果!E401)</f>
        <v/>
      </c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1" t="str">
        <f t="shared" si="39"/>
        <v/>
      </c>
      <c r="DC403" s="161" t="str">
        <f t="shared" si="38"/>
        <v/>
      </c>
      <c r="DD403" s="161" t="str">
        <f t="shared" si="38"/>
        <v/>
      </c>
      <c r="DE403" s="161" t="str">
        <f t="shared" si="38"/>
        <v/>
      </c>
      <c r="DF403" s="161" t="str">
        <f t="shared" si="38"/>
        <v/>
      </c>
      <c r="DG403" s="161" t="str">
        <f t="shared" si="38"/>
        <v/>
      </c>
      <c r="DH403" s="141"/>
      <c r="DI403" s="141"/>
      <c r="DJ403" s="141"/>
      <c r="DK403" s="141"/>
      <c r="DL403" s="141"/>
      <c r="DM403" s="141"/>
      <c r="DN403" s="163" t="str">
        <f t="shared" si="42"/>
        <v/>
      </c>
      <c r="DO403" s="164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0" t="str">
        <f>IF(ISBLANK(スキャン結果!C402),"",スキャン結果!C402)</f>
        <v/>
      </c>
      <c r="D404" s="161" t="str">
        <f>IF(ISBLANK(スキャン結果!D402),"",スキャン結果!D402)</f>
        <v/>
      </c>
      <c r="E404" s="161" t="str">
        <f>IF(ISBLANK(スキャン結果!E402),"",スキャン結果!E402)</f>
        <v/>
      </c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1" t="str">
        <f t="shared" si="39"/>
        <v/>
      </c>
      <c r="DC404" s="161" t="str">
        <f t="shared" si="38"/>
        <v/>
      </c>
      <c r="DD404" s="161" t="str">
        <f t="shared" si="38"/>
        <v/>
      </c>
      <c r="DE404" s="161" t="str">
        <f t="shared" si="38"/>
        <v/>
      </c>
      <c r="DF404" s="161" t="str">
        <f t="shared" si="38"/>
        <v/>
      </c>
      <c r="DG404" s="161" t="str">
        <f t="shared" si="38"/>
        <v/>
      </c>
      <c r="DH404" s="141"/>
      <c r="DI404" s="141"/>
      <c r="DJ404" s="141"/>
      <c r="DK404" s="141"/>
      <c r="DL404" s="141"/>
      <c r="DM404" s="141"/>
      <c r="DN404" s="163" t="str">
        <f t="shared" si="42"/>
        <v/>
      </c>
      <c r="DO404" s="164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0" t="str">
        <f>IF(ISBLANK(スキャン結果!C403),"",スキャン結果!C403)</f>
        <v/>
      </c>
      <c r="D405" s="161" t="str">
        <f>IF(ISBLANK(スキャン結果!D403),"",スキャン結果!D403)</f>
        <v/>
      </c>
      <c r="E405" s="161" t="str">
        <f>IF(ISBLANK(スキャン結果!E403),"",スキャン結果!E403)</f>
        <v/>
      </c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1" t="str">
        <f t="shared" si="39"/>
        <v/>
      </c>
      <c r="DC405" s="161" t="str">
        <f t="shared" si="38"/>
        <v/>
      </c>
      <c r="DD405" s="161" t="str">
        <f t="shared" si="38"/>
        <v/>
      </c>
      <c r="DE405" s="161" t="str">
        <f t="shared" si="38"/>
        <v/>
      </c>
      <c r="DF405" s="161" t="str">
        <f t="shared" si="38"/>
        <v/>
      </c>
      <c r="DG405" s="161" t="str">
        <f t="shared" si="38"/>
        <v/>
      </c>
      <c r="DH405" s="141"/>
      <c r="DI405" s="141"/>
      <c r="DJ405" s="141"/>
      <c r="DK405" s="141"/>
      <c r="DL405" s="141"/>
      <c r="DM405" s="141"/>
      <c r="DN405" s="163" t="str">
        <f t="shared" si="42"/>
        <v/>
      </c>
      <c r="DO405" s="164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0" t="str">
        <f>IF(ISBLANK(スキャン結果!C404),"",スキャン結果!C404)</f>
        <v/>
      </c>
      <c r="D406" s="161" t="str">
        <f>IF(ISBLANK(スキャン結果!D404),"",スキャン結果!D404)</f>
        <v/>
      </c>
      <c r="E406" s="161" t="str">
        <f>IF(ISBLANK(スキャン結果!E404),"",スキャン結果!E404)</f>
        <v/>
      </c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1" t="str">
        <f t="shared" si="39"/>
        <v/>
      </c>
      <c r="DC406" s="161" t="str">
        <f t="shared" si="38"/>
        <v/>
      </c>
      <c r="DD406" s="161" t="str">
        <f t="shared" si="38"/>
        <v/>
      </c>
      <c r="DE406" s="161" t="str">
        <f t="shared" si="38"/>
        <v/>
      </c>
      <c r="DF406" s="161" t="str">
        <f t="shared" si="38"/>
        <v/>
      </c>
      <c r="DG406" s="161" t="str">
        <f t="shared" si="38"/>
        <v/>
      </c>
      <c r="DH406" s="141"/>
      <c r="DI406" s="141"/>
      <c r="DJ406" s="141"/>
      <c r="DK406" s="141"/>
      <c r="DL406" s="141"/>
      <c r="DM406" s="141"/>
      <c r="DN406" s="163" t="str">
        <f t="shared" si="42"/>
        <v/>
      </c>
      <c r="DO406" s="164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0" t="str">
        <f>IF(ISBLANK(スキャン結果!C405),"",スキャン結果!C405)</f>
        <v/>
      </c>
      <c r="D407" s="161" t="str">
        <f>IF(ISBLANK(スキャン結果!D405),"",スキャン結果!D405)</f>
        <v/>
      </c>
      <c r="E407" s="161" t="str">
        <f>IF(ISBLANK(スキャン結果!E405),"",スキャン結果!E405)</f>
        <v/>
      </c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1" t="str">
        <f t="shared" si="39"/>
        <v/>
      </c>
      <c r="DC407" s="161" t="str">
        <f t="shared" si="38"/>
        <v/>
      </c>
      <c r="DD407" s="161" t="str">
        <f t="shared" si="38"/>
        <v/>
      </c>
      <c r="DE407" s="161" t="str">
        <f t="shared" si="38"/>
        <v/>
      </c>
      <c r="DF407" s="161" t="str">
        <f t="shared" si="38"/>
        <v/>
      </c>
      <c r="DG407" s="161" t="str">
        <f t="shared" si="38"/>
        <v/>
      </c>
      <c r="DH407" s="141"/>
      <c r="DI407" s="141"/>
      <c r="DJ407" s="141"/>
      <c r="DK407" s="141"/>
      <c r="DL407" s="141"/>
      <c r="DM407" s="141"/>
      <c r="DN407" s="163" t="str">
        <f t="shared" si="42"/>
        <v/>
      </c>
      <c r="DO407" s="164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0" t="str">
        <f>IF(ISBLANK(スキャン結果!C406),"",スキャン結果!C406)</f>
        <v/>
      </c>
      <c r="D408" s="161" t="str">
        <f>IF(ISBLANK(スキャン結果!D406),"",スキャン結果!D406)</f>
        <v/>
      </c>
      <c r="E408" s="161" t="str">
        <f>IF(ISBLANK(スキャン結果!E406),"",スキャン結果!E406)</f>
        <v/>
      </c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1" t="str">
        <f t="shared" si="39"/>
        <v/>
      </c>
      <c r="DC408" s="161" t="str">
        <f t="shared" si="38"/>
        <v/>
      </c>
      <c r="DD408" s="161" t="str">
        <f t="shared" si="38"/>
        <v/>
      </c>
      <c r="DE408" s="161" t="str">
        <f t="shared" si="38"/>
        <v/>
      </c>
      <c r="DF408" s="161" t="str">
        <f t="shared" si="38"/>
        <v/>
      </c>
      <c r="DG408" s="161" t="str">
        <f t="shared" si="38"/>
        <v/>
      </c>
      <c r="DH408" s="141"/>
      <c r="DI408" s="141"/>
      <c r="DJ408" s="141"/>
      <c r="DK408" s="141"/>
      <c r="DL408" s="141"/>
      <c r="DM408" s="141"/>
      <c r="DN408" s="163" t="str">
        <f t="shared" si="42"/>
        <v/>
      </c>
      <c r="DO408" s="164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0" t="str">
        <f>IF(ISBLANK(スキャン結果!C407),"",スキャン結果!C407)</f>
        <v/>
      </c>
      <c r="D409" s="161" t="str">
        <f>IF(ISBLANK(スキャン結果!D407),"",スキャン結果!D407)</f>
        <v/>
      </c>
      <c r="E409" s="161" t="str">
        <f>IF(ISBLANK(スキャン結果!E407),"",スキャン結果!E407)</f>
        <v/>
      </c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1" t="str">
        <f t="shared" si="39"/>
        <v/>
      </c>
      <c r="DC409" s="161" t="str">
        <f t="shared" si="38"/>
        <v/>
      </c>
      <c r="DD409" s="161" t="str">
        <f t="shared" si="38"/>
        <v/>
      </c>
      <c r="DE409" s="161" t="str">
        <f t="shared" si="38"/>
        <v/>
      </c>
      <c r="DF409" s="161" t="str">
        <f t="shared" si="38"/>
        <v/>
      </c>
      <c r="DG409" s="161" t="str">
        <f t="shared" si="38"/>
        <v/>
      </c>
      <c r="DH409" s="141"/>
      <c r="DI409" s="141"/>
      <c r="DJ409" s="141"/>
      <c r="DK409" s="141"/>
      <c r="DL409" s="141"/>
      <c r="DM409" s="141"/>
      <c r="DN409" s="163" t="str">
        <f t="shared" si="42"/>
        <v/>
      </c>
      <c r="DO409" s="164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0" t="str">
        <f>IF(ISBLANK(スキャン結果!C408),"",スキャン結果!C408)</f>
        <v/>
      </c>
      <c r="D410" s="161" t="str">
        <f>IF(ISBLANK(スキャン結果!D408),"",スキャン結果!D408)</f>
        <v/>
      </c>
      <c r="E410" s="161" t="str">
        <f>IF(ISBLANK(スキャン結果!E408),"",スキャン結果!E408)</f>
        <v/>
      </c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1" t="str">
        <f t="shared" si="39"/>
        <v/>
      </c>
      <c r="DC410" s="161" t="str">
        <f t="shared" si="38"/>
        <v/>
      </c>
      <c r="DD410" s="161" t="str">
        <f t="shared" si="38"/>
        <v/>
      </c>
      <c r="DE410" s="161" t="str">
        <f t="shared" si="38"/>
        <v/>
      </c>
      <c r="DF410" s="161" t="str">
        <f t="shared" si="38"/>
        <v/>
      </c>
      <c r="DG410" s="161" t="str">
        <f t="shared" si="38"/>
        <v/>
      </c>
      <c r="DH410" s="141"/>
      <c r="DI410" s="141"/>
      <c r="DJ410" s="141"/>
      <c r="DK410" s="141"/>
      <c r="DL410" s="141"/>
      <c r="DM410" s="141"/>
      <c r="DN410" s="163" t="str">
        <f t="shared" si="42"/>
        <v/>
      </c>
      <c r="DO410" s="164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0" t="str">
        <f>IF(ISBLANK(スキャン結果!C409),"",スキャン結果!C409)</f>
        <v/>
      </c>
      <c r="D411" s="161" t="str">
        <f>IF(ISBLANK(スキャン結果!D409),"",スキャン結果!D409)</f>
        <v/>
      </c>
      <c r="E411" s="161" t="str">
        <f>IF(ISBLANK(スキャン結果!E409),"",スキャン結果!E409)</f>
        <v/>
      </c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1" t="str">
        <f t="shared" si="39"/>
        <v/>
      </c>
      <c r="DC411" s="161" t="str">
        <f t="shared" si="38"/>
        <v/>
      </c>
      <c r="DD411" s="161" t="str">
        <f t="shared" si="38"/>
        <v/>
      </c>
      <c r="DE411" s="161" t="str">
        <f t="shared" si="38"/>
        <v/>
      </c>
      <c r="DF411" s="161" t="str">
        <f t="shared" si="38"/>
        <v/>
      </c>
      <c r="DG411" s="161" t="str">
        <f t="shared" si="38"/>
        <v/>
      </c>
      <c r="DH411" s="141"/>
      <c r="DI411" s="141"/>
      <c r="DJ411" s="141"/>
      <c r="DK411" s="141"/>
      <c r="DL411" s="141"/>
      <c r="DM411" s="141"/>
      <c r="DN411" s="163" t="str">
        <f t="shared" si="42"/>
        <v/>
      </c>
      <c r="DO411" s="164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0" t="str">
        <f>IF(ISBLANK(スキャン結果!C410),"",スキャン結果!C410)</f>
        <v/>
      </c>
      <c r="D412" s="161" t="str">
        <f>IF(ISBLANK(スキャン結果!D410),"",スキャン結果!D410)</f>
        <v/>
      </c>
      <c r="E412" s="161" t="str">
        <f>IF(ISBLANK(スキャン結果!E410),"",スキャン結果!E410)</f>
        <v/>
      </c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1" t="str">
        <f t="shared" si="39"/>
        <v/>
      </c>
      <c r="DC412" s="161" t="str">
        <f t="shared" si="38"/>
        <v/>
      </c>
      <c r="DD412" s="161" t="str">
        <f t="shared" si="38"/>
        <v/>
      </c>
      <c r="DE412" s="161" t="str">
        <f t="shared" si="38"/>
        <v/>
      </c>
      <c r="DF412" s="161" t="str">
        <f t="shared" si="38"/>
        <v/>
      </c>
      <c r="DG412" s="161" t="str">
        <f t="shared" si="38"/>
        <v/>
      </c>
      <c r="DH412" s="141"/>
      <c r="DI412" s="141"/>
      <c r="DJ412" s="141"/>
      <c r="DK412" s="141"/>
      <c r="DL412" s="141"/>
      <c r="DM412" s="141"/>
      <c r="DN412" s="163" t="str">
        <f t="shared" si="42"/>
        <v/>
      </c>
      <c r="DO412" s="164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0" t="str">
        <f>IF(ISBLANK(スキャン結果!C411),"",スキャン結果!C411)</f>
        <v/>
      </c>
      <c r="D413" s="161" t="str">
        <f>IF(ISBLANK(スキャン結果!D411),"",スキャン結果!D411)</f>
        <v/>
      </c>
      <c r="E413" s="161" t="str">
        <f>IF(ISBLANK(スキャン結果!E411),"",スキャン結果!E411)</f>
        <v/>
      </c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1" t="str">
        <f t="shared" si="39"/>
        <v/>
      </c>
      <c r="DC413" s="161" t="str">
        <f t="shared" si="38"/>
        <v/>
      </c>
      <c r="DD413" s="161" t="str">
        <f t="shared" si="38"/>
        <v/>
      </c>
      <c r="DE413" s="161" t="str">
        <f t="shared" si="38"/>
        <v/>
      </c>
      <c r="DF413" s="161" t="str">
        <f t="shared" si="38"/>
        <v/>
      </c>
      <c r="DG413" s="161" t="str">
        <f t="shared" si="38"/>
        <v/>
      </c>
      <c r="DH413" s="141"/>
      <c r="DI413" s="141"/>
      <c r="DJ413" s="141"/>
      <c r="DK413" s="141"/>
      <c r="DL413" s="141"/>
      <c r="DM413" s="141"/>
      <c r="DN413" s="163" t="str">
        <f t="shared" si="42"/>
        <v/>
      </c>
      <c r="DO413" s="164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0" t="str">
        <f>IF(ISBLANK(スキャン結果!C412),"",スキャン結果!C412)</f>
        <v/>
      </c>
      <c r="D414" s="161" t="str">
        <f>IF(ISBLANK(スキャン結果!D412),"",スキャン結果!D412)</f>
        <v/>
      </c>
      <c r="E414" s="161" t="str">
        <f>IF(ISBLANK(スキャン結果!E412),"",スキャン結果!E412)</f>
        <v/>
      </c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1" t="str">
        <f t="shared" si="39"/>
        <v/>
      </c>
      <c r="DC414" s="161" t="str">
        <f t="shared" si="38"/>
        <v/>
      </c>
      <c r="DD414" s="161" t="str">
        <f t="shared" si="38"/>
        <v/>
      </c>
      <c r="DE414" s="161" t="str">
        <f t="shared" si="38"/>
        <v/>
      </c>
      <c r="DF414" s="161" t="str">
        <f t="shared" si="38"/>
        <v/>
      </c>
      <c r="DG414" s="161" t="str">
        <f t="shared" si="38"/>
        <v/>
      </c>
      <c r="DH414" s="141"/>
      <c r="DI414" s="141"/>
      <c r="DJ414" s="141"/>
      <c r="DK414" s="141"/>
      <c r="DL414" s="141"/>
      <c r="DM414" s="141"/>
      <c r="DN414" s="163" t="str">
        <f t="shared" si="42"/>
        <v/>
      </c>
      <c r="DO414" s="164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0" t="str">
        <f>IF(ISBLANK(スキャン結果!C413),"",スキャン結果!C413)</f>
        <v/>
      </c>
      <c r="D415" s="161" t="str">
        <f>IF(ISBLANK(スキャン結果!D413),"",スキャン結果!D413)</f>
        <v/>
      </c>
      <c r="E415" s="161" t="str">
        <f>IF(ISBLANK(スキャン結果!E413),"",スキャン結果!E413)</f>
        <v/>
      </c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1" t="str">
        <f t="shared" si="39"/>
        <v/>
      </c>
      <c r="DC415" s="161" t="str">
        <f t="shared" si="38"/>
        <v/>
      </c>
      <c r="DD415" s="161" t="str">
        <f t="shared" si="38"/>
        <v/>
      </c>
      <c r="DE415" s="161" t="str">
        <f t="shared" si="38"/>
        <v/>
      </c>
      <c r="DF415" s="161" t="str">
        <f t="shared" si="38"/>
        <v/>
      </c>
      <c r="DG415" s="161" t="str">
        <f t="shared" si="38"/>
        <v/>
      </c>
      <c r="DH415" s="141"/>
      <c r="DI415" s="141"/>
      <c r="DJ415" s="141"/>
      <c r="DK415" s="141"/>
      <c r="DL415" s="141"/>
      <c r="DM415" s="141"/>
      <c r="DN415" s="163" t="str">
        <f t="shared" si="42"/>
        <v/>
      </c>
      <c r="DO415" s="164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0" t="str">
        <f>IF(ISBLANK(スキャン結果!C414),"",スキャン結果!C414)</f>
        <v/>
      </c>
      <c r="D416" s="161" t="str">
        <f>IF(ISBLANK(スキャン結果!D414),"",スキャン結果!D414)</f>
        <v/>
      </c>
      <c r="E416" s="161" t="str">
        <f>IF(ISBLANK(スキャン結果!E414),"",スキャン結果!E414)</f>
        <v/>
      </c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1" t="str">
        <f t="shared" si="39"/>
        <v/>
      </c>
      <c r="DC416" s="161" t="str">
        <f t="shared" si="38"/>
        <v/>
      </c>
      <c r="DD416" s="161" t="str">
        <f t="shared" si="38"/>
        <v/>
      </c>
      <c r="DE416" s="161" t="str">
        <f t="shared" si="38"/>
        <v/>
      </c>
      <c r="DF416" s="161" t="str">
        <f t="shared" si="38"/>
        <v/>
      </c>
      <c r="DG416" s="161" t="str">
        <f t="shared" si="38"/>
        <v/>
      </c>
      <c r="DH416" s="141"/>
      <c r="DI416" s="141"/>
      <c r="DJ416" s="141"/>
      <c r="DK416" s="141"/>
      <c r="DL416" s="141"/>
      <c r="DM416" s="141"/>
      <c r="DN416" s="163" t="str">
        <f t="shared" si="42"/>
        <v/>
      </c>
      <c r="DO416" s="164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0" t="str">
        <f>IF(ISBLANK(スキャン結果!C415),"",スキャン結果!C415)</f>
        <v/>
      </c>
      <c r="D417" s="161" t="str">
        <f>IF(ISBLANK(スキャン結果!D415),"",スキャン結果!D415)</f>
        <v/>
      </c>
      <c r="E417" s="161" t="str">
        <f>IF(ISBLANK(スキャン結果!E415),"",スキャン結果!E415)</f>
        <v/>
      </c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1" t="str">
        <f t="shared" si="39"/>
        <v/>
      </c>
      <c r="DC417" s="161" t="str">
        <f t="shared" si="38"/>
        <v/>
      </c>
      <c r="DD417" s="161" t="str">
        <f t="shared" si="38"/>
        <v/>
      </c>
      <c r="DE417" s="161" t="str">
        <f t="shared" si="38"/>
        <v/>
      </c>
      <c r="DF417" s="161" t="str">
        <f t="shared" si="38"/>
        <v/>
      </c>
      <c r="DG417" s="161" t="str">
        <f t="shared" si="38"/>
        <v/>
      </c>
      <c r="DH417" s="141"/>
      <c r="DI417" s="141"/>
      <c r="DJ417" s="141"/>
      <c r="DK417" s="141"/>
      <c r="DL417" s="141"/>
      <c r="DM417" s="141"/>
      <c r="DN417" s="163" t="str">
        <f t="shared" si="42"/>
        <v/>
      </c>
      <c r="DO417" s="164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0" t="str">
        <f>IF(ISBLANK(スキャン結果!C416),"",スキャン結果!C416)</f>
        <v/>
      </c>
      <c r="D418" s="161" t="str">
        <f>IF(ISBLANK(スキャン結果!D416),"",スキャン結果!D416)</f>
        <v/>
      </c>
      <c r="E418" s="161" t="str">
        <f>IF(ISBLANK(スキャン結果!E416),"",スキャン結果!E416)</f>
        <v/>
      </c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1" t="str">
        <f t="shared" si="39"/>
        <v/>
      </c>
      <c r="DC418" s="161" t="str">
        <f t="shared" si="38"/>
        <v/>
      </c>
      <c r="DD418" s="161" t="str">
        <f t="shared" si="38"/>
        <v/>
      </c>
      <c r="DE418" s="161" t="str">
        <f t="shared" ref="DC418:DG469" si="43">IF(OR($B418="",DE$4=""),"",SUMIF($F$3:$DA$4,DE$4,$F418:$DA418))</f>
        <v/>
      </c>
      <c r="DF418" s="161" t="str">
        <f t="shared" si="43"/>
        <v/>
      </c>
      <c r="DG418" s="161" t="str">
        <f t="shared" si="43"/>
        <v/>
      </c>
      <c r="DH418" s="141"/>
      <c r="DI418" s="141"/>
      <c r="DJ418" s="141"/>
      <c r="DK418" s="141"/>
      <c r="DL418" s="141"/>
      <c r="DM418" s="141"/>
      <c r="DN418" s="163" t="str">
        <f t="shared" si="42"/>
        <v/>
      </c>
      <c r="DO418" s="164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0" t="str">
        <f>IF(ISBLANK(スキャン結果!C417),"",スキャン結果!C417)</f>
        <v/>
      </c>
      <c r="D419" s="161" t="str">
        <f>IF(ISBLANK(スキャン結果!D417),"",スキャン結果!D417)</f>
        <v/>
      </c>
      <c r="E419" s="161" t="str">
        <f>IF(ISBLANK(スキャン結果!E417),"",スキャン結果!E417)</f>
        <v/>
      </c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1" t="str">
        <f t="shared" si="39"/>
        <v/>
      </c>
      <c r="DC419" s="161" t="str">
        <f t="shared" si="43"/>
        <v/>
      </c>
      <c r="DD419" s="161" t="str">
        <f t="shared" si="43"/>
        <v/>
      </c>
      <c r="DE419" s="161" t="str">
        <f t="shared" si="43"/>
        <v/>
      </c>
      <c r="DF419" s="161" t="str">
        <f t="shared" si="43"/>
        <v/>
      </c>
      <c r="DG419" s="161" t="str">
        <f t="shared" si="43"/>
        <v/>
      </c>
      <c r="DH419" s="141"/>
      <c r="DI419" s="141"/>
      <c r="DJ419" s="141"/>
      <c r="DK419" s="141"/>
      <c r="DL419" s="141"/>
      <c r="DM419" s="141"/>
      <c r="DN419" s="163" t="str">
        <f t="shared" si="42"/>
        <v/>
      </c>
      <c r="DO419" s="164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0" t="str">
        <f>IF(ISBLANK(スキャン結果!C418),"",スキャン結果!C418)</f>
        <v/>
      </c>
      <c r="D420" s="161" t="str">
        <f>IF(ISBLANK(スキャン結果!D418),"",スキャン結果!D418)</f>
        <v/>
      </c>
      <c r="E420" s="161" t="str">
        <f>IF(ISBLANK(スキャン結果!E418),"",スキャン結果!E418)</f>
        <v/>
      </c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1" t="str">
        <f t="shared" si="39"/>
        <v/>
      </c>
      <c r="DC420" s="161" t="str">
        <f t="shared" si="43"/>
        <v/>
      </c>
      <c r="DD420" s="161" t="str">
        <f t="shared" si="43"/>
        <v/>
      </c>
      <c r="DE420" s="161" t="str">
        <f t="shared" si="43"/>
        <v/>
      </c>
      <c r="DF420" s="161" t="str">
        <f t="shared" si="43"/>
        <v/>
      </c>
      <c r="DG420" s="161" t="str">
        <f t="shared" si="43"/>
        <v/>
      </c>
      <c r="DH420" s="141"/>
      <c r="DI420" s="141"/>
      <c r="DJ420" s="141"/>
      <c r="DK420" s="141"/>
      <c r="DL420" s="141"/>
      <c r="DM420" s="141"/>
      <c r="DN420" s="163" t="str">
        <f t="shared" si="42"/>
        <v/>
      </c>
      <c r="DO420" s="164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0" t="str">
        <f>IF(ISBLANK(スキャン結果!C419),"",スキャン結果!C419)</f>
        <v/>
      </c>
      <c r="D421" s="161" t="str">
        <f>IF(ISBLANK(スキャン結果!D419),"",スキャン結果!D419)</f>
        <v/>
      </c>
      <c r="E421" s="161" t="str">
        <f>IF(ISBLANK(スキャン結果!E419),"",スキャン結果!E419)</f>
        <v/>
      </c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1" t="str">
        <f t="shared" si="39"/>
        <v/>
      </c>
      <c r="DC421" s="161" t="str">
        <f t="shared" si="43"/>
        <v/>
      </c>
      <c r="DD421" s="161" t="str">
        <f t="shared" si="43"/>
        <v/>
      </c>
      <c r="DE421" s="161" t="str">
        <f t="shared" si="43"/>
        <v/>
      </c>
      <c r="DF421" s="161" t="str">
        <f t="shared" si="43"/>
        <v/>
      </c>
      <c r="DG421" s="161" t="str">
        <f t="shared" si="43"/>
        <v/>
      </c>
      <c r="DH421" s="141"/>
      <c r="DI421" s="141"/>
      <c r="DJ421" s="141"/>
      <c r="DK421" s="141"/>
      <c r="DL421" s="141"/>
      <c r="DM421" s="141"/>
      <c r="DN421" s="163" t="str">
        <f t="shared" si="42"/>
        <v/>
      </c>
      <c r="DO421" s="164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0" t="str">
        <f>IF(ISBLANK(スキャン結果!C420),"",スキャン結果!C420)</f>
        <v/>
      </c>
      <c r="D422" s="161" t="str">
        <f>IF(ISBLANK(スキャン結果!D420),"",スキャン結果!D420)</f>
        <v/>
      </c>
      <c r="E422" s="161" t="str">
        <f>IF(ISBLANK(スキャン結果!E420),"",スキャン結果!E420)</f>
        <v/>
      </c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1" t="str">
        <f t="shared" si="39"/>
        <v/>
      </c>
      <c r="DC422" s="161" t="str">
        <f t="shared" si="43"/>
        <v/>
      </c>
      <c r="DD422" s="161" t="str">
        <f t="shared" si="43"/>
        <v/>
      </c>
      <c r="DE422" s="161" t="str">
        <f t="shared" si="43"/>
        <v/>
      </c>
      <c r="DF422" s="161" t="str">
        <f t="shared" si="43"/>
        <v/>
      </c>
      <c r="DG422" s="161" t="str">
        <f t="shared" si="43"/>
        <v/>
      </c>
      <c r="DH422" s="141"/>
      <c r="DI422" s="141"/>
      <c r="DJ422" s="141"/>
      <c r="DK422" s="141"/>
      <c r="DL422" s="141"/>
      <c r="DM422" s="141"/>
      <c r="DN422" s="163" t="str">
        <f t="shared" si="42"/>
        <v/>
      </c>
      <c r="DO422" s="164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0" t="str">
        <f>IF(ISBLANK(スキャン結果!C421),"",スキャン結果!C421)</f>
        <v/>
      </c>
      <c r="D423" s="161" t="str">
        <f>IF(ISBLANK(スキャン結果!D421),"",スキャン結果!D421)</f>
        <v/>
      </c>
      <c r="E423" s="161" t="str">
        <f>IF(ISBLANK(スキャン結果!E421),"",スキャン結果!E421)</f>
        <v/>
      </c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1" t="str">
        <f t="shared" si="39"/>
        <v/>
      </c>
      <c r="DC423" s="161" t="str">
        <f t="shared" si="43"/>
        <v/>
      </c>
      <c r="DD423" s="161" t="str">
        <f t="shared" si="43"/>
        <v/>
      </c>
      <c r="DE423" s="161" t="str">
        <f t="shared" si="43"/>
        <v/>
      </c>
      <c r="DF423" s="161" t="str">
        <f t="shared" si="43"/>
        <v/>
      </c>
      <c r="DG423" s="161" t="str">
        <f t="shared" si="43"/>
        <v/>
      </c>
      <c r="DH423" s="141"/>
      <c r="DI423" s="141"/>
      <c r="DJ423" s="141"/>
      <c r="DK423" s="141"/>
      <c r="DL423" s="141"/>
      <c r="DM423" s="141"/>
      <c r="DN423" s="163" t="str">
        <f t="shared" si="42"/>
        <v/>
      </c>
      <c r="DO423" s="164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0" t="str">
        <f>IF(ISBLANK(スキャン結果!C422),"",スキャン結果!C422)</f>
        <v/>
      </c>
      <c r="D424" s="161" t="str">
        <f>IF(ISBLANK(スキャン結果!D422),"",スキャン結果!D422)</f>
        <v/>
      </c>
      <c r="E424" s="161" t="str">
        <f>IF(ISBLANK(スキャン結果!E422),"",スキャン結果!E422)</f>
        <v/>
      </c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1" t="str">
        <f t="shared" si="39"/>
        <v/>
      </c>
      <c r="DC424" s="161" t="str">
        <f t="shared" si="43"/>
        <v/>
      </c>
      <c r="DD424" s="161" t="str">
        <f t="shared" si="43"/>
        <v/>
      </c>
      <c r="DE424" s="161" t="str">
        <f t="shared" si="43"/>
        <v/>
      </c>
      <c r="DF424" s="161" t="str">
        <f t="shared" si="43"/>
        <v/>
      </c>
      <c r="DG424" s="161" t="str">
        <f t="shared" si="43"/>
        <v/>
      </c>
      <c r="DH424" s="141"/>
      <c r="DI424" s="141"/>
      <c r="DJ424" s="141"/>
      <c r="DK424" s="141"/>
      <c r="DL424" s="141"/>
      <c r="DM424" s="141"/>
      <c r="DN424" s="163" t="str">
        <f t="shared" si="42"/>
        <v/>
      </c>
      <c r="DO424" s="164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0" t="str">
        <f>IF(ISBLANK(スキャン結果!C423),"",スキャン結果!C423)</f>
        <v/>
      </c>
      <c r="D425" s="161" t="str">
        <f>IF(ISBLANK(スキャン結果!D423),"",スキャン結果!D423)</f>
        <v/>
      </c>
      <c r="E425" s="161" t="str">
        <f>IF(ISBLANK(スキャン結果!E423),"",スキャン結果!E423)</f>
        <v/>
      </c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1" t="str">
        <f t="shared" si="39"/>
        <v/>
      </c>
      <c r="DC425" s="161" t="str">
        <f t="shared" si="43"/>
        <v/>
      </c>
      <c r="DD425" s="161" t="str">
        <f t="shared" si="43"/>
        <v/>
      </c>
      <c r="DE425" s="161" t="str">
        <f t="shared" si="43"/>
        <v/>
      </c>
      <c r="DF425" s="161" t="str">
        <f t="shared" si="43"/>
        <v/>
      </c>
      <c r="DG425" s="161" t="str">
        <f t="shared" si="43"/>
        <v/>
      </c>
      <c r="DH425" s="141"/>
      <c r="DI425" s="141"/>
      <c r="DJ425" s="141"/>
      <c r="DK425" s="141"/>
      <c r="DL425" s="141"/>
      <c r="DM425" s="141"/>
      <c r="DN425" s="163" t="str">
        <f t="shared" si="42"/>
        <v/>
      </c>
      <c r="DO425" s="164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0" t="str">
        <f>IF(ISBLANK(スキャン結果!C424),"",スキャン結果!C424)</f>
        <v/>
      </c>
      <c r="D426" s="161" t="str">
        <f>IF(ISBLANK(スキャン結果!D424),"",スキャン結果!D424)</f>
        <v/>
      </c>
      <c r="E426" s="161" t="str">
        <f>IF(ISBLANK(スキャン結果!E424),"",スキャン結果!E424)</f>
        <v/>
      </c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1" t="str">
        <f t="shared" si="39"/>
        <v/>
      </c>
      <c r="DC426" s="161" t="str">
        <f t="shared" si="43"/>
        <v/>
      </c>
      <c r="DD426" s="161" t="str">
        <f t="shared" si="43"/>
        <v/>
      </c>
      <c r="DE426" s="161" t="str">
        <f t="shared" si="43"/>
        <v/>
      </c>
      <c r="DF426" s="161" t="str">
        <f t="shared" si="43"/>
        <v/>
      </c>
      <c r="DG426" s="161" t="str">
        <f t="shared" si="43"/>
        <v/>
      </c>
      <c r="DH426" s="141"/>
      <c r="DI426" s="141"/>
      <c r="DJ426" s="141"/>
      <c r="DK426" s="141"/>
      <c r="DL426" s="141"/>
      <c r="DM426" s="141"/>
      <c r="DN426" s="163" t="str">
        <f t="shared" si="42"/>
        <v/>
      </c>
      <c r="DO426" s="164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0" t="str">
        <f>IF(ISBLANK(スキャン結果!C425),"",スキャン結果!C425)</f>
        <v/>
      </c>
      <c r="D427" s="161" t="str">
        <f>IF(ISBLANK(スキャン結果!D425),"",スキャン結果!D425)</f>
        <v/>
      </c>
      <c r="E427" s="161" t="str">
        <f>IF(ISBLANK(スキャン結果!E425),"",スキャン結果!E425)</f>
        <v/>
      </c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1" t="str">
        <f t="shared" si="39"/>
        <v/>
      </c>
      <c r="DC427" s="161" t="str">
        <f t="shared" si="43"/>
        <v/>
      </c>
      <c r="DD427" s="161" t="str">
        <f t="shared" si="43"/>
        <v/>
      </c>
      <c r="DE427" s="161" t="str">
        <f t="shared" si="43"/>
        <v/>
      </c>
      <c r="DF427" s="161" t="str">
        <f t="shared" si="43"/>
        <v/>
      </c>
      <c r="DG427" s="161" t="str">
        <f t="shared" si="43"/>
        <v/>
      </c>
      <c r="DH427" s="141"/>
      <c r="DI427" s="141"/>
      <c r="DJ427" s="141"/>
      <c r="DK427" s="141"/>
      <c r="DL427" s="141"/>
      <c r="DM427" s="141"/>
      <c r="DN427" s="163" t="str">
        <f t="shared" si="42"/>
        <v/>
      </c>
      <c r="DO427" s="164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0" t="str">
        <f>IF(ISBLANK(スキャン結果!C426),"",スキャン結果!C426)</f>
        <v/>
      </c>
      <c r="D428" s="161" t="str">
        <f>IF(ISBLANK(スキャン結果!D426),"",スキャン結果!D426)</f>
        <v/>
      </c>
      <c r="E428" s="161" t="str">
        <f>IF(ISBLANK(スキャン結果!E426),"",スキャン結果!E426)</f>
        <v/>
      </c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1" t="str">
        <f t="shared" si="39"/>
        <v/>
      </c>
      <c r="DC428" s="161" t="str">
        <f t="shared" si="43"/>
        <v/>
      </c>
      <c r="DD428" s="161" t="str">
        <f t="shared" si="43"/>
        <v/>
      </c>
      <c r="DE428" s="161" t="str">
        <f t="shared" si="43"/>
        <v/>
      </c>
      <c r="DF428" s="161" t="str">
        <f t="shared" si="43"/>
        <v/>
      </c>
      <c r="DG428" s="161" t="str">
        <f t="shared" si="43"/>
        <v/>
      </c>
      <c r="DH428" s="141"/>
      <c r="DI428" s="141"/>
      <c r="DJ428" s="141"/>
      <c r="DK428" s="141"/>
      <c r="DL428" s="141"/>
      <c r="DM428" s="141"/>
      <c r="DN428" s="163" t="str">
        <f t="shared" si="42"/>
        <v/>
      </c>
      <c r="DO428" s="164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0" t="str">
        <f>IF(ISBLANK(スキャン結果!C427),"",スキャン結果!C427)</f>
        <v/>
      </c>
      <c r="D429" s="161" t="str">
        <f>IF(ISBLANK(スキャン結果!D427),"",スキャン結果!D427)</f>
        <v/>
      </c>
      <c r="E429" s="161" t="str">
        <f>IF(ISBLANK(スキャン結果!E427),"",スキャン結果!E427)</f>
        <v/>
      </c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1" t="str">
        <f t="shared" si="39"/>
        <v/>
      </c>
      <c r="DC429" s="161" t="str">
        <f t="shared" si="43"/>
        <v/>
      </c>
      <c r="DD429" s="161" t="str">
        <f t="shared" si="43"/>
        <v/>
      </c>
      <c r="DE429" s="161" t="str">
        <f t="shared" si="43"/>
        <v/>
      </c>
      <c r="DF429" s="161" t="str">
        <f t="shared" si="43"/>
        <v/>
      </c>
      <c r="DG429" s="161" t="str">
        <f t="shared" si="43"/>
        <v/>
      </c>
      <c r="DH429" s="141"/>
      <c r="DI429" s="141"/>
      <c r="DJ429" s="141"/>
      <c r="DK429" s="141"/>
      <c r="DL429" s="141"/>
      <c r="DM429" s="141"/>
      <c r="DN429" s="163" t="str">
        <f t="shared" si="42"/>
        <v/>
      </c>
      <c r="DO429" s="164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0" t="str">
        <f>IF(ISBLANK(スキャン結果!C428),"",スキャン結果!C428)</f>
        <v/>
      </c>
      <c r="D430" s="161" t="str">
        <f>IF(ISBLANK(スキャン結果!D428),"",スキャン結果!D428)</f>
        <v/>
      </c>
      <c r="E430" s="161" t="str">
        <f>IF(ISBLANK(スキャン結果!E428),"",スキャン結果!E428)</f>
        <v/>
      </c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1" t="str">
        <f t="shared" si="39"/>
        <v/>
      </c>
      <c r="DC430" s="161" t="str">
        <f t="shared" si="43"/>
        <v/>
      </c>
      <c r="DD430" s="161" t="str">
        <f t="shared" si="43"/>
        <v/>
      </c>
      <c r="DE430" s="161" t="str">
        <f t="shared" si="43"/>
        <v/>
      </c>
      <c r="DF430" s="161" t="str">
        <f t="shared" si="43"/>
        <v/>
      </c>
      <c r="DG430" s="161" t="str">
        <f t="shared" si="43"/>
        <v/>
      </c>
      <c r="DH430" s="141"/>
      <c r="DI430" s="141"/>
      <c r="DJ430" s="141"/>
      <c r="DK430" s="141"/>
      <c r="DL430" s="141"/>
      <c r="DM430" s="141"/>
      <c r="DN430" s="163" t="str">
        <f t="shared" si="42"/>
        <v/>
      </c>
      <c r="DO430" s="164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0" t="str">
        <f>IF(ISBLANK(スキャン結果!C429),"",スキャン結果!C429)</f>
        <v/>
      </c>
      <c r="D431" s="161" t="str">
        <f>IF(ISBLANK(スキャン結果!D429),"",スキャン結果!D429)</f>
        <v/>
      </c>
      <c r="E431" s="161" t="str">
        <f>IF(ISBLANK(スキャン結果!E429),"",スキャン結果!E429)</f>
        <v/>
      </c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1" t="str">
        <f t="shared" si="39"/>
        <v/>
      </c>
      <c r="DC431" s="161" t="str">
        <f t="shared" si="43"/>
        <v/>
      </c>
      <c r="DD431" s="161" t="str">
        <f t="shared" si="43"/>
        <v/>
      </c>
      <c r="DE431" s="161" t="str">
        <f t="shared" si="43"/>
        <v/>
      </c>
      <c r="DF431" s="161" t="str">
        <f t="shared" si="43"/>
        <v/>
      </c>
      <c r="DG431" s="161" t="str">
        <f t="shared" si="43"/>
        <v/>
      </c>
      <c r="DH431" s="141"/>
      <c r="DI431" s="141"/>
      <c r="DJ431" s="141"/>
      <c r="DK431" s="141"/>
      <c r="DL431" s="141"/>
      <c r="DM431" s="141"/>
      <c r="DN431" s="163" t="str">
        <f t="shared" si="42"/>
        <v/>
      </c>
      <c r="DO431" s="164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0" t="str">
        <f>IF(ISBLANK(スキャン結果!C430),"",スキャン結果!C430)</f>
        <v/>
      </c>
      <c r="D432" s="161" t="str">
        <f>IF(ISBLANK(スキャン結果!D430),"",スキャン結果!D430)</f>
        <v/>
      </c>
      <c r="E432" s="161" t="str">
        <f>IF(ISBLANK(スキャン結果!E430),"",スキャン結果!E430)</f>
        <v/>
      </c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1" t="str">
        <f t="shared" si="39"/>
        <v/>
      </c>
      <c r="DC432" s="161" t="str">
        <f t="shared" si="43"/>
        <v/>
      </c>
      <c r="DD432" s="161" t="str">
        <f t="shared" si="43"/>
        <v/>
      </c>
      <c r="DE432" s="161" t="str">
        <f t="shared" si="43"/>
        <v/>
      </c>
      <c r="DF432" s="161" t="str">
        <f t="shared" si="43"/>
        <v/>
      </c>
      <c r="DG432" s="161" t="str">
        <f t="shared" si="43"/>
        <v/>
      </c>
      <c r="DH432" s="141"/>
      <c r="DI432" s="141"/>
      <c r="DJ432" s="141"/>
      <c r="DK432" s="141"/>
      <c r="DL432" s="141"/>
      <c r="DM432" s="141"/>
      <c r="DN432" s="163" t="str">
        <f t="shared" si="42"/>
        <v/>
      </c>
      <c r="DO432" s="164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0" t="str">
        <f>IF(ISBLANK(スキャン結果!C431),"",スキャン結果!C431)</f>
        <v/>
      </c>
      <c r="D433" s="161" t="str">
        <f>IF(ISBLANK(スキャン結果!D431),"",スキャン結果!D431)</f>
        <v/>
      </c>
      <c r="E433" s="161" t="str">
        <f>IF(ISBLANK(スキャン結果!E431),"",スキャン結果!E431)</f>
        <v/>
      </c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1" t="str">
        <f t="shared" ref="DB433:DB496" si="44">IF(OR($B433="",DB$4=""),"",SUMIF($F$3:$DA$4,DB$4,$F433:$DA433))</f>
        <v/>
      </c>
      <c r="DC433" s="161" t="str">
        <f t="shared" si="43"/>
        <v/>
      </c>
      <c r="DD433" s="161" t="str">
        <f t="shared" si="43"/>
        <v/>
      </c>
      <c r="DE433" s="161" t="str">
        <f t="shared" si="43"/>
        <v/>
      </c>
      <c r="DF433" s="161" t="str">
        <f t="shared" si="43"/>
        <v/>
      </c>
      <c r="DG433" s="161" t="str">
        <f t="shared" si="43"/>
        <v/>
      </c>
      <c r="DH433" s="141"/>
      <c r="DI433" s="141"/>
      <c r="DJ433" s="141"/>
      <c r="DK433" s="141"/>
      <c r="DL433" s="141"/>
      <c r="DM433" s="141"/>
      <c r="DN433" s="163" t="str">
        <f t="shared" si="42"/>
        <v/>
      </c>
      <c r="DO433" s="164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0" t="str">
        <f>IF(ISBLANK(スキャン結果!C432),"",スキャン結果!C432)</f>
        <v/>
      </c>
      <c r="D434" s="161" t="str">
        <f>IF(ISBLANK(スキャン結果!D432),"",スキャン結果!D432)</f>
        <v/>
      </c>
      <c r="E434" s="161" t="str">
        <f>IF(ISBLANK(スキャン結果!E432),"",スキャン結果!E432)</f>
        <v/>
      </c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1" t="str">
        <f t="shared" si="44"/>
        <v/>
      </c>
      <c r="DC434" s="161" t="str">
        <f t="shared" si="43"/>
        <v/>
      </c>
      <c r="DD434" s="161" t="str">
        <f t="shared" si="43"/>
        <v/>
      </c>
      <c r="DE434" s="161" t="str">
        <f t="shared" si="43"/>
        <v/>
      </c>
      <c r="DF434" s="161" t="str">
        <f t="shared" si="43"/>
        <v/>
      </c>
      <c r="DG434" s="161" t="str">
        <f t="shared" si="43"/>
        <v/>
      </c>
      <c r="DH434" s="141"/>
      <c r="DI434" s="141"/>
      <c r="DJ434" s="141"/>
      <c r="DK434" s="141"/>
      <c r="DL434" s="141"/>
      <c r="DM434" s="141"/>
      <c r="DN434" s="163" t="str">
        <f t="shared" si="42"/>
        <v/>
      </c>
      <c r="DO434" s="164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0" t="str">
        <f>IF(ISBLANK(スキャン結果!C433),"",スキャン結果!C433)</f>
        <v/>
      </c>
      <c r="D435" s="161" t="str">
        <f>IF(ISBLANK(スキャン結果!D433),"",スキャン結果!D433)</f>
        <v/>
      </c>
      <c r="E435" s="161" t="str">
        <f>IF(ISBLANK(スキャン結果!E433),"",スキャン結果!E433)</f>
        <v/>
      </c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1" t="str">
        <f t="shared" si="44"/>
        <v/>
      </c>
      <c r="DC435" s="161" t="str">
        <f t="shared" si="43"/>
        <v/>
      </c>
      <c r="DD435" s="161" t="str">
        <f t="shared" si="43"/>
        <v/>
      </c>
      <c r="DE435" s="161" t="str">
        <f t="shared" si="43"/>
        <v/>
      </c>
      <c r="DF435" s="161" t="str">
        <f t="shared" si="43"/>
        <v/>
      </c>
      <c r="DG435" s="161" t="str">
        <f t="shared" si="43"/>
        <v/>
      </c>
      <c r="DH435" s="141"/>
      <c r="DI435" s="141"/>
      <c r="DJ435" s="141"/>
      <c r="DK435" s="141"/>
      <c r="DL435" s="141"/>
      <c r="DM435" s="141"/>
      <c r="DN435" s="163" t="str">
        <f t="shared" si="42"/>
        <v/>
      </c>
      <c r="DO435" s="164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0" t="str">
        <f>IF(ISBLANK(スキャン結果!C434),"",スキャン結果!C434)</f>
        <v/>
      </c>
      <c r="D436" s="161" t="str">
        <f>IF(ISBLANK(スキャン結果!D434),"",スキャン結果!D434)</f>
        <v/>
      </c>
      <c r="E436" s="161" t="str">
        <f>IF(ISBLANK(スキャン結果!E434),"",スキャン結果!E434)</f>
        <v/>
      </c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1" t="str">
        <f t="shared" si="44"/>
        <v/>
      </c>
      <c r="DC436" s="161" t="str">
        <f t="shared" si="43"/>
        <v/>
      </c>
      <c r="DD436" s="161" t="str">
        <f t="shared" si="43"/>
        <v/>
      </c>
      <c r="DE436" s="161" t="str">
        <f t="shared" si="43"/>
        <v/>
      </c>
      <c r="DF436" s="161" t="str">
        <f t="shared" si="43"/>
        <v/>
      </c>
      <c r="DG436" s="161" t="str">
        <f t="shared" si="43"/>
        <v/>
      </c>
      <c r="DH436" s="141"/>
      <c r="DI436" s="141"/>
      <c r="DJ436" s="141"/>
      <c r="DK436" s="141"/>
      <c r="DL436" s="141"/>
      <c r="DM436" s="141"/>
      <c r="DN436" s="163" t="str">
        <f t="shared" si="42"/>
        <v/>
      </c>
      <c r="DO436" s="164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0" t="str">
        <f>IF(ISBLANK(スキャン結果!C435),"",スキャン結果!C435)</f>
        <v/>
      </c>
      <c r="D437" s="161" t="str">
        <f>IF(ISBLANK(スキャン結果!D435),"",スキャン結果!D435)</f>
        <v/>
      </c>
      <c r="E437" s="161" t="str">
        <f>IF(ISBLANK(スキャン結果!E435),"",スキャン結果!E435)</f>
        <v/>
      </c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1" t="str">
        <f t="shared" si="44"/>
        <v/>
      </c>
      <c r="DC437" s="161" t="str">
        <f t="shared" si="43"/>
        <v/>
      </c>
      <c r="DD437" s="161" t="str">
        <f t="shared" si="43"/>
        <v/>
      </c>
      <c r="DE437" s="161" t="str">
        <f t="shared" si="43"/>
        <v/>
      </c>
      <c r="DF437" s="161" t="str">
        <f t="shared" si="43"/>
        <v/>
      </c>
      <c r="DG437" s="161" t="str">
        <f t="shared" si="43"/>
        <v/>
      </c>
      <c r="DH437" s="141"/>
      <c r="DI437" s="141"/>
      <c r="DJ437" s="141"/>
      <c r="DK437" s="141"/>
      <c r="DL437" s="141"/>
      <c r="DM437" s="141"/>
      <c r="DN437" s="163" t="str">
        <f t="shared" si="42"/>
        <v/>
      </c>
      <c r="DO437" s="164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0" t="str">
        <f>IF(ISBLANK(スキャン結果!C436),"",スキャン結果!C436)</f>
        <v/>
      </c>
      <c r="D438" s="161" t="str">
        <f>IF(ISBLANK(スキャン結果!D436),"",スキャン結果!D436)</f>
        <v/>
      </c>
      <c r="E438" s="161" t="str">
        <f>IF(ISBLANK(スキャン結果!E436),"",スキャン結果!E436)</f>
        <v/>
      </c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1" t="str">
        <f t="shared" si="44"/>
        <v/>
      </c>
      <c r="DC438" s="161" t="str">
        <f t="shared" si="43"/>
        <v/>
      </c>
      <c r="DD438" s="161" t="str">
        <f t="shared" si="43"/>
        <v/>
      </c>
      <c r="DE438" s="161" t="str">
        <f t="shared" si="43"/>
        <v/>
      </c>
      <c r="DF438" s="161" t="str">
        <f t="shared" si="43"/>
        <v/>
      </c>
      <c r="DG438" s="161" t="str">
        <f t="shared" si="43"/>
        <v/>
      </c>
      <c r="DH438" s="141"/>
      <c r="DI438" s="141"/>
      <c r="DJ438" s="141"/>
      <c r="DK438" s="141"/>
      <c r="DL438" s="141"/>
      <c r="DM438" s="141"/>
      <c r="DN438" s="163" t="str">
        <f t="shared" si="42"/>
        <v/>
      </c>
      <c r="DO438" s="164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0" t="str">
        <f>IF(ISBLANK(スキャン結果!C437),"",スキャン結果!C437)</f>
        <v/>
      </c>
      <c r="D439" s="161" t="str">
        <f>IF(ISBLANK(スキャン結果!D437),"",スキャン結果!D437)</f>
        <v/>
      </c>
      <c r="E439" s="161" t="str">
        <f>IF(ISBLANK(スキャン結果!E437),"",スキャン結果!E437)</f>
        <v/>
      </c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1" t="str">
        <f t="shared" si="44"/>
        <v/>
      </c>
      <c r="DC439" s="161" t="str">
        <f t="shared" si="43"/>
        <v/>
      </c>
      <c r="DD439" s="161" t="str">
        <f t="shared" si="43"/>
        <v/>
      </c>
      <c r="DE439" s="161" t="str">
        <f t="shared" si="43"/>
        <v/>
      </c>
      <c r="DF439" s="161" t="str">
        <f t="shared" si="43"/>
        <v/>
      </c>
      <c r="DG439" s="161" t="str">
        <f t="shared" si="43"/>
        <v/>
      </c>
      <c r="DH439" s="141"/>
      <c r="DI439" s="141"/>
      <c r="DJ439" s="141"/>
      <c r="DK439" s="141"/>
      <c r="DL439" s="141"/>
      <c r="DM439" s="141"/>
      <c r="DN439" s="163" t="str">
        <f t="shared" si="42"/>
        <v/>
      </c>
      <c r="DO439" s="164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0" t="str">
        <f>IF(ISBLANK(スキャン結果!C438),"",スキャン結果!C438)</f>
        <v/>
      </c>
      <c r="D440" s="161" t="str">
        <f>IF(ISBLANK(スキャン結果!D438),"",スキャン結果!D438)</f>
        <v/>
      </c>
      <c r="E440" s="161" t="str">
        <f>IF(ISBLANK(スキャン結果!E438),"",スキャン結果!E438)</f>
        <v/>
      </c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1" t="str">
        <f t="shared" si="44"/>
        <v/>
      </c>
      <c r="DC440" s="161" t="str">
        <f t="shared" si="43"/>
        <v/>
      </c>
      <c r="DD440" s="161" t="str">
        <f t="shared" si="43"/>
        <v/>
      </c>
      <c r="DE440" s="161" t="str">
        <f t="shared" si="43"/>
        <v/>
      </c>
      <c r="DF440" s="161" t="str">
        <f t="shared" si="43"/>
        <v/>
      </c>
      <c r="DG440" s="161" t="str">
        <f t="shared" si="43"/>
        <v/>
      </c>
      <c r="DH440" s="141"/>
      <c r="DI440" s="141"/>
      <c r="DJ440" s="141"/>
      <c r="DK440" s="141"/>
      <c r="DL440" s="141"/>
      <c r="DM440" s="141"/>
      <c r="DN440" s="163" t="str">
        <f t="shared" si="42"/>
        <v/>
      </c>
      <c r="DO440" s="164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0" t="str">
        <f>IF(ISBLANK(スキャン結果!C439),"",スキャン結果!C439)</f>
        <v/>
      </c>
      <c r="D441" s="161" t="str">
        <f>IF(ISBLANK(スキャン結果!D439),"",スキャン結果!D439)</f>
        <v/>
      </c>
      <c r="E441" s="161" t="str">
        <f>IF(ISBLANK(スキャン結果!E439),"",スキャン結果!E439)</f>
        <v/>
      </c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1" t="str">
        <f t="shared" si="44"/>
        <v/>
      </c>
      <c r="DC441" s="161" t="str">
        <f t="shared" si="43"/>
        <v/>
      </c>
      <c r="DD441" s="161" t="str">
        <f t="shared" si="43"/>
        <v/>
      </c>
      <c r="DE441" s="161" t="str">
        <f t="shared" si="43"/>
        <v/>
      </c>
      <c r="DF441" s="161" t="str">
        <f t="shared" si="43"/>
        <v/>
      </c>
      <c r="DG441" s="161" t="str">
        <f t="shared" si="43"/>
        <v/>
      </c>
      <c r="DH441" s="141"/>
      <c r="DI441" s="141"/>
      <c r="DJ441" s="141"/>
      <c r="DK441" s="141"/>
      <c r="DL441" s="141"/>
      <c r="DM441" s="141"/>
      <c r="DN441" s="163" t="str">
        <f t="shared" si="42"/>
        <v/>
      </c>
      <c r="DO441" s="164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0" t="str">
        <f>IF(ISBLANK(スキャン結果!C440),"",スキャン結果!C440)</f>
        <v/>
      </c>
      <c r="D442" s="161" t="str">
        <f>IF(ISBLANK(スキャン結果!D440),"",スキャン結果!D440)</f>
        <v/>
      </c>
      <c r="E442" s="161" t="str">
        <f>IF(ISBLANK(スキャン結果!E440),"",スキャン結果!E440)</f>
        <v/>
      </c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1" t="str">
        <f t="shared" si="44"/>
        <v/>
      </c>
      <c r="DC442" s="161" t="str">
        <f t="shared" si="43"/>
        <v/>
      </c>
      <c r="DD442" s="161" t="str">
        <f t="shared" si="43"/>
        <v/>
      </c>
      <c r="DE442" s="161" t="str">
        <f t="shared" si="43"/>
        <v/>
      </c>
      <c r="DF442" s="161" t="str">
        <f t="shared" si="43"/>
        <v/>
      </c>
      <c r="DG442" s="161" t="str">
        <f t="shared" si="43"/>
        <v/>
      </c>
      <c r="DH442" s="141"/>
      <c r="DI442" s="141"/>
      <c r="DJ442" s="141"/>
      <c r="DK442" s="141"/>
      <c r="DL442" s="141"/>
      <c r="DM442" s="141"/>
      <c r="DN442" s="163" t="str">
        <f t="shared" si="42"/>
        <v/>
      </c>
      <c r="DO442" s="164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0" t="str">
        <f>IF(ISBLANK(スキャン結果!C441),"",スキャン結果!C441)</f>
        <v/>
      </c>
      <c r="D443" s="161" t="str">
        <f>IF(ISBLANK(スキャン結果!D441),"",スキャン結果!D441)</f>
        <v/>
      </c>
      <c r="E443" s="161" t="str">
        <f>IF(ISBLANK(スキャン結果!E441),"",スキャン結果!E441)</f>
        <v/>
      </c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1" t="str">
        <f t="shared" si="44"/>
        <v/>
      </c>
      <c r="DC443" s="161" t="str">
        <f t="shared" si="43"/>
        <v/>
      </c>
      <c r="DD443" s="161" t="str">
        <f t="shared" si="43"/>
        <v/>
      </c>
      <c r="DE443" s="161" t="str">
        <f t="shared" si="43"/>
        <v/>
      </c>
      <c r="DF443" s="161" t="str">
        <f t="shared" si="43"/>
        <v/>
      </c>
      <c r="DG443" s="161" t="str">
        <f t="shared" si="43"/>
        <v/>
      </c>
      <c r="DH443" s="141"/>
      <c r="DI443" s="141"/>
      <c r="DJ443" s="141"/>
      <c r="DK443" s="141"/>
      <c r="DL443" s="141"/>
      <c r="DM443" s="141"/>
      <c r="DN443" s="163" t="str">
        <f t="shared" si="42"/>
        <v/>
      </c>
      <c r="DO443" s="164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0" t="str">
        <f>IF(ISBLANK(スキャン結果!C442),"",スキャン結果!C442)</f>
        <v/>
      </c>
      <c r="D444" s="161" t="str">
        <f>IF(ISBLANK(スキャン結果!D442),"",スキャン結果!D442)</f>
        <v/>
      </c>
      <c r="E444" s="161" t="str">
        <f>IF(ISBLANK(スキャン結果!E442),"",スキャン結果!E442)</f>
        <v/>
      </c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1" t="str">
        <f t="shared" si="44"/>
        <v/>
      </c>
      <c r="DC444" s="161" t="str">
        <f t="shared" si="43"/>
        <v/>
      </c>
      <c r="DD444" s="161" t="str">
        <f t="shared" si="43"/>
        <v/>
      </c>
      <c r="DE444" s="161" t="str">
        <f t="shared" si="43"/>
        <v/>
      </c>
      <c r="DF444" s="161" t="str">
        <f t="shared" si="43"/>
        <v/>
      </c>
      <c r="DG444" s="161" t="str">
        <f t="shared" si="43"/>
        <v/>
      </c>
      <c r="DH444" s="141"/>
      <c r="DI444" s="141"/>
      <c r="DJ444" s="141"/>
      <c r="DK444" s="141"/>
      <c r="DL444" s="141"/>
      <c r="DM444" s="141"/>
      <c r="DN444" s="163" t="str">
        <f t="shared" si="42"/>
        <v/>
      </c>
      <c r="DO444" s="164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0" t="str">
        <f>IF(ISBLANK(スキャン結果!C443),"",スキャン結果!C443)</f>
        <v/>
      </c>
      <c r="D445" s="161" t="str">
        <f>IF(ISBLANK(スキャン結果!D443),"",スキャン結果!D443)</f>
        <v/>
      </c>
      <c r="E445" s="161" t="str">
        <f>IF(ISBLANK(スキャン結果!E443),"",スキャン結果!E443)</f>
        <v/>
      </c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1" t="str">
        <f t="shared" si="44"/>
        <v/>
      </c>
      <c r="DC445" s="161" t="str">
        <f t="shared" si="43"/>
        <v/>
      </c>
      <c r="DD445" s="161" t="str">
        <f t="shared" si="43"/>
        <v/>
      </c>
      <c r="DE445" s="161" t="str">
        <f t="shared" si="43"/>
        <v/>
      </c>
      <c r="DF445" s="161" t="str">
        <f t="shared" si="43"/>
        <v/>
      </c>
      <c r="DG445" s="161" t="str">
        <f t="shared" si="43"/>
        <v/>
      </c>
      <c r="DH445" s="141"/>
      <c r="DI445" s="141"/>
      <c r="DJ445" s="141"/>
      <c r="DK445" s="141"/>
      <c r="DL445" s="141"/>
      <c r="DM445" s="141"/>
      <c r="DN445" s="163" t="str">
        <f t="shared" si="42"/>
        <v/>
      </c>
      <c r="DO445" s="164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0" t="str">
        <f>IF(ISBLANK(スキャン結果!C444),"",スキャン結果!C444)</f>
        <v/>
      </c>
      <c r="D446" s="161" t="str">
        <f>IF(ISBLANK(スキャン結果!D444),"",スキャン結果!D444)</f>
        <v/>
      </c>
      <c r="E446" s="161" t="str">
        <f>IF(ISBLANK(スキャン結果!E444),"",スキャン結果!E444)</f>
        <v/>
      </c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1" t="str">
        <f t="shared" si="44"/>
        <v/>
      </c>
      <c r="DC446" s="161" t="str">
        <f t="shared" si="43"/>
        <v/>
      </c>
      <c r="DD446" s="161" t="str">
        <f t="shared" si="43"/>
        <v/>
      </c>
      <c r="DE446" s="161" t="str">
        <f t="shared" si="43"/>
        <v/>
      </c>
      <c r="DF446" s="161" t="str">
        <f t="shared" si="43"/>
        <v/>
      </c>
      <c r="DG446" s="161" t="str">
        <f t="shared" si="43"/>
        <v/>
      </c>
      <c r="DH446" s="141"/>
      <c r="DI446" s="141"/>
      <c r="DJ446" s="141"/>
      <c r="DK446" s="141"/>
      <c r="DL446" s="141"/>
      <c r="DM446" s="141"/>
      <c r="DN446" s="163" t="str">
        <f t="shared" si="42"/>
        <v/>
      </c>
      <c r="DO446" s="164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0" t="str">
        <f>IF(ISBLANK(スキャン結果!C445),"",スキャン結果!C445)</f>
        <v/>
      </c>
      <c r="D447" s="161" t="str">
        <f>IF(ISBLANK(スキャン結果!D445),"",スキャン結果!D445)</f>
        <v/>
      </c>
      <c r="E447" s="161" t="str">
        <f>IF(ISBLANK(スキャン結果!E445),"",スキャン結果!E445)</f>
        <v/>
      </c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1" t="str">
        <f t="shared" si="44"/>
        <v/>
      </c>
      <c r="DC447" s="161" t="str">
        <f t="shared" si="43"/>
        <v/>
      </c>
      <c r="DD447" s="161" t="str">
        <f t="shared" si="43"/>
        <v/>
      </c>
      <c r="DE447" s="161" t="str">
        <f t="shared" si="43"/>
        <v/>
      </c>
      <c r="DF447" s="161" t="str">
        <f t="shared" si="43"/>
        <v/>
      </c>
      <c r="DG447" s="161" t="str">
        <f t="shared" si="43"/>
        <v/>
      </c>
      <c r="DH447" s="141"/>
      <c r="DI447" s="141"/>
      <c r="DJ447" s="141"/>
      <c r="DK447" s="141"/>
      <c r="DL447" s="141"/>
      <c r="DM447" s="141"/>
      <c r="DN447" s="163" t="str">
        <f t="shared" si="42"/>
        <v/>
      </c>
      <c r="DO447" s="164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0" t="str">
        <f>IF(ISBLANK(スキャン結果!C446),"",スキャン結果!C446)</f>
        <v/>
      </c>
      <c r="D448" s="161" t="str">
        <f>IF(ISBLANK(スキャン結果!D446),"",スキャン結果!D446)</f>
        <v/>
      </c>
      <c r="E448" s="161" t="str">
        <f>IF(ISBLANK(スキャン結果!E446),"",スキャン結果!E446)</f>
        <v/>
      </c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1" t="str">
        <f t="shared" si="44"/>
        <v/>
      </c>
      <c r="DC448" s="161" t="str">
        <f t="shared" si="43"/>
        <v/>
      </c>
      <c r="DD448" s="161" t="str">
        <f t="shared" si="43"/>
        <v/>
      </c>
      <c r="DE448" s="161" t="str">
        <f t="shared" si="43"/>
        <v/>
      </c>
      <c r="DF448" s="161" t="str">
        <f t="shared" si="43"/>
        <v/>
      </c>
      <c r="DG448" s="161" t="str">
        <f t="shared" si="43"/>
        <v/>
      </c>
      <c r="DH448" s="141"/>
      <c r="DI448" s="141"/>
      <c r="DJ448" s="141"/>
      <c r="DK448" s="141"/>
      <c r="DL448" s="141"/>
      <c r="DM448" s="141"/>
      <c r="DN448" s="163" t="str">
        <f t="shared" si="42"/>
        <v/>
      </c>
      <c r="DO448" s="164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0" t="str">
        <f>IF(ISBLANK(スキャン結果!C447),"",スキャン結果!C447)</f>
        <v/>
      </c>
      <c r="D449" s="161" t="str">
        <f>IF(ISBLANK(スキャン結果!D447),"",スキャン結果!D447)</f>
        <v/>
      </c>
      <c r="E449" s="161" t="str">
        <f>IF(ISBLANK(スキャン結果!E447),"",スキャン結果!E447)</f>
        <v/>
      </c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1" t="str">
        <f t="shared" si="44"/>
        <v/>
      </c>
      <c r="DC449" s="161" t="str">
        <f t="shared" si="43"/>
        <v/>
      </c>
      <c r="DD449" s="161" t="str">
        <f t="shared" si="43"/>
        <v/>
      </c>
      <c r="DE449" s="161" t="str">
        <f t="shared" si="43"/>
        <v/>
      </c>
      <c r="DF449" s="161" t="str">
        <f t="shared" si="43"/>
        <v/>
      </c>
      <c r="DG449" s="161" t="str">
        <f t="shared" si="43"/>
        <v/>
      </c>
      <c r="DH449" s="141"/>
      <c r="DI449" s="141"/>
      <c r="DJ449" s="141"/>
      <c r="DK449" s="141"/>
      <c r="DL449" s="141"/>
      <c r="DM449" s="141"/>
      <c r="DN449" s="163" t="str">
        <f t="shared" si="42"/>
        <v/>
      </c>
      <c r="DO449" s="164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0" t="str">
        <f>IF(ISBLANK(スキャン結果!C448),"",スキャン結果!C448)</f>
        <v/>
      </c>
      <c r="D450" s="161" t="str">
        <f>IF(ISBLANK(スキャン結果!D448),"",スキャン結果!D448)</f>
        <v/>
      </c>
      <c r="E450" s="161" t="str">
        <f>IF(ISBLANK(スキャン結果!E448),"",スキャン結果!E448)</f>
        <v/>
      </c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1" t="str">
        <f t="shared" si="44"/>
        <v/>
      </c>
      <c r="DC450" s="161" t="str">
        <f t="shared" si="43"/>
        <v/>
      </c>
      <c r="DD450" s="161" t="str">
        <f t="shared" si="43"/>
        <v/>
      </c>
      <c r="DE450" s="161" t="str">
        <f t="shared" si="43"/>
        <v/>
      </c>
      <c r="DF450" s="161" t="str">
        <f t="shared" si="43"/>
        <v/>
      </c>
      <c r="DG450" s="161" t="str">
        <f t="shared" si="43"/>
        <v/>
      </c>
      <c r="DH450" s="141"/>
      <c r="DI450" s="141"/>
      <c r="DJ450" s="141"/>
      <c r="DK450" s="141"/>
      <c r="DL450" s="141"/>
      <c r="DM450" s="141"/>
      <c r="DN450" s="163" t="str">
        <f t="shared" si="42"/>
        <v/>
      </c>
      <c r="DO450" s="164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0" t="str">
        <f>IF(ISBLANK(スキャン結果!C449),"",スキャン結果!C449)</f>
        <v/>
      </c>
      <c r="D451" s="161" t="str">
        <f>IF(ISBLANK(スキャン結果!D449),"",スキャン結果!D449)</f>
        <v/>
      </c>
      <c r="E451" s="161" t="str">
        <f>IF(ISBLANK(スキャン結果!E449),"",スキャン結果!E449)</f>
        <v/>
      </c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1" t="str">
        <f t="shared" si="44"/>
        <v/>
      </c>
      <c r="DC451" s="161" t="str">
        <f t="shared" si="43"/>
        <v/>
      </c>
      <c r="DD451" s="161" t="str">
        <f t="shared" si="43"/>
        <v/>
      </c>
      <c r="DE451" s="161" t="str">
        <f t="shared" si="43"/>
        <v/>
      </c>
      <c r="DF451" s="161" t="str">
        <f t="shared" si="43"/>
        <v/>
      </c>
      <c r="DG451" s="161" t="str">
        <f t="shared" si="43"/>
        <v/>
      </c>
      <c r="DH451" s="141"/>
      <c r="DI451" s="141"/>
      <c r="DJ451" s="141"/>
      <c r="DK451" s="141"/>
      <c r="DL451" s="141"/>
      <c r="DM451" s="141"/>
      <c r="DN451" s="163" t="str">
        <f t="shared" si="42"/>
        <v/>
      </c>
      <c r="DO451" s="164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0" t="str">
        <f>IF(ISBLANK(スキャン結果!C450),"",スキャン結果!C450)</f>
        <v/>
      </c>
      <c r="D452" s="161" t="str">
        <f>IF(ISBLANK(スキャン結果!D450),"",スキャン結果!D450)</f>
        <v/>
      </c>
      <c r="E452" s="161" t="str">
        <f>IF(ISBLANK(スキャン結果!E450),"",スキャン結果!E450)</f>
        <v/>
      </c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1" t="str">
        <f t="shared" si="44"/>
        <v/>
      </c>
      <c r="DC452" s="161" t="str">
        <f t="shared" si="43"/>
        <v/>
      </c>
      <c r="DD452" s="161" t="str">
        <f t="shared" si="43"/>
        <v/>
      </c>
      <c r="DE452" s="161" t="str">
        <f t="shared" si="43"/>
        <v/>
      </c>
      <c r="DF452" s="161" t="str">
        <f t="shared" si="43"/>
        <v/>
      </c>
      <c r="DG452" s="161" t="str">
        <f t="shared" si="43"/>
        <v/>
      </c>
      <c r="DH452" s="141"/>
      <c r="DI452" s="141"/>
      <c r="DJ452" s="141"/>
      <c r="DK452" s="141"/>
      <c r="DL452" s="141"/>
      <c r="DM452" s="141"/>
      <c r="DN452" s="163" t="str">
        <f t="shared" si="42"/>
        <v/>
      </c>
      <c r="DO452" s="164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0" t="str">
        <f>IF(ISBLANK(スキャン結果!C451),"",スキャン結果!C451)</f>
        <v/>
      </c>
      <c r="D453" s="161" t="str">
        <f>IF(ISBLANK(スキャン結果!D451),"",スキャン結果!D451)</f>
        <v/>
      </c>
      <c r="E453" s="161" t="str">
        <f>IF(ISBLANK(スキャン結果!E451),"",スキャン結果!E451)</f>
        <v/>
      </c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1" t="str">
        <f t="shared" si="44"/>
        <v/>
      </c>
      <c r="DC453" s="161" t="str">
        <f t="shared" si="43"/>
        <v/>
      </c>
      <c r="DD453" s="161" t="str">
        <f t="shared" si="43"/>
        <v/>
      </c>
      <c r="DE453" s="161" t="str">
        <f t="shared" si="43"/>
        <v/>
      </c>
      <c r="DF453" s="161" t="str">
        <f t="shared" si="43"/>
        <v/>
      </c>
      <c r="DG453" s="161" t="str">
        <f t="shared" si="43"/>
        <v/>
      </c>
      <c r="DH453" s="141"/>
      <c r="DI453" s="141"/>
      <c r="DJ453" s="141"/>
      <c r="DK453" s="141"/>
      <c r="DL453" s="141"/>
      <c r="DM453" s="141"/>
      <c r="DN453" s="163" t="str">
        <f t="shared" si="42"/>
        <v/>
      </c>
      <c r="DO453" s="164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0" t="str">
        <f>IF(ISBLANK(スキャン結果!C452),"",スキャン結果!C452)</f>
        <v/>
      </c>
      <c r="D454" s="161" t="str">
        <f>IF(ISBLANK(スキャン結果!D452),"",スキャン結果!D452)</f>
        <v/>
      </c>
      <c r="E454" s="161" t="str">
        <f>IF(ISBLANK(スキャン結果!E452),"",スキャン結果!E452)</f>
        <v/>
      </c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1" t="str">
        <f t="shared" si="44"/>
        <v/>
      </c>
      <c r="DC454" s="161" t="str">
        <f t="shared" si="43"/>
        <v/>
      </c>
      <c r="DD454" s="161" t="str">
        <f t="shared" si="43"/>
        <v/>
      </c>
      <c r="DE454" s="161" t="str">
        <f t="shared" si="43"/>
        <v/>
      </c>
      <c r="DF454" s="161" t="str">
        <f t="shared" si="43"/>
        <v/>
      </c>
      <c r="DG454" s="161" t="str">
        <f t="shared" si="43"/>
        <v/>
      </c>
      <c r="DH454" s="141"/>
      <c r="DI454" s="141"/>
      <c r="DJ454" s="141"/>
      <c r="DK454" s="141"/>
      <c r="DL454" s="141"/>
      <c r="DM454" s="141"/>
      <c r="DN454" s="163" t="str">
        <f t="shared" si="42"/>
        <v/>
      </c>
      <c r="DO454" s="164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0" t="str">
        <f>IF(ISBLANK(スキャン結果!C453),"",スキャン結果!C453)</f>
        <v/>
      </c>
      <c r="D455" s="161" t="str">
        <f>IF(ISBLANK(スキャン結果!D453),"",スキャン結果!D453)</f>
        <v/>
      </c>
      <c r="E455" s="161" t="str">
        <f>IF(ISBLANK(スキャン結果!E453),"",スキャン結果!E453)</f>
        <v/>
      </c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1" t="str">
        <f t="shared" si="44"/>
        <v/>
      </c>
      <c r="DC455" s="161" t="str">
        <f t="shared" si="43"/>
        <v/>
      </c>
      <c r="DD455" s="161" t="str">
        <f t="shared" si="43"/>
        <v/>
      </c>
      <c r="DE455" s="161" t="str">
        <f t="shared" si="43"/>
        <v/>
      </c>
      <c r="DF455" s="161" t="str">
        <f t="shared" si="43"/>
        <v/>
      </c>
      <c r="DG455" s="161" t="str">
        <f t="shared" si="43"/>
        <v/>
      </c>
      <c r="DH455" s="141"/>
      <c r="DI455" s="141"/>
      <c r="DJ455" s="141"/>
      <c r="DK455" s="141"/>
      <c r="DL455" s="141"/>
      <c r="DM455" s="141"/>
      <c r="DN455" s="163" t="str">
        <f t="shared" si="42"/>
        <v/>
      </c>
      <c r="DO455" s="164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0" t="str">
        <f>IF(ISBLANK(スキャン結果!C454),"",スキャン結果!C454)</f>
        <v/>
      </c>
      <c r="D456" s="161" t="str">
        <f>IF(ISBLANK(スキャン結果!D454),"",スキャン結果!D454)</f>
        <v/>
      </c>
      <c r="E456" s="161" t="str">
        <f>IF(ISBLANK(スキャン結果!E454),"",スキャン結果!E454)</f>
        <v/>
      </c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1" t="str">
        <f t="shared" si="44"/>
        <v/>
      </c>
      <c r="DC456" s="161" t="str">
        <f t="shared" si="43"/>
        <v/>
      </c>
      <c r="DD456" s="161" t="str">
        <f t="shared" si="43"/>
        <v/>
      </c>
      <c r="DE456" s="161" t="str">
        <f t="shared" si="43"/>
        <v/>
      </c>
      <c r="DF456" s="161" t="str">
        <f t="shared" si="43"/>
        <v/>
      </c>
      <c r="DG456" s="161" t="str">
        <f t="shared" si="43"/>
        <v/>
      </c>
      <c r="DH456" s="141"/>
      <c r="DI456" s="141"/>
      <c r="DJ456" s="141"/>
      <c r="DK456" s="141"/>
      <c r="DL456" s="141"/>
      <c r="DM456" s="141"/>
      <c r="DN456" s="163" t="str">
        <f t="shared" si="42"/>
        <v/>
      </c>
      <c r="DO456" s="164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0" t="str">
        <f>IF(ISBLANK(スキャン結果!C455),"",スキャン結果!C455)</f>
        <v/>
      </c>
      <c r="D457" s="161" t="str">
        <f>IF(ISBLANK(スキャン結果!D455),"",スキャン結果!D455)</f>
        <v/>
      </c>
      <c r="E457" s="161" t="str">
        <f>IF(ISBLANK(スキャン結果!E455),"",スキャン結果!E455)</f>
        <v/>
      </c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1" t="str">
        <f t="shared" si="44"/>
        <v/>
      </c>
      <c r="DC457" s="161" t="str">
        <f t="shared" si="43"/>
        <v/>
      </c>
      <c r="DD457" s="161" t="str">
        <f t="shared" si="43"/>
        <v/>
      </c>
      <c r="DE457" s="161" t="str">
        <f t="shared" si="43"/>
        <v/>
      </c>
      <c r="DF457" s="161" t="str">
        <f t="shared" si="43"/>
        <v/>
      </c>
      <c r="DG457" s="161" t="str">
        <f t="shared" si="43"/>
        <v/>
      </c>
      <c r="DH457" s="141"/>
      <c r="DI457" s="141"/>
      <c r="DJ457" s="141"/>
      <c r="DK457" s="141"/>
      <c r="DL457" s="141"/>
      <c r="DM457" s="141"/>
      <c r="DN457" s="163" t="str">
        <f t="shared" si="42"/>
        <v/>
      </c>
      <c r="DO457" s="164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0" t="str">
        <f>IF(ISBLANK(スキャン結果!C456),"",スキャン結果!C456)</f>
        <v/>
      </c>
      <c r="D458" s="161" t="str">
        <f>IF(ISBLANK(スキャン結果!D456),"",スキャン結果!D456)</f>
        <v/>
      </c>
      <c r="E458" s="161" t="str">
        <f>IF(ISBLANK(スキャン結果!E456),"",スキャン結果!E456)</f>
        <v/>
      </c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1" t="str">
        <f t="shared" si="44"/>
        <v/>
      </c>
      <c r="DC458" s="161" t="str">
        <f t="shared" si="43"/>
        <v/>
      </c>
      <c r="DD458" s="161" t="str">
        <f t="shared" si="43"/>
        <v/>
      </c>
      <c r="DE458" s="161" t="str">
        <f t="shared" si="43"/>
        <v/>
      </c>
      <c r="DF458" s="161" t="str">
        <f t="shared" si="43"/>
        <v/>
      </c>
      <c r="DG458" s="161" t="str">
        <f t="shared" si="43"/>
        <v/>
      </c>
      <c r="DH458" s="141"/>
      <c r="DI458" s="141"/>
      <c r="DJ458" s="141"/>
      <c r="DK458" s="141"/>
      <c r="DL458" s="141"/>
      <c r="DM458" s="141"/>
      <c r="DN458" s="163" t="str">
        <f t="shared" si="42"/>
        <v/>
      </c>
      <c r="DO458" s="164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0" t="str">
        <f>IF(ISBLANK(スキャン結果!C457),"",スキャン結果!C457)</f>
        <v/>
      </c>
      <c r="D459" s="161" t="str">
        <f>IF(ISBLANK(スキャン結果!D457),"",スキャン結果!D457)</f>
        <v/>
      </c>
      <c r="E459" s="161" t="str">
        <f>IF(ISBLANK(スキャン結果!E457),"",スキャン結果!E457)</f>
        <v/>
      </c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1" t="str">
        <f t="shared" si="44"/>
        <v/>
      </c>
      <c r="DC459" s="161" t="str">
        <f t="shared" si="43"/>
        <v/>
      </c>
      <c r="DD459" s="161" t="str">
        <f t="shared" si="43"/>
        <v/>
      </c>
      <c r="DE459" s="161" t="str">
        <f t="shared" si="43"/>
        <v/>
      </c>
      <c r="DF459" s="161" t="str">
        <f t="shared" si="43"/>
        <v/>
      </c>
      <c r="DG459" s="161" t="str">
        <f t="shared" si="43"/>
        <v/>
      </c>
      <c r="DH459" s="141"/>
      <c r="DI459" s="141"/>
      <c r="DJ459" s="141"/>
      <c r="DK459" s="141"/>
      <c r="DL459" s="141"/>
      <c r="DM459" s="141"/>
      <c r="DN459" s="163" t="str">
        <f t="shared" si="42"/>
        <v/>
      </c>
      <c r="DO459" s="164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0" t="str">
        <f>IF(ISBLANK(スキャン結果!C458),"",スキャン結果!C458)</f>
        <v/>
      </c>
      <c r="D460" s="161" t="str">
        <f>IF(ISBLANK(スキャン結果!D458),"",スキャン結果!D458)</f>
        <v/>
      </c>
      <c r="E460" s="161" t="str">
        <f>IF(ISBLANK(スキャン結果!E458),"",スキャン結果!E458)</f>
        <v/>
      </c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1" t="str">
        <f t="shared" si="44"/>
        <v/>
      </c>
      <c r="DC460" s="161" t="str">
        <f t="shared" si="43"/>
        <v/>
      </c>
      <c r="DD460" s="161" t="str">
        <f t="shared" si="43"/>
        <v/>
      </c>
      <c r="DE460" s="161" t="str">
        <f t="shared" si="43"/>
        <v/>
      </c>
      <c r="DF460" s="161" t="str">
        <f t="shared" si="43"/>
        <v/>
      </c>
      <c r="DG460" s="161" t="str">
        <f t="shared" si="43"/>
        <v/>
      </c>
      <c r="DH460" s="141"/>
      <c r="DI460" s="141"/>
      <c r="DJ460" s="141"/>
      <c r="DK460" s="141"/>
      <c r="DL460" s="141"/>
      <c r="DM460" s="141"/>
      <c r="DN460" s="163" t="str">
        <f t="shared" si="42"/>
        <v/>
      </c>
      <c r="DO460" s="164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0" t="str">
        <f>IF(ISBLANK(スキャン結果!C459),"",スキャン結果!C459)</f>
        <v/>
      </c>
      <c r="D461" s="161" t="str">
        <f>IF(ISBLANK(スキャン結果!D459),"",スキャン結果!D459)</f>
        <v/>
      </c>
      <c r="E461" s="161" t="str">
        <f>IF(ISBLANK(スキャン結果!E459),"",スキャン結果!E459)</f>
        <v/>
      </c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1" t="str">
        <f t="shared" si="44"/>
        <v/>
      </c>
      <c r="DC461" s="161" t="str">
        <f t="shared" si="43"/>
        <v/>
      </c>
      <c r="DD461" s="161" t="str">
        <f t="shared" si="43"/>
        <v/>
      </c>
      <c r="DE461" s="161" t="str">
        <f t="shared" si="43"/>
        <v/>
      </c>
      <c r="DF461" s="161" t="str">
        <f t="shared" si="43"/>
        <v/>
      </c>
      <c r="DG461" s="161" t="str">
        <f t="shared" si="43"/>
        <v/>
      </c>
      <c r="DH461" s="141"/>
      <c r="DI461" s="141"/>
      <c r="DJ461" s="141"/>
      <c r="DK461" s="141"/>
      <c r="DL461" s="141"/>
      <c r="DM461" s="141"/>
      <c r="DN461" s="163" t="str">
        <f t="shared" si="42"/>
        <v/>
      </c>
      <c r="DO461" s="164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0" t="str">
        <f>IF(ISBLANK(スキャン結果!C460),"",スキャン結果!C460)</f>
        <v/>
      </c>
      <c r="D462" s="161" t="str">
        <f>IF(ISBLANK(スキャン結果!D460),"",スキャン結果!D460)</f>
        <v/>
      </c>
      <c r="E462" s="161" t="str">
        <f>IF(ISBLANK(スキャン結果!E460),"",スキャン結果!E460)</f>
        <v/>
      </c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1" t="str">
        <f t="shared" si="44"/>
        <v/>
      </c>
      <c r="DC462" s="161" t="str">
        <f t="shared" si="43"/>
        <v/>
      </c>
      <c r="DD462" s="161" t="str">
        <f t="shared" si="43"/>
        <v/>
      </c>
      <c r="DE462" s="161" t="str">
        <f t="shared" si="43"/>
        <v/>
      </c>
      <c r="DF462" s="161" t="str">
        <f t="shared" si="43"/>
        <v/>
      </c>
      <c r="DG462" s="161" t="str">
        <f t="shared" si="43"/>
        <v/>
      </c>
      <c r="DH462" s="141"/>
      <c r="DI462" s="141"/>
      <c r="DJ462" s="141"/>
      <c r="DK462" s="141"/>
      <c r="DL462" s="141"/>
      <c r="DM462" s="141"/>
      <c r="DN462" s="163" t="str">
        <f t="shared" si="42"/>
        <v/>
      </c>
      <c r="DO462" s="164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0" t="str">
        <f>IF(ISBLANK(スキャン結果!C461),"",スキャン結果!C461)</f>
        <v/>
      </c>
      <c r="D463" s="161" t="str">
        <f>IF(ISBLANK(スキャン結果!D461),"",スキャン結果!D461)</f>
        <v/>
      </c>
      <c r="E463" s="161" t="str">
        <f>IF(ISBLANK(スキャン結果!E461),"",スキャン結果!E461)</f>
        <v/>
      </c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1" t="str">
        <f t="shared" si="44"/>
        <v/>
      </c>
      <c r="DC463" s="161" t="str">
        <f t="shared" si="43"/>
        <v/>
      </c>
      <c r="DD463" s="161" t="str">
        <f t="shared" si="43"/>
        <v/>
      </c>
      <c r="DE463" s="161" t="str">
        <f t="shared" si="43"/>
        <v/>
      </c>
      <c r="DF463" s="161" t="str">
        <f t="shared" si="43"/>
        <v/>
      </c>
      <c r="DG463" s="161" t="str">
        <f t="shared" si="43"/>
        <v/>
      </c>
      <c r="DH463" s="141"/>
      <c r="DI463" s="141"/>
      <c r="DJ463" s="141"/>
      <c r="DK463" s="141"/>
      <c r="DL463" s="141"/>
      <c r="DM463" s="141"/>
      <c r="DN463" s="163" t="str">
        <f t="shared" ref="DN463:DN509" si="47">IF(A463="","",SUM(F463:DA463,DH463:DM463))</f>
        <v/>
      </c>
      <c r="DO463" s="164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0" t="str">
        <f>IF(ISBLANK(スキャン結果!C462),"",スキャン結果!C462)</f>
        <v/>
      </c>
      <c r="D464" s="161" t="str">
        <f>IF(ISBLANK(スキャン結果!D462),"",スキャン結果!D462)</f>
        <v/>
      </c>
      <c r="E464" s="161" t="str">
        <f>IF(ISBLANK(スキャン結果!E462),"",スキャン結果!E462)</f>
        <v/>
      </c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1" t="str">
        <f t="shared" si="44"/>
        <v/>
      </c>
      <c r="DC464" s="161" t="str">
        <f t="shared" si="43"/>
        <v/>
      </c>
      <c r="DD464" s="161" t="str">
        <f t="shared" si="43"/>
        <v/>
      </c>
      <c r="DE464" s="161" t="str">
        <f t="shared" si="43"/>
        <v/>
      </c>
      <c r="DF464" s="161" t="str">
        <f t="shared" si="43"/>
        <v/>
      </c>
      <c r="DG464" s="161" t="str">
        <f t="shared" si="43"/>
        <v/>
      </c>
      <c r="DH464" s="141"/>
      <c r="DI464" s="141"/>
      <c r="DJ464" s="141"/>
      <c r="DK464" s="141"/>
      <c r="DL464" s="141"/>
      <c r="DM464" s="141"/>
      <c r="DN464" s="163" t="str">
        <f t="shared" si="47"/>
        <v/>
      </c>
      <c r="DO464" s="164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0" t="str">
        <f>IF(ISBLANK(スキャン結果!C463),"",スキャン結果!C463)</f>
        <v/>
      </c>
      <c r="D465" s="161" t="str">
        <f>IF(ISBLANK(スキャン結果!D463),"",スキャン結果!D463)</f>
        <v/>
      </c>
      <c r="E465" s="161" t="str">
        <f>IF(ISBLANK(スキャン結果!E463),"",スキャン結果!E463)</f>
        <v/>
      </c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1" t="str">
        <f t="shared" si="44"/>
        <v/>
      </c>
      <c r="DC465" s="161" t="str">
        <f t="shared" si="43"/>
        <v/>
      </c>
      <c r="DD465" s="161" t="str">
        <f t="shared" si="43"/>
        <v/>
      </c>
      <c r="DE465" s="161" t="str">
        <f t="shared" si="43"/>
        <v/>
      </c>
      <c r="DF465" s="161" t="str">
        <f t="shared" si="43"/>
        <v/>
      </c>
      <c r="DG465" s="161" t="str">
        <f t="shared" si="43"/>
        <v/>
      </c>
      <c r="DH465" s="141"/>
      <c r="DI465" s="141"/>
      <c r="DJ465" s="141"/>
      <c r="DK465" s="141"/>
      <c r="DL465" s="141"/>
      <c r="DM465" s="141"/>
      <c r="DN465" s="163" t="str">
        <f t="shared" si="47"/>
        <v/>
      </c>
      <c r="DO465" s="164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0" t="str">
        <f>IF(ISBLANK(スキャン結果!C464),"",スキャン結果!C464)</f>
        <v/>
      </c>
      <c r="D466" s="161" t="str">
        <f>IF(ISBLANK(スキャン結果!D464),"",スキャン結果!D464)</f>
        <v/>
      </c>
      <c r="E466" s="161" t="str">
        <f>IF(ISBLANK(スキャン結果!E464),"",スキャン結果!E464)</f>
        <v/>
      </c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1" t="str">
        <f t="shared" si="44"/>
        <v/>
      </c>
      <c r="DC466" s="161" t="str">
        <f t="shared" si="43"/>
        <v/>
      </c>
      <c r="DD466" s="161" t="str">
        <f t="shared" si="43"/>
        <v/>
      </c>
      <c r="DE466" s="161" t="str">
        <f t="shared" si="43"/>
        <v/>
      </c>
      <c r="DF466" s="161" t="str">
        <f t="shared" si="43"/>
        <v/>
      </c>
      <c r="DG466" s="161" t="str">
        <f t="shared" si="43"/>
        <v/>
      </c>
      <c r="DH466" s="141"/>
      <c r="DI466" s="141"/>
      <c r="DJ466" s="141"/>
      <c r="DK466" s="141"/>
      <c r="DL466" s="141"/>
      <c r="DM466" s="141"/>
      <c r="DN466" s="163" t="str">
        <f t="shared" si="47"/>
        <v/>
      </c>
      <c r="DO466" s="164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0" t="str">
        <f>IF(ISBLANK(スキャン結果!C465),"",スキャン結果!C465)</f>
        <v/>
      </c>
      <c r="D467" s="161" t="str">
        <f>IF(ISBLANK(スキャン結果!D465),"",スキャン結果!D465)</f>
        <v/>
      </c>
      <c r="E467" s="161" t="str">
        <f>IF(ISBLANK(スキャン結果!E465),"",スキャン結果!E465)</f>
        <v/>
      </c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1" t="str">
        <f t="shared" si="44"/>
        <v/>
      </c>
      <c r="DC467" s="161" t="str">
        <f t="shared" si="43"/>
        <v/>
      </c>
      <c r="DD467" s="161" t="str">
        <f t="shared" si="43"/>
        <v/>
      </c>
      <c r="DE467" s="161" t="str">
        <f t="shared" si="43"/>
        <v/>
      </c>
      <c r="DF467" s="161" t="str">
        <f t="shared" si="43"/>
        <v/>
      </c>
      <c r="DG467" s="161" t="str">
        <f t="shared" si="43"/>
        <v/>
      </c>
      <c r="DH467" s="141"/>
      <c r="DI467" s="141"/>
      <c r="DJ467" s="141"/>
      <c r="DK467" s="141"/>
      <c r="DL467" s="141"/>
      <c r="DM467" s="141"/>
      <c r="DN467" s="163" t="str">
        <f t="shared" si="47"/>
        <v/>
      </c>
      <c r="DO467" s="164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0" t="str">
        <f>IF(ISBLANK(スキャン結果!C466),"",スキャン結果!C466)</f>
        <v/>
      </c>
      <c r="D468" s="161" t="str">
        <f>IF(ISBLANK(スキャン結果!D466),"",スキャン結果!D466)</f>
        <v/>
      </c>
      <c r="E468" s="161" t="str">
        <f>IF(ISBLANK(スキャン結果!E466),"",スキャン結果!E466)</f>
        <v/>
      </c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1" t="str">
        <f t="shared" si="44"/>
        <v/>
      </c>
      <c r="DC468" s="161" t="str">
        <f t="shared" si="43"/>
        <v/>
      </c>
      <c r="DD468" s="161" t="str">
        <f t="shared" si="43"/>
        <v/>
      </c>
      <c r="DE468" s="161" t="str">
        <f t="shared" si="43"/>
        <v/>
      </c>
      <c r="DF468" s="161" t="str">
        <f t="shared" si="43"/>
        <v/>
      </c>
      <c r="DG468" s="161" t="str">
        <f t="shared" si="43"/>
        <v/>
      </c>
      <c r="DH468" s="141"/>
      <c r="DI468" s="141"/>
      <c r="DJ468" s="141"/>
      <c r="DK468" s="141"/>
      <c r="DL468" s="141"/>
      <c r="DM468" s="141"/>
      <c r="DN468" s="163" t="str">
        <f t="shared" si="47"/>
        <v/>
      </c>
      <c r="DO468" s="164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0" t="str">
        <f>IF(ISBLANK(スキャン結果!C467),"",スキャン結果!C467)</f>
        <v/>
      </c>
      <c r="D469" s="161" t="str">
        <f>IF(ISBLANK(スキャン結果!D467),"",スキャン結果!D467)</f>
        <v/>
      </c>
      <c r="E469" s="161" t="str">
        <f>IF(ISBLANK(スキャン結果!E467),"",スキャン結果!E467)</f>
        <v/>
      </c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1" t="str">
        <f t="shared" si="44"/>
        <v/>
      </c>
      <c r="DC469" s="161" t="str">
        <f t="shared" si="43"/>
        <v/>
      </c>
      <c r="DD469" s="161" t="str">
        <f t="shared" si="43"/>
        <v/>
      </c>
      <c r="DE469" s="161" t="str">
        <f t="shared" ref="DC469:DG509" si="48">IF(OR($B469="",DE$4=""),"",SUMIF($F$3:$DA$4,DE$4,$F469:$DA469))</f>
        <v/>
      </c>
      <c r="DF469" s="161" t="str">
        <f t="shared" si="48"/>
        <v/>
      </c>
      <c r="DG469" s="161" t="str">
        <f t="shared" si="48"/>
        <v/>
      </c>
      <c r="DH469" s="141"/>
      <c r="DI469" s="141"/>
      <c r="DJ469" s="141"/>
      <c r="DK469" s="141"/>
      <c r="DL469" s="141"/>
      <c r="DM469" s="141"/>
      <c r="DN469" s="163" t="str">
        <f t="shared" si="47"/>
        <v/>
      </c>
      <c r="DO469" s="164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0" t="str">
        <f>IF(ISBLANK(スキャン結果!C468),"",スキャン結果!C468)</f>
        <v/>
      </c>
      <c r="D470" s="161" t="str">
        <f>IF(ISBLANK(スキャン結果!D468),"",スキャン結果!D468)</f>
        <v/>
      </c>
      <c r="E470" s="161" t="str">
        <f>IF(ISBLANK(スキャン結果!E468),"",スキャン結果!E468)</f>
        <v/>
      </c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1" t="str">
        <f t="shared" si="44"/>
        <v/>
      </c>
      <c r="DC470" s="161" t="str">
        <f t="shared" si="48"/>
        <v/>
      </c>
      <c r="DD470" s="161" t="str">
        <f t="shared" si="48"/>
        <v/>
      </c>
      <c r="DE470" s="161" t="str">
        <f t="shared" si="48"/>
        <v/>
      </c>
      <c r="DF470" s="161" t="str">
        <f t="shared" si="48"/>
        <v/>
      </c>
      <c r="DG470" s="161" t="str">
        <f t="shared" si="48"/>
        <v/>
      </c>
      <c r="DH470" s="141"/>
      <c r="DI470" s="141"/>
      <c r="DJ470" s="141"/>
      <c r="DK470" s="141"/>
      <c r="DL470" s="141"/>
      <c r="DM470" s="141"/>
      <c r="DN470" s="163" t="str">
        <f t="shared" si="47"/>
        <v/>
      </c>
      <c r="DO470" s="164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0" t="str">
        <f>IF(ISBLANK(スキャン結果!C469),"",スキャン結果!C469)</f>
        <v/>
      </c>
      <c r="D471" s="161" t="str">
        <f>IF(ISBLANK(スキャン結果!D469),"",スキャン結果!D469)</f>
        <v/>
      </c>
      <c r="E471" s="161" t="str">
        <f>IF(ISBLANK(スキャン結果!E469),"",スキャン結果!E469)</f>
        <v/>
      </c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1" t="str">
        <f t="shared" si="44"/>
        <v/>
      </c>
      <c r="DC471" s="161" t="str">
        <f t="shared" si="48"/>
        <v/>
      </c>
      <c r="DD471" s="161" t="str">
        <f t="shared" si="48"/>
        <v/>
      </c>
      <c r="DE471" s="161" t="str">
        <f t="shared" si="48"/>
        <v/>
      </c>
      <c r="DF471" s="161" t="str">
        <f t="shared" si="48"/>
        <v/>
      </c>
      <c r="DG471" s="161" t="str">
        <f t="shared" si="48"/>
        <v/>
      </c>
      <c r="DH471" s="141"/>
      <c r="DI471" s="141"/>
      <c r="DJ471" s="141"/>
      <c r="DK471" s="141"/>
      <c r="DL471" s="141"/>
      <c r="DM471" s="141"/>
      <c r="DN471" s="163" t="str">
        <f t="shared" si="47"/>
        <v/>
      </c>
      <c r="DO471" s="164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0" t="str">
        <f>IF(ISBLANK(スキャン結果!C470),"",スキャン結果!C470)</f>
        <v/>
      </c>
      <c r="D472" s="161" t="str">
        <f>IF(ISBLANK(スキャン結果!D470),"",スキャン結果!D470)</f>
        <v/>
      </c>
      <c r="E472" s="161" t="str">
        <f>IF(ISBLANK(スキャン結果!E470),"",スキャン結果!E470)</f>
        <v/>
      </c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1" t="str">
        <f t="shared" si="44"/>
        <v/>
      </c>
      <c r="DC472" s="161" t="str">
        <f t="shared" si="48"/>
        <v/>
      </c>
      <c r="DD472" s="161" t="str">
        <f t="shared" si="48"/>
        <v/>
      </c>
      <c r="DE472" s="161" t="str">
        <f t="shared" si="48"/>
        <v/>
      </c>
      <c r="DF472" s="161" t="str">
        <f t="shared" si="48"/>
        <v/>
      </c>
      <c r="DG472" s="161" t="str">
        <f t="shared" si="48"/>
        <v/>
      </c>
      <c r="DH472" s="141"/>
      <c r="DI472" s="141"/>
      <c r="DJ472" s="141"/>
      <c r="DK472" s="141"/>
      <c r="DL472" s="141"/>
      <c r="DM472" s="141"/>
      <c r="DN472" s="163" t="str">
        <f t="shared" si="47"/>
        <v/>
      </c>
      <c r="DO472" s="164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0" t="str">
        <f>IF(ISBLANK(スキャン結果!C471),"",スキャン結果!C471)</f>
        <v/>
      </c>
      <c r="D473" s="161" t="str">
        <f>IF(ISBLANK(スキャン結果!D471),"",スキャン結果!D471)</f>
        <v/>
      </c>
      <c r="E473" s="161" t="str">
        <f>IF(ISBLANK(スキャン結果!E471),"",スキャン結果!E471)</f>
        <v/>
      </c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1" t="str">
        <f t="shared" si="44"/>
        <v/>
      </c>
      <c r="DC473" s="161" t="str">
        <f t="shared" si="48"/>
        <v/>
      </c>
      <c r="DD473" s="161" t="str">
        <f t="shared" si="48"/>
        <v/>
      </c>
      <c r="DE473" s="161" t="str">
        <f t="shared" si="48"/>
        <v/>
      </c>
      <c r="DF473" s="161" t="str">
        <f t="shared" si="48"/>
        <v/>
      </c>
      <c r="DG473" s="161" t="str">
        <f t="shared" si="48"/>
        <v/>
      </c>
      <c r="DH473" s="141"/>
      <c r="DI473" s="141"/>
      <c r="DJ473" s="141"/>
      <c r="DK473" s="141"/>
      <c r="DL473" s="141"/>
      <c r="DM473" s="141"/>
      <c r="DN473" s="163" t="str">
        <f t="shared" si="47"/>
        <v/>
      </c>
      <c r="DO473" s="164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0" t="str">
        <f>IF(ISBLANK(スキャン結果!C472),"",スキャン結果!C472)</f>
        <v/>
      </c>
      <c r="D474" s="161" t="str">
        <f>IF(ISBLANK(スキャン結果!D472),"",スキャン結果!D472)</f>
        <v/>
      </c>
      <c r="E474" s="161" t="str">
        <f>IF(ISBLANK(スキャン結果!E472),"",スキャン結果!E472)</f>
        <v/>
      </c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1" t="str">
        <f t="shared" si="44"/>
        <v/>
      </c>
      <c r="DC474" s="161" t="str">
        <f t="shared" si="48"/>
        <v/>
      </c>
      <c r="DD474" s="161" t="str">
        <f t="shared" si="48"/>
        <v/>
      </c>
      <c r="DE474" s="161" t="str">
        <f t="shared" si="48"/>
        <v/>
      </c>
      <c r="DF474" s="161" t="str">
        <f t="shared" si="48"/>
        <v/>
      </c>
      <c r="DG474" s="161" t="str">
        <f t="shared" si="48"/>
        <v/>
      </c>
      <c r="DH474" s="141"/>
      <c r="DI474" s="141"/>
      <c r="DJ474" s="141"/>
      <c r="DK474" s="141"/>
      <c r="DL474" s="141"/>
      <c r="DM474" s="141"/>
      <c r="DN474" s="163" t="str">
        <f t="shared" si="47"/>
        <v/>
      </c>
      <c r="DO474" s="164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0" t="str">
        <f>IF(ISBLANK(スキャン結果!C473),"",スキャン結果!C473)</f>
        <v/>
      </c>
      <c r="D475" s="161" t="str">
        <f>IF(ISBLANK(スキャン結果!D473),"",スキャン結果!D473)</f>
        <v/>
      </c>
      <c r="E475" s="161" t="str">
        <f>IF(ISBLANK(スキャン結果!E473),"",スキャン結果!E473)</f>
        <v/>
      </c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1" t="str">
        <f t="shared" si="44"/>
        <v/>
      </c>
      <c r="DC475" s="161" t="str">
        <f t="shared" si="48"/>
        <v/>
      </c>
      <c r="DD475" s="161" t="str">
        <f t="shared" si="48"/>
        <v/>
      </c>
      <c r="DE475" s="161" t="str">
        <f t="shared" si="48"/>
        <v/>
      </c>
      <c r="DF475" s="161" t="str">
        <f t="shared" si="48"/>
        <v/>
      </c>
      <c r="DG475" s="161" t="str">
        <f t="shared" si="48"/>
        <v/>
      </c>
      <c r="DH475" s="141"/>
      <c r="DI475" s="141"/>
      <c r="DJ475" s="141"/>
      <c r="DK475" s="141"/>
      <c r="DL475" s="141"/>
      <c r="DM475" s="141"/>
      <c r="DN475" s="163" t="str">
        <f t="shared" si="47"/>
        <v/>
      </c>
      <c r="DO475" s="164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0" t="str">
        <f>IF(ISBLANK(スキャン結果!C474),"",スキャン結果!C474)</f>
        <v/>
      </c>
      <c r="D476" s="161" t="str">
        <f>IF(ISBLANK(スキャン結果!D474),"",スキャン結果!D474)</f>
        <v/>
      </c>
      <c r="E476" s="161" t="str">
        <f>IF(ISBLANK(スキャン結果!E474),"",スキャン結果!E474)</f>
        <v/>
      </c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1" t="str">
        <f t="shared" si="44"/>
        <v/>
      </c>
      <c r="DC476" s="161" t="str">
        <f t="shared" si="48"/>
        <v/>
      </c>
      <c r="DD476" s="161" t="str">
        <f t="shared" si="48"/>
        <v/>
      </c>
      <c r="DE476" s="161" t="str">
        <f t="shared" si="48"/>
        <v/>
      </c>
      <c r="DF476" s="161" t="str">
        <f t="shared" si="48"/>
        <v/>
      </c>
      <c r="DG476" s="161" t="str">
        <f t="shared" si="48"/>
        <v/>
      </c>
      <c r="DH476" s="141"/>
      <c r="DI476" s="141"/>
      <c r="DJ476" s="141"/>
      <c r="DK476" s="141"/>
      <c r="DL476" s="141"/>
      <c r="DM476" s="141"/>
      <c r="DN476" s="163" t="str">
        <f t="shared" si="47"/>
        <v/>
      </c>
      <c r="DO476" s="164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0" t="str">
        <f>IF(ISBLANK(スキャン結果!C475),"",スキャン結果!C475)</f>
        <v/>
      </c>
      <c r="D477" s="161" t="str">
        <f>IF(ISBLANK(スキャン結果!D475),"",スキャン結果!D475)</f>
        <v/>
      </c>
      <c r="E477" s="161" t="str">
        <f>IF(ISBLANK(スキャン結果!E475),"",スキャン結果!E475)</f>
        <v/>
      </c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1" t="str">
        <f t="shared" si="44"/>
        <v/>
      </c>
      <c r="DC477" s="161" t="str">
        <f t="shared" si="48"/>
        <v/>
      </c>
      <c r="DD477" s="161" t="str">
        <f t="shared" si="48"/>
        <v/>
      </c>
      <c r="DE477" s="161" t="str">
        <f t="shared" si="48"/>
        <v/>
      </c>
      <c r="DF477" s="161" t="str">
        <f t="shared" si="48"/>
        <v/>
      </c>
      <c r="DG477" s="161" t="str">
        <f t="shared" si="48"/>
        <v/>
      </c>
      <c r="DH477" s="141"/>
      <c r="DI477" s="141"/>
      <c r="DJ477" s="141"/>
      <c r="DK477" s="141"/>
      <c r="DL477" s="141"/>
      <c r="DM477" s="141"/>
      <c r="DN477" s="163" t="str">
        <f t="shared" si="47"/>
        <v/>
      </c>
      <c r="DO477" s="164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0" t="str">
        <f>IF(ISBLANK(スキャン結果!C476),"",スキャン結果!C476)</f>
        <v/>
      </c>
      <c r="D478" s="161" t="str">
        <f>IF(ISBLANK(スキャン結果!D476),"",スキャン結果!D476)</f>
        <v/>
      </c>
      <c r="E478" s="161" t="str">
        <f>IF(ISBLANK(スキャン結果!E476),"",スキャン結果!E476)</f>
        <v/>
      </c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1" t="str">
        <f t="shared" si="44"/>
        <v/>
      </c>
      <c r="DC478" s="161" t="str">
        <f t="shared" si="48"/>
        <v/>
      </c>
      <c r="DD478" s="161" t="str">
        <f t="shared" si="48"/>
        <v/>
      </c>
      <c r="DE478" s="161" t="str">
        <f t="shared" si="48"/>
        <v/>
      </c>
      <c r="DF478" s="161" t="str">
        <f t="shared" si="48"/>
        <v/>
      </c>
      <c r="DG478" s="161" t="str">
        <f t="shared" si="48"/>
        <v/>
      </c>
      <c r="DH478" s="141"/>
      <c r="DI478" s="141"/>
      <c r="DJ478" s="141"/>
      <c r="DK478" s="141"/>
      <c r="DL478" s="141"/>
      <c r="DM478" s="141"/>
      <c r="DN478" s="163" t="str">
        <f t="shared" si="47"/>
        <v/>
      </c>
      <c r="DO478" s="164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0" t="str">
        <f>IF(ISBLANK(スキャン結果!C477),"",スキャン結果!C477)</f>
        <v/>
      </c>
      <c r="D479" s="161" t="str">
        <f>IF(ISBLANK(スキャン結果!D477),"",スキャン結果!D477)</f>
        <v/>
      </c>
      <c r="E479" s="161" t="str">
        <f>IF(ISBLANK(スキャン結果!E477),"",スキャン結果!E477)</f>
        <v/>
      </c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1" t="str">
        <f t="shared" si="44"/>
        <v/>
      </c>
      <c r="DC479" s="161" t="str">
        <f t="shared" si="48"/>
        <v/>
      </c>
      <c r="DD479" s="161" t="str">
        <f t="shared" si="48"/>
        <v/>
      </c>
      <c r="DE479" s="161" t="str">
        <f t="shared" si="48"/>
        <v/>
      </c>
      <c r="DF479" s="161" t="str">
        <f t="shared" si="48"/>
        <v/>
      </c>
      <c r="DG479" s="161" t="str">
        <f t="shared" si="48"/>
        <v/>
      </c>
      <c r="DH479" s="141"/>
      <c r="DI479" s="141"/>
      <c r="DJ479" s="141"/>
      <c r="DK479" s="141"/>
      <c r="DL479" s="141"/>
      <c r="DM479" s="141"/>
      <c r="DN479" s="163" t="str">
        <f t="shared" si="47"/>
        <v/>
      </c>
      <c r="DO479" s="164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0" t="str">
        <f>IF(ISBLANK(スキャン結果!C478),"",スキャン結果!C478)</f>
        <v/>
      </c>
      <c r="D480" s="161" t="str">
        <f>IF(ISBLANK(スキャン結果!D478),"",スキャン結果!D478)</f>
        <v/>
      </c>
      <c r="E480" s="161" t="str">
        <f>IF(ISBLANK(スキャン結果!E478),"",スキャン結果!E478)</f>
        <v/>
      </c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1" t="str">
        <f t="shared" si="44"/>
        <v/>
      </c>
      <c r="DC480" s="161" t="str">
        <f t="shared" si="48"/>
        <v/>
      </c>
      <c r="DD480" s="161" t="str">
        <f t="shared" si="48"/>
        <v/>
      </c>
      <c r="DE480" s="161" t="str">
        <f t="shared" si="48"/>
        <v/>
      </c>
      <c r="DF480" s="161" t="str">
        <f t="shared" si="48"/>
        <v/>
      </c>
      <c r="DG480" s="161" t="str">
        <f t="shared" si="48"/>
        <v/>
      </c>
      <c r="DH480" s="141"/>
      <c r="DI480" s="141"/>
      <c r="DJ480" s="141"/>
      <c r="DK480" s="141"/>
      <c r="DL480" s="141"/>
      <c r="DM480" s="141"/>
      <c r="DN480" s="163" t="str">
        <f t="shared" si="47"/>
        <v/>
      </c>
      <c r="DO480" s="164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0" t="str">
        <f>IF(ISBLANK(スキャン結果!C479),"",スキャン結果!C479)</f>
        <v/>
      </c>
      <c r="D481" s="161" t="str">
        <f>IF(ISBLANK(スキャン結果!D479),"",スキャン結果!D479)</f>
        <v/>
      </c>
      <c r="E481" s="161" t="str">
        <f>IF(ISBLANK(スキャン結果!E479),"",スキャン結果!E479)</f>
        <v/>
      </c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1" t="str">
        <f t="shared" si="44"/>
        <v/>
      </c>
      <c r="DC481" s="161" t="str">
        <f t="shared" si="48"/>
        <v/>
      </c>
      <c r="DD481" s="161" t="str">
        <f t="shared" si="48"/>
        <v/>
      </c>
      <c r="DE481" s="161" t="str">
        <f t="shared" si="48"/>
        <v/>
      </c>
      <c r="DF481" s="161" t="str">
        <f t="shared" si="48"/>
        <v/>
      </c>
      <c r="DG481" s="161" t="str">
        <f t="shared" si="48"/>
        <v/>
      </c>
      <c r="DH481" s="141"/>
      <c r="DI481" s="141"/>
      <c r="DJ481" s="141"/>
      <c r="DK481" s="141"/>
      <c r="DL481" s="141"/>
      <c r="DM481" s="141"/>
      <c r="DN481" s="163" t="str">
        <f t="shared" si="47"/>
        <v/>
      </c>
      <c r="DO481" s="164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0" t="str">
        <f>IF(ISBLANK(スキャン結果!C480),"",スキャン結果!C480)</f>
        <v/>
      </c>
      <c r="D482" s="161" t="str">
        <f>IF(ISBLANK(スキャン結果!D480),"",スキャン結果!D480)</f>
        <v/>
      </c>
      <c r="E482" s="161" t="str">
        <f>IF(ISBLANK(スキャン結果!E480),"",スキャン結果!E480)</f>
        <v/>
      </c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1" t="str">
        <f t="shared" si="44"/>
        <v/>
      </c>
      <c r="DC482" s="161" t="str">
        <f t="shared" si="48"/>
        <v/>
      </c>
      <c r="DD482" s="161" t="str">
        <f t="shared" si="48"/>
        <v/>
      </c>
      <c r="DE482" s="161" t="str">
        <f t="shared" si="48"/>
        <v/>
      </c>
      <c r="DF482" s="161" t="str">
        <f t="shared" si="48"/>
        <v/>
      </c>
      <c r="DG482" s="161" t="str">
        <f t="shared" si="48"/>
        <v/>
      </c>
      <c r="DH482" s="141"/>
      <c r="DI482" s="141"/>
      <c r="DJ482" s="141"/>
      <c r="DK482" s="141"/>
      <c r="DL482" s="141"/>
      <c r="DM482" s="141"/>
      <c r="DN482" s="163" t="str">
        <f t="shared" si="47"/>
        <v/>
      </c>
      <c r="DO482" s="164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0" t="str">
        <f>IF(ISBLANK(スキャン結果!C481),"",スキャン結果!C481)</f>
        <v/>
      </c>
      <c r="D483" s="161" t="str">
        <f>IF(ISBLANK(スキャン結果!D481),"",スキャン結果!D481)</f>
        <v/>
      </c>
      <c r="E483" s="161" t="str">
        <f>IF(ISBLANK(スキャン結果!E481),"",スキャン結果!E481)</f>
        <v/>
      </c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1" t="str">
        <f t="shared" si="44"/>
        <v/>
      </c>
      <c r="DC483" s="161" t="str">
        <f t="shared" si="48"/>
        <v/>
      </c>
      <c r="DD483" s="161" t="str">
        <f t="shared" si="48"/>
        <v/>
      </c>
      <c r="DE483" s="161" t="str">
        <f t="shared" si="48"/>
        <v/>
      </c>
      <c r="DF483" s="161" t="str">
        <f t="shared" si="48"/>
        <v/>
      </c>
      <c r="DG483" s="161" t="str">
        <f t="shared" si="48"/>
        <v/>
      </c>
      <c r="DH483" s="141"/>
      <c r="DI483" s="141"/>
      <c r="DJ483" s="141"/>
      <c r="DK483" s="141"/>
      <c r="DL483" s="141"/>
      <c r="DM483" s="141"/>
      <c r="DN483" s="163" t="str">
        <f t="shared" si="47"/>
        <v/>
      </c>
      <c r="DO483" s="164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0" t="str">
        <f>IF(ISBLANK(スキャン結果!C482),"",スキャン結果!C482)</f>
        <v/>
      </c>
      <c r="D484" s="161" t="str">
        <f>IF(ISBLANK(スキャン結果!D482),"",スキャン結果!D482)</f>
        <v/>
      </c>
      <c r="E484" s="161" t="str">
        <f>IF(ISBLANK(スキャン結果!E482),"",スキャン結果!E482)</f>
        <v/>
      </c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1" t="str">
        <f t="shared" si="44"/>
        <v/>
      </c>
      <c r="DC484" s="161" t="str">
        <f t="shared" si="48"/>
        <v/>
      </c>
      <c r="DD484" s="161" t="str">
        <f t="shared" si="48"/>
        <v/>
      </c>
      <c r="DE484" s="161" t="str">
        <f t="shared" si="48"/>
        <v/>
      </c>
      <c r="DF484" s="161" t="str">
        <f t="shared" si="48"/>
        <v/>
      </c>
      <c r="DG484" s="161" t="str">
        <f t="shared" si="48"/>
        <v/>
      </c>
      <c r="DH484" s="141"/>
      <c r="DI484" s="141"/>
      <c r="DJ484" s="141"/>
      <c r="DK484" s="141"/>
      <c r="DL484" s="141"/>
      <c r="DM484" s="141"/>
      <c r="DN484" s="163" t="str">
        <f t="shared" si="47"/>
        <v/>
      </c>
      <c r="DO484" s="164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0" t="str">
        <f>IF(ISBLANK(スキャン結果!C483),"",スキャン結果!C483)</f>
        <v/>
      </c>
      <c r="D485" s="161" t="str">
        <f>IF(ISBLANK(スキャン結果!D483),"",スキャン結果!D483)</f>
        <v/>
      </c>
      <c r="E485" s="161" t="str">
        <f>IF(ISBLANK(スキャン結果!E483),"",スキャン結果!E483)</f>
        <v/>
      </c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1" t="str">
        <f t="shared" si="44"/>
        <v/>
      </c>
      <c r="DC485" s="161" t="str">
        <f t="shared" si="48"/>
        <v/>
      </c>
      <c r="DD485" s="161" t="str">
        <f t="shared" si="48"/>
        <v/>
      </c>
      <c r="DE485" s="161" t="str">
        <f t="shared" si="48"/>
        <v/>
      </c>
      <c r="DF485" s="161" t="str">
        <f t="shared" si="48"/>
        <v/>
      </c>
      <c r="DG485" s="161" t="str">
        <f t="shared" si="48"/>
        <v/>
      </c>
      <c r="DH485" s="141"/>
      <c r="DI485" s="141"/>
      <c r="DJ485" s="141"/>
      <c r="DK485" s="141"/>
      <c r="DL485" s="141"/>
      <c r="DM485" s="141"/>
      <c r="DN485" s="163" t="str">
        <f t="shared" si="47"/>
        <v/>
      </c>
      <c r="DO485" s="164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0" t="str">
        <f>IF(ISBLANK(スキャン結果!C484),"",スキャン結果!C484)</f>
        <v/>
      </c>
      <c r="D486" s="161" t="str">
        <f>IF(ISBLANK(スキャン結果!D484),"",スキャン結果!D484)</f>
        <v/>
      </c>
      <c r="E486" s="161" t="str">
        <f>IF(ISBLANK(スキャン結果!E484),"",スキャン結果!E484)</f>
        <v/>
      </c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1" t="str">
        <f t="shared" si="44"/>
        <v/>
      </c>
      <c r="DC486" s="161" t="str">
        <f t="shared" si="48"/>
        <v/>
      </c>
      <c r="DD486" s="161" t="str">
        <f t="shared" si="48"/>
        <v/>
      </c>
      <c r="DE486" s="161" t="str">
        <f t="shared" si="48"/>
        <v/>
      </c>
      <c r="DF486" s="161" t="str">
        <f t="shared" si="48"/>
        <v/>
      </c>
      <c r="DG486" s="161" t="str">
        <f t="shared" si="48"/>
        <v/>
      </c>
      <c r="DH486" s="141"/>
      <c r="DI486" s="141"/>
      <c r="DJ486" s="141"/>
      <c r="DK486" s="141"/>
      <c r="DL486" s="141"/>
      <c r="DM486" s="141"/>
      <c r="DN486" s="163" t="str">
        <f t="shared" si="47"/>
        <v/>
      </c>
      <c r="DO486" s="164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0" t="str">
        <f>IF(ISBLANK(スキャン結果!C485),"",スキャン結果!C485)</f>
        <v/>
      </c>
      <c r="D487" s="161" t="str">
        <f>IF(ISBLANK(スキャン結果!D485),"",スキャン結果!D485)</f>
        <v/>
      </c>
      <c r="E487" s="161" t="str">
        <f>IF(ISBLANK(スキャン結果!E485),"",スキャン結果!E485)</f>
        <v/>
      </c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1" t="str">
        <f t="shared" si="44"/>
        <v/>
      </c>
      <c r="DC487" s="161" t="str">
        <f t="shared" si="48"/>
        <v/>
      </c>
      <c r="DD487" s="161" t="str">
        <f t="shared" si="48"/>
        <v/>
      </c>
      <c r="DE487" s="161" t="str">
        <f t="shared" si="48"/>
        <v/>
      </c>
      <c r="DF487" s="161" t="str">
        <f t="shared" si="48"/>
        <v/>
      </c>
      <c r="DG487" s="161" t="str">
        <f t="shared" si="48"/>
        <v/>
      </c>
      <c r="DH487" s="141"/>
      <c r="DI487" s="141"/>
      <c r="DJ487" s="141"/>
      <c r="DK487" s="141"/>
      <c r="DL487" s="141"/>
      <c r="DM487" s="141"/>
      <c r="DN487" s="163" t="str">
        <f t="shared" si="47"/>
        <v/>
      </c>
      <c r="DO487" s="164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0" t="str">
        <f>IF(ISBLANK(スキャン結果!C486),"",スキャン結果!C486)</f>
        <v/>
      </c>
      <c r="D488" s="161" t="str">
        <f>IF(ISBLANK(スキャン結果!D486),"",スキャン結果!D486)</f>
        <v/>
      </c>
      <c r="E488" s="161" t="str">
        <f>IF(ISBLANK(スキャン結果!E486),"",スキャン結果!E486)</f>
        <v/>
      </c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1" t="str">
        <f t="shared" si="44"/>
        <v/>
      </c>
      <c r="DC488" s="161" t="str">
        <f t="shared" si="48"/>
        <v/>
      </c>
      <c r="DD488" s="161" t="str">
        <f t="shared" si="48"/>
        <v/>
      </c>
      <c r="DE488" s="161" t="str">
        <f t="shared" si="48"/>
        <v/>
      </c>
      <c r="DF488" s="161" t="str">
        <f t="shared" si="48"/>
        <v/>
      </c>
      <c r="DG488" s="161" t="str">
        <f t="shared" si="48"/>
        <v/>
      </c>
      <c r="DH488" s="141"/>
      <c r="DI488" s="141"/>
      <c r="DJ488" s="141"/>
      <c r="DK488" s="141"/>
      <c r="DL488" s="141"/>
      <c r="DM488" s="141"/>
      <c r="DN488" s="163" t="str">
        <f t="shared" si="47"/>
        <v/>
      </c>
      <c r="DO488" s="164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0" t="str">
        <f>IF(ISBLANK(スキャン結果!C487),"",スキャン結果!C487)</f>
        <v/>
      </c>
      <c r="D489" s="161" t="str">
        <f>IF(ISBLANK(スキャン結果!D487),"",スキャン結果!D487)</f>
        <v/>
      </c>
      <c r="E489" s="161" t="str">
        <f>IF(ISBLANK(スキャン結果!E487),"",スキャン結果!E487)</f>
        <v/>
      </c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1" t="str">
        <f t="shared" si="44"/>
        <v/>
      </c>
      <c r="DC489" s="161" t="str">
        <f t="shared" si="48"/>
        <v/>
      </c>
      <c r="DD489" s="161" t="str">
        <f t="shared" si="48"/>
        <v/>
      </c>
      <c r="DE489" s="161" t="str">
        <f t="shared" si="48"/>
        <v/>
      </c>
      <c r="DF489" s="161" t="str">
        <f t="shared" si="48"/>
        <v/>
      </c>
      <c r="DG489" s="161" t="str">
        <f t="shared" si="48"/>
        <v/>
      </c>
      <c r="DH489" s="141"/>
      <c r="DI489" s="141"/>
      <c r="DJ489" s="141"/>
      <c r="DK489" s="141"/>
      <c r="DL489" s="141"/>
      <c r="DM489" s="141"/>
      <c r="DN489" s="163" t="str">
        <f t="shared" si="47"/>
        <v/>
      </c>
      <c r="DO489" s="164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0" t="str">
        <f>IF(ISBLANK(スキャン結果!C488),"",スキャン結果!C488)</f>
        <v/>
      </c>
      <c r="D490" s="161" t="str">
        <f>IF(ISBLANK(スキャン結果!D488),"",スキャン結果!D488)</f>
        <v/>
      </c>
      <c r="E490" s="161" t="str">
        <f>IF(ISBLANK(スキャン結果!E488),"",スキャン結果!E488)</f>
        <v/>
      </c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1" t="str">
        <f t="shared" si="44"/>
        <v/>
      </c>
      <c r="DC490" s="161" t="str">
        <f t="shared" si="48"/>
        <v/>
      </c>
      <c r="DD490" s="161" t="str">
        <f t="shared" si="48"/>
        <v/>
      </c>
      <c r="DE490" s="161" t="str">
        <f t="shared" si="48"/>
        <v/>
      </c>
      <c r="DF490" s="161" t="str">
        <f t="shared" si="48"/>
        <v/>
      </c>
      <c r="DG490" s="161" t="str">
        <f t="shared" si="48"/>
        <v/>
      </c>
      <c r="DH490" s="141"/>
      <c r="DI490" s="141"/>
      <c r="DJ490" s="141"/>
      <c r="DK490" s="141"/>
      <c r="DL490" s="141"/>
      <c r="DM490" s="141"/>
      <c r="DN490" s="163" t="str">
        <f t="shared" si="47"/>
        <v/>
      </c>
      <c r="DO490" s="164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0" t="str">
        <f>IF(ISBLANK(スキャン結果!C489),"",スキャン結果!C489)</f>
        <v/>
      </c>
      <c r="D491" s="161" t="str">
        <f>IF(ISBLANK(スキャン結果!D489),"",スキャン結果!D489)</f>
        <v/>
      </c>
      <c r="E491" s="161" t="str">
        <f>IF(ISBLANK(スキャン結果!E489),"",スキャン結果!E489)</f>
        <v/>
      </c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1" t="str">
        <f t="shared" si="44"/>
        <v/>
      </c>
      <c r="DC491" s="161" t="str">
        <f t="shared" si="48"/>
        <v/>
      </c>
      <c r="DD491" s="161" t="str">
        <f t="shared" si="48"/>
        <v/>
      </c>
      <c r="DE491" s="161" t="str">
        <f t="shared" si="48"/>
        <v/>
      </c>
      <c r="DF491" s="161" t="str">
        <f t="shared" si="48"/>
        <v/>
      </c>
      <c r="DG491" s="161" t="str">
        <f t="shared" si="48"/>
        <v/>
      </c>
      <c r="DH491" s="141"/>
      <c r="DI491" s="141"/>
      <c r="DJ491" s="141"/>
      <c r="DK491" s="141"/>
      <c r="DL491" s="141"/>
      <c r="DM491" s="141"/>
      <c r="DN491" s="163" t="str">
        <f t="shared" si="47"/>
        <v/>
      </c>
      <c r="DO491" s="164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0" t="str">
        <f>IF(ISBLANK(スキャン結果!C490),"",スキャン結果!C490)</f>
        <v/>
      </c>
      <c r="D492" s="161" t="str">
        <f>IF(ISBLANK(スキャン結果!D490),"",スキャン結果!D490)</f>
        <v/>
      </c>
      <c r="E492" s="161" t="str">
        <f>IF(ISBLANK(スキャン結果!E490),"",スキャン結果!E490)</f>
        <v/>
      </c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1" t="str">
        <f t="shared" si="44"/>
        <v/>
      </c>
      <c r="DC492" s="161" t="str">
        <f t="shared" si="48"/>
        <v/>
      </c>
      <c r="DD492" s="161" t="str">
        <f t="shared" si="48"/>
        <v/>
      </c>
      <c r="DE492" s="161" t="str">
        <f t="shared" si="48"/>
        <v/>
      </c>
      <c r="DF492" s="161" t="str">
        <f t="shared" si="48"/>
        <v/>
      </c>
      <c r="DG492" s="161" t="str">
        <f t="shared" si="48"/>
        <v/>
      </c>
      <c r="DH492" s="141"/>
      <c r="DI492" s="141"/>
      <c r="DJ492" s="141"/>
      <c r="DK492" s="141"/>
      <c r="DL492" s="141"/>
      <c r="DM492" s="141"/>
      <c r="DN492" s="163" t="str">
        <f t="shared" si="47"/>
        <v/>
      </c>
      <c r="DO492" s="164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0" t="str">
        <f>IF(ISBLANK(スキャン結果!C491),"",スキャン結果!C491)</f>
        <v/>
      </c>
      <c r="D493" s="161" t="str">
        <f>IF(ISBLANK(スキャン結果!D491),"",スキャン結果!D491)</f>
        <v/>
      </c>
      <c r="E493" s="161" t="str">
        <f>IF(ISBLANK(スキャン結果!E491),"",スキャン結果!E491)</f>
        <v/>
      </c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1" t="str">
        <f t="shared" si="44"/>
        <v/>
      </c>
      <c r="DC493" s="161" t="str">
        <f t="shared" si="48"/>
        <v/>
      </c>
      <c r="DD493" s="161" t="str">
        <f t="shared" si="48"/>
        <v/>
      </c>
      <c r="DE493" s="161" t="str">
        <f t="shared" si="48"/>
        <v/>
      </c>
      <c r="DF493" s="161" t="str">
        <f t="shared" si="48"/>
        <v/>
      </c>
      <c r="DG493" s="161" t="str">
        <f t="shared" si="48"/>
        <v/>
      </c>
      <c r="DH493" s="141"/>
      <c r="DI493" s="141"/>
      <c r="DJ493" s="141"/>
      <c r="DK493" s="141"/>
      <c r="DL493" s="141"/>
      <c r="DM493" s="141"/>
      <c r="DN493" s="163" t="str">
        <f t="shared" si="47"/>
        <v/>
      </c>
      <c r="DO493" s="164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0" t="str">
        <f>IF(ISBLANK(スキャン結果!C492),"",スキャン結果!C492)</f>
        <v/>
      </c>
      <c r="D494" s="161" t="str">
        <f>IF(ISBLANK(スキャン結果!D492),"",スキャン結果!D492)</f>
        <v/>
      </c>
      <c r="E494" s="161" t="str">
        <f>IF(ISBLANK(スキャン結果!E492),"",スキャン結果!E492)</f>
        <v/>
      </c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1" t="str">
        <f t="shared" si="44"/>
        <v/>
      </c>
      <c r="DC494" s="161" t="str">
        <f t="shared" si="48"/>
        <v/>
      </c>
      <c r="DD494" s="161" t="str">
        <f t="shared" si="48"/>
        <v/>
      </c>
      <c r="DE494" s="161" t="str">
        <f t="shared" si="48"/>
        <v/>
      </c>
      <c r="DF494" s="161" t="str">
        <f t="shared" si="48"/>
        <v/>
      </c>
      <c r="DG494" s="161" t="str">
        <f t="shared" si="48"/>
        <v/>
      </c>
      <c r="DH494" s="141"/>
      <c r="DI494" s="141"/>
      <c r="DJ494" s="141"/>
      <c r="DK494" s="141"/>
      <c r="DL494" s="141"/>
      <c r="DM494" s="141"/>
      <c r="DN494" s="163" t="str">
        <f t="shared" si="47"/>
        <v/>
      </c>
      <c r="DO494" s="164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0" t="str">
        <f>IF(ISBLANK(スキャン結果!C493),"",スキャン結果!C493)</f>
        <v/>
      </c>
      <c r="D495" s="161" t="str">
        <f>IF(ISBLANK(スキャン結果!D493),"",スキャン結果!D493)</f>
        <v/>
      </c>
      <c r="E495" s="161" t="str">
        <f>IF(ISBLANK(スキャン結果!E493),"",スキャン結果!E493)</f>
        <v/>
      </c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1" t="str">
        <f t="shared" si="44"/>
        <v/>
      </c>
      <c r="DC495" s="161" t="str">
        <f t="shared" si="48"/>
        <v/>
      </c>
      <c r="DD495" s="161" t="str">
        <f t="shared" si="48"/>
        <v/>
      </c>
      <c r="DE495" s="161" t="str">
        <f t="shared" si="48"/>
        <v/>
      </c>
      <c r="DF495" s="161" t="str">
        <f t="shared" si="48"/>
        <v/>
      </c>
      <c r="DG495" s="161" t="str">
        <f t="shared" si="48"/>
        <v/>
      </c>
      <c r="DH495" s="141"/>
      <c r="DI495" s="141"/>
      <c r="DJ495" s="141"/>
      <c r="DK495" s="141"/>
      <c r="DL495" s="141"/>
      <c r="DM495" s="141"/>
      <c r="DN495" s="163" t="str">
        <f t="shared" si="47"/>
        <v/>
      </c>
      <c r="DO495" s="164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0" t="str">
        <f>IF(ISBLANK(スキャン結果!C494),"",スキャン結果!C494)</f>
        <v/>
      </c>
      <c r="D496" s="161" t="str">
        <f>IF(ISBLANK(スキャン結果!D494),"",スキャン結果!D494)</f>
        <v/>
      </c>
      <c r="E496" s="161" t="str">
        <f>IF(ISBLANK(スキャン結果!E494),"",スキャン結果!E494)</f>
        <v/>
      </c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1" t="str">
        <f t="shared" si="44"/>
        <v/>
      </c>
      <c r="DC496" s="161" t="str">
        <f t="shared" si="48"/>
        <v/>
      </c>
      <c r="DD496" s="161" t="str">
        <f t="shared" si="48"/>
        <v/>
      </c>
      <c r="DE496" s="161" t="str">
        <f t="shared" si="48"/>
        <v/>
      </c>
      <c r="DF496" s="161" t="str">
        <f t="shared" si="48"/>
        <v/>
      </c>
      <c r="DG496" s="161" t="str">
        <f t="shared" si="48"/>
        <v/>
      </c>
      <c r="DH496" s="141"/>
      <c r="DI496" s="141"/>
      <c r="DJ496" s="141"/>
      <c r="DK496" s="141"/>
      <c r="DL496" s="141"/>
      <c r="DM496" s="141"/>
      <c r="DN496" s="163" t="str">
        <f t="shared" si="47"/>
        <v/>
      </c>
      <c r="DO496" s="164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0" t="str">
        <f>IF(ISBLANK(スキャン結果!C495),"",スキャン結果!C495)</f>
        <v/>
      </c>
      <c r="D497" s="161" t="str">
        <f>IF(ISBLANK(スキャン結果!D495),"",スキャン結果!D495)</f>
        <v/>
      </c>
      <c r="E497" s="161" t="str">
        <f>IF(ISBLANK(スキャン結果!E495),"",スキャン結果!E495)</f>
        <v/>
      </c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1" t="str">
        <f t="shared" ref="DB497:DB509" si="49">IF(OR($B497="",DB$4=""),"",SUMIF($F$3:$DA$4,DB$4,$F497:$DA497))</f>
        <v/>
      </c>
      <c r="DC497" s="161" t="str">
        <f t="shared" si="48"/>
        <v/>
      </c>
      <c r="DD497" s="161" t="str">
        <f t="shared" si="48"/>
        <v/>
      </c>
      <c r="DE497" s="161" t="str">
        <f t="shared" si="48"/>
        <v/>
      </c>
      <c r="DF497" s="161" t="str">
        <f t="shared" si="48"/>
        <v/>
      </c>
      <c r="DG497" s="161" t="str">
        <f t="shared" si="48"/>
        <v/>
      </c>
      <c r="DH497" s="141"/>
      <c r="DI497" s="141"/>
      <c r="DJ497" s="141"/>
      <c r="DK497" s="141"/>
      <c r="DL497" s="141"/>
      <c r="DM497" s="141"/>
      <c r="DN497" s="163" t="str">
        <f t="shared" si="47"/>
        <v/>
      </c>
      <c r="DO497" s="164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0" t="str">
        <f>IF(ISBLANK(スキャン結果!C496),"",スキャン結果!C496)</f>
        <v/>
      </c>
      <c r="D498" s="161" t="str">
        <f>IF(ISBLANK(スキャン結果!D496),"",スキャン結果!D496)</f>
        <v/>
      </c>
      <c r="E498" s="161" t="str">
        <f>IF(ISBLANK(スキャン結果!E496),"",スキャン結果!E496)</f>
        <v/>
      </c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1" t="str">
        <f t="shared" si="49"/>
        <v/>
      </c>
      <c r="DC498" s="161" t="str">
        <f t="shared" si="48"/>
        <v/>
      </c>
      <c r="DD498" s="161" t="str">
        <f t="shared" si="48"/>
        <v/>
      </c>
      <c r="DE498" s="161" t="str">
        <f t="shared" si="48"/>
        <v/>
      </c>
      <c r="DF498" s="161" t="str">
        <f t="shared" si="48"/>
        <v/>
      </c>
      <c r="DG498" s="161" t="str">
        <f t="shared" si="48"/>
        <v/>
      </c>
      <c r="DH498" s="141"/>
      <c r="DI498" s="141"/>
      <c r="DJ498" s="141"/>
      <c r="DK498" s="141"/>
      <c r="DL498" s="141"/>
      <c r="DM498" s="141"/>
      <c r="DN498" s="163" t="str">
        <f t="shared" si="47"/>
        <v/>
      </c>
      <c r="DO498" s="164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0" t="str">
        <f>IF(ISBLANK(スキャン結果!C497),"",スキャン結果!C497)</f>
        <v/>
      </c>
      <c r="D499" s="161" t="str">
        <f>IF(ISBLANK(スキャン結果!D497),"",スキャン結果!D497)</f>
        <v/>
      </c>
      <c r="E499" s="161" t="str">
        <f>IF(ISBLANK(スキャン結果!E497),"",スキャン結果!E497)</f>
        <v/>
      </c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1" t="str">
        <f t="shared" si="49"/>
        <v/>
      </c>
      <c r="DC499" s="161" t="str">
        <f t="shared" si="48"/>
        <v/>
      </c>
      <c r="DD499" s="161" t="str">
        <f t="shared" si="48"/>
        <v/>
      </c>
      <c r="DE499" s="161" t="str">
        <f t="shared" si="48"/>
        <v/>
      </c>
      <c r="DF499" s="161" t="str">
        <f t="shared" si="48"/>
        <v/>
      </c>
      <c r="DG499" s="161" t="str">
        <f t="shared" si="48"/>
        <v/>
      </c>
      <c r="DH499" s="141"/>
      <c r="DI499" s="141"/>
      <c r="DJ499" s="141"/>
      <c r="DK499" s="141"/>
      <c r="DL499" s="141"/>
      <c r="DM499" s="141"/>
      <c r="DN499" s="163" t="str">
        <f t="shared" si="47"/>
        <v/>
      </c>
      <c r="DO499" s="164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0" t="str">
        <f>IF(ISBLANK(スキャン結果!C498),"",スキャン結果!C498)</f>
        <v/>
      </c>
      <c r="D500" s="161" t="str">
        <f>IF(ISBLANK(スキャン結果!D498),"",スキャン結果!D498)</f>
        <v/>
      </c>
      <c r="E500" s="161" t="str">
        <f>IF(ISBLANK(スキャン結果!E498),"",スキャン結果!E498)</f>
        <v/>
      </c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1" t="str">
        <f t="shared" si="49"/>
        <v/>
      </c>
      <c r="DC500" s="161" t="str">
        <f t="shared" si="48"/>
        <v/>
      </c>
      <c r="DD500" s="161" t="str">
        <f t="shared" si="48"/>
        <v/>
      </c>
      <c r="DE500" s="161" t="str">
        <f t="shared" si="48"/>
        <v/>
      </c>
      <c r="DF500" s="161" t="str">
        <f t="shared" si="48"/>
        <v/>
      </c>
      <c r="DG500" s="161" t="str">
        <f t="shared" si="48"/>
        <v/>
      </c>
      <c r="DH500" s="141"/>
      <c r="DI500" s="141"/>
      <c r="DJ500" s="141"/>
      <c r="DK500" s="141"/>
      <c r="DL500" s="141"/>
      <c r="DM500" s="141"/>
      <c r="DN500" s="163" t="str">
        <f t="shared" si="47"/>
        <v/>
      </c>
      <c r="DO500" s="164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0" t="str">
        <f>IF(ISBLANK(スキャン結果!C499),"",スキャン結果!C499)</f>
        <v/>
      </c>
      <c r="D501" s="161" t="str">
        <f>IF(ISBLANK(スキャン結果!D499),"",スキャン結果!D499)</f>
        <v/>
      </c>
      <c r="E501" s="161" t="str">
        <f>IF(ISBLANK(スキャン結果!E499),"",スキャン結果!E499)</f>
        <v/>
      </c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1" t="str">
        <f t="shared" si="49"/>
        <v/>
      </c>
      <c r="DC501" s="161" t="str">
        <f t="shared" si="48"/>
        <v/>
      </c>
      <c r="DD501" s="161" t="str">
        <f t="shared" si="48"/>
        <v/>
      </c>
      <c r="DE501" s="161" t="str">
        <f t="shared" si="48"/>
        <v/>
      </c>
      <c r="DF501" s="161" t="str">
        <f t="shared" si="48"/>
        <v/>
      </c>
      <c r="DG501" s="161" t="str">
        <f t="shared" si="48"/>
        <v/>
      </c>
      <c r="DH501" s="141"/>
      <c r="DI501" s="141"/>
      <c r="DJ501" s="141"/>
      <c r="DK501" s="141"/>
      <c r="DL501" s="141"/>
      <c r="DM501" s="141"/>
      <c r="DN501" s="163" t="str">
        <f t="shared" si="47"/>
        <v/>
      </c>
      <c r="DO501" s="164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0" t="str">
        <f>IF(ISBLANK(スキャン結果!C500),"",スキャン結果!C500)</f>
        <v/>
      </c>
      <c r="D502" s="161" t="str">
        <f>IF(ISBLANK(スキャン結果!D500),"",スキャン結果!D500)</f>
        <v/>
      </c>
      <c r="E502" s="161" t="str">
        <f>IF(ISBLANK(スキャン結果!E500),"",スキャン結果!E500)</f>
        <v/>
      </c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1" t="str">
        <f t="shared" si="49"/>
        <v/>
      </c>
      <c r="DC502" s="161" t="str">
        <f t="shared" si="48"/>
        <v/>
      </c>
      <c r="DD502" s="161" t="str">
        <f t="shared" si="48"/>
        <v/>
      </c>
      <c r="DE502" s="161" t="str">
        <f t="shared" si="48"/>
        <v/>
      </c>
      <c r="DF502" s="161" t="str">
        <f t="shared" si="48"/>
        <v/>
      </c>
      <c r="DG502" s="161" t="str">
        <f t="shared" si="48"/>
        <v/>
      </c>
      <c r="DH502" s="141"/>
      <c r="DI502" s="141"/>
      <c r="DJ502" s="141"/>
      <c r="DK502" s="141"/>
      <c r="DL502" s="141"/>
      <c r="DM502" s="141"/>
      <c r="DN502" s="163" t="str">
        <f t="shared" si="47"/>
        <v/>
      </c>
      <c r="DO502" s="164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0" t="str">
        <f>IF(ISBLANK(スキャン結果!C501),"",スキャン結果!C501)</f>
        <v/>
      </c>
      <c r="D503" s="161" t="str">
        <f>IF(ISBLANK(スキャン結果!D501),"",スキャン結果!D501)</f>
        <v/>
      </c>
      <c r="E503" s="161" t="str">
        <f>IF(ISBLANK(スキャン結果!E501),"",スキャン結果!E501)</f>
        <v/>
      </c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1" t="str">
        <f t="shared" si="49"/>
        <v/>
      </c>
      <c r="DC503" s="161" t="str">
        <f t="shared" si="48"/>
        <v/>
      </c>
      <c r="DD503" s="161" t="str">
        <f t="shared" si="48"/>
        <v/>
      </c>
      <c r="DE503" s="161" t="str">
        <f t="shared" si="48"/>
        <v/>
      </c>
      <c r="DF503" s="161" t="str">
        <f t="shared" si="48"/>
        <v/>
      </c>
      <c r="DG503" s="161" t="str">
        <f t="shared" si="48"/>
        <v/>
      </c>
      <c r="DH503" s="141"/>
      <c r="DI503" s="141"/>
      <c r="DJ503" s="141"/>
      <c r="DK503" s="141"/>
      <c r="DL503" s="141"/>
      <c r="DM503" s="141"/>
      <c r="DN503" s="163" t="str">
        <f t="shared" si="47"/>
        <v/>
      </c>
      <c r="DO503" s="164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0" t="str">
        <f>IF(ISBLANK(スキャン結果!C502),"",スキャン結果!C502)</f>
        <v/>
      </c>
      <c r="D504" s="161" t="str">
        <f>IF(ISBLANK(スキャン結果!D502),"",スキャン結果!D502)</f>
        <v/>
      </c>
      <c r="E504" s="161" t="str">
        <f>IF(ISBLANK(スキャン結果!E502),"",スキャン結果!E502)</f>
        <v/>
      </c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1" t="str">
        <f t="shared" si="49"/>
        <v/>
      </c>
      <c r="DC504" s="161" t="str">
        <f t="shared" si="48"/>
        <v/>
      </c>
      <c r="DD504" s="161" t="str">
        <f t="shared" si="48"/>
        <v/>
      </c>
      <c r="DE504" s="161" t="str">
        <f t="shared" si="48"/>
        <v/>
      </c>
      <c r="DF504" s="161" t="str">
        <f t="shared" si="48"/>
        <v/>
      </c>
      <c r="DG504" s="161" t="str">
        <f t="shared" si="48"/>
        <v/>
      </c>
      <c r="DH504" s="141"/>
      <c r="DI504" s="141"/>
      <c r="DJ504" s="141"/>
      <c r="DK504" s="141"/>
      <c r="DL504" s="141"/>
      <c r="DM504" s="141"/>
      <c r="DN504" s="163" t="str">
        <f t="shared" si="47"/>
        <v/>
      </c>
      <c r="DO504" s="164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0" t="str">
        <f>IF(ISBLANK(スキャン結果!C503),"",スキャン結果!C503)</f>
        <v/>
      </c>
      <c r="D505" s="161" t="str">
        <f>IF(ISBLANK(スキャン結果!D503),"",スキャン結果!D503)</f>
        <v/>
      </c>
      <c r="E505" s="161" t="str">
        <f>IF(ISBLANK(スキャン結果!E503),"",スキャン結果!E503)</f>
        <v/>
      </c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1" t="str">
        <f t="shared" si="49"/>
        <v/>
      </c>
      <c r="DC505" s="161" t="str">
        <f t="shared" si="48"/>
        <v/>
      </c>
      <c r="DD505" s="161" t="str">
        <f t="shared" si="48"/>
        <v/>
      </c>
      <c r="DE505" s="161" t="str">
        <f t="shared" si="48"/>
        <v/>
      </c>
      <c r="DF505" s="161" t="str">
        <f t="shared" si="48"/>
        <v/>
      </c>
      <c r="DG505" s="161" t="str">
        <f t="shared" si="48"/>
        <v/>
      </c>
      <c r="DH505" s="141"/>
      <c r="DI505" s="141"/>
      <c r="DJ505" s="141"/>
      <c r="DK505" s="141"/>
      <c r="DL505" s="141"/>
      <c r="DM505" s="141"/>
      <c r="DN505" s="163" t="str">
        <f t="shared" si="47"/>
        <v/>
      </c>
      <c r="DO505" s="164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0" t="str">
        <f>IF(ISBLANK(スキャン結果!C504),"",スキャン結果!C504)</f>
        <v/>
      </c>
      <c r="D506" s="161" t="str">
        <f>IF(ISBLANK(スキャン結果!D504),"",スキャン結果!D504)</f>
        <v/>
      </c>
      <c r="E506" s="161" t="str">
        <f>IF(ISBLANK(スキャン結果!E504),"",スキャン結果!E504)</f>
        <v/>
      </c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1" t="str">
        <f t="shared" si="49"/>
        <v/>
      </c>
      <c r="DC506" s="161" t="str">
        <f t="shared" si="48"/>
        <v/>
      </c>
      <c r="DD506" s="161" t="str">
        <f t="shared" si="48"/>
        <v/>
      </c>
      <c r="DE506" s="161" t="str">
        <f t="shared" si="48"/>
        <v/>
      </c>
      <c r="DF506" s="161" t="str">
        <f t="shared" si="48"/>
        <v/>
      </c>
      <c r="DG506" s="161" t="str">
        <f t="shared" si="48"/>
        <v/>
      </c>
      <c r="DH506" s="141"/>
      <c r="DI506" s="141"/>
      <c r="DJ506" s="141"/>
      <c r="DK506" s="141"/>
      <c r="DL506" s="141"/>
      <c r="DM506" s="141"/>
      <c r="DN506" s="163" t="str">
        <f t="shared" si="47"/>
        <v/>
      </c>
      <c r="DO506" s="164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0" t="str">
        <f>IF(ISBLANK(スキャン結果!C505),"",スキャン結果!C505)</f>
        <v/>
      </c>
      <c r="D507" s="161" t="str">
        <f>IF(ISBLANK(スキャン結果!D505),"",スキャン結果!D505)</f>
        <v/>
      </c>
      <c r="E507" s="161" t="str">
        <f>IF(ISBLANK(スキャン結果!E505),"",スキャン結果!E505)</f>
        <v/>
      </c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1" t="str">
        <f t="shared" si="49"/>
        <v/>
      </c>
      <c r="DC507" s="161" t="str">
        <f t="shared" si="48"/>
        <v/>
      </c>
      <c r="DD507" s="161" t="str">
        <f t="shared" si="48"/>
        <v/>
      </c>
      <c r="DE507" s="161" t="str">
        <f t="shared" si="48"/>
        <v/>
      </c>
      <c r="DF507" s="161" t="str">
        <f t="shared" si="48"/>
        <v/>
      </c>
      <c r="DG507" s="161" t="str">
        <f t="shared" si="48"/>
        <v/>
      </c>
      <c r="DH507" s="141"/>
      <c r="DI507" s="141"/>
      <c r="DJ507" s="141"/>
      <c r="DK507" s="141"/>
      <c r="DL507" s="141"/>
      <c r="DM507" s="141"/>
      <c r="DN507" s="163" t="str">
        <f t="shared" si="47"/>
        <v/>
      </c>
      <c r="DO507" s="164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0" t="str">
        <f>IF(ISBLANK(スキャン結果!C506),"",スキャン結果!C506)</f>
        <v/>
      </c>
      <c r="D508" s="161" t="str">
        <f>IF(ISBLANK(スキャン結果!D506),"",スキャン結果!D506)</f>
        <v/>
      </c>
      <c r="E508" s="161" t="str">
        <f>IF(ISBLANK(スキャン結果!E506),"",スキャン結果!E506)</f>
        <v/>
      </c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  <c r="BO508" s="162"/>
      <c r="BP508" s="162"/>
      <c r="BQ508" s="162"/>
      <c r="BR508" s="162"/>
      <c r="BS508" s="162"/>
      <c r="BT508" s="162"/>
      <c r="BU508" s="162"/>
      <c r="BV508" s="162"/>
      <c r="BW508" s="162"/>
      <c r="BX508" s="162"/>
      <c r="BY508" s="162"/>
      <c r="BZ508" s="162"/>
      <c r="CA508" s="162"/>
      <c r="CB508" s="162"/>
      <c r="CC508" s="162"/>
      <c r="CD508" s="162"/>
      <c r="CE508" s="162"/>
      <c r="CF508" s="162"/>
      <c r="CG508" s="162"/>
      <c r="CH508" s="162"/>
      <c r="CI508" s="162"/>
      <c r="CJ508" s="162"/>
      <c r="CK508" s="162"/>
      <c r="CL508" s="162"/>
      <c r="CM508" s="162"/>
      <c r="CN508" s="162"/>
      <c r="CO508" s="162"/>
      <c r="CP508" s="162"/>
      <c r="CQ508" s="162"/>
      <c r="CR508" s="162"/>
      <c r="CS508" s="162"/>
      <c r="CT508" s="162"/>
      <c r="CU508" s="162"/>
      <c r="CV508" s="162"/>
      <c r="CW508" s="162"/>
      <c r="CX508" s="162"/>
      <c r="CY508" s="162"/>
      <c r="CZ508" s="162"/>
      <c r="DA508" s="162"/>
      <c r="DB508" s="161" t="str">
        <f t="shared" si="49"/>
        <v/>
      </c>
      <c r="DC508" s="161" t="str">
        <f t="shared" si="48"/>
        <v/>
      </c>
      <c r="DD508" s="161" t="str">
        <f t="shared" si="48"/>
        <v/>
      </c>
      <c r="DE508" s="161" t="str">
        <f t="shared" si="48"/>
        <v/>
      </c>
      <c r="DF508" s="161" t="str">
        <f t="shared" si="48"/>
        <v/>
      </c>
      <c r="DG508" s="161" t="str">
        <f t="shared" si="48"/>
        <v/>
      </c>
      <c r="DH508" s="141"/>
      <c r="DI508" s="141"/>
      <c r="DJ508" s="141"/>
      <c r="DK508" s="141"/>
      <c r="DL508" s="141"/>
      <c r="DM508" s="141"/>
      <c r="DN508" s="163" t="str">
        <f t="shared" si="47"/>
        <v/>
      </c>
      <c r="DO508" s="164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5" t="str">
        <f>IF(ISBLANK(スキャン結果!C507),"",スキャン結果!C507)</f>
        <v/>
      </c>
      <c r="D509" s="166" t="str">
        <f>IF(ISBLANK(スキャン結果!D507),"",スキャン結果!D507)</f>
        <v/>
      </c>
      <c r="E509" s="166" t="str">
        <f>IF(ISBLANK(スキャン結果!E507),"",スキャン結果!E507)</f>
        <v/>
      </c>
      <c r="F509" s="167"/>
      <c r="G509" s="167"/>
      <c r="H509" s="167"/>
      <c r="I509" s="167"/>
      <c r="J509" s="167"/>
      <c r="K509" s="167"/>
      <c r="L509" s="167"/>
      <c r="M509" s="167"/>
      <c r="N509" s="167"/>
      <c r="O509" s="167"/>
      <c r="P509" s="167"/>
      <c r="Q509" s="167"/>
      <c r="R509" s="167"/>
      <c r="S509" s="167"/>
      <c r="T509" s="167"/>
      <c r="U509" s="167"/>
      <c r="V509" s="167"/>
      <c r="W509" s="167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  <c r="AI509" s="167"/>
      <c r="AJ509" s="167"/>
      <c r="AK509" s="167"/>
      <c r="AL509" s="167"/>
      <c r="AM509" s="167"/>
      <c r="AN509" s="167"/>
      <c r="AO509" s="167"/>
      <c r="AP509" s="167"/>
      <c r="AQ509" s="167"/>
      <c r="AR509" s="167"/>
      <c r="AS509" s="167"/>
      <c r="AT509" s="167"/>
      <c r="AU509" s="167"/>
      <c r="AV509" s="167"/>
      <c r="AW509" s="167"/>
      <c r="AX509" s="167"/>
      <c r="AY509" s="167"/>
      <c r="AZ509" s="167"/>
      <c r="BA509" s="167"/>
      <c r="BB509" s="167"/>
      <c r="BC509" s="167"/>
      <c r="BD509" s="167"/>
      <c r="BE509" s="167"/>
      <c r="BF509" s="167"/>
      <c r="BG509" s="167"/>
      <c r="BH509" s="167"/>
      <c r="BI509" s="167"/>
      <c r="BJ509" s="167"/>
      <c r="BK509" s="167"/>
      <c r="BL509" s="167"/>
      <c r="BM509" s="167"/>
      <c r="BN509" s="167"/>
      <c r="BO509" s="167"/>
      <c r="BP509" s="167"/>
      <c r="BQ509" s="167"/>
      <c r="BR509" s="167"/>
      <c r="BS509" s="167"/>
      <c r="BT509" s="167"/>
      <c r="BU509" s="167"/>
      <c r="BV509" s="167"/>
      <c r="BW509" s="167"/>
      <c r="BX509" s="167"/>
      <c r="BY509" s="167"/>
      <c r="BZ509" s="167"/>
      <c r="CA509" s="167"/>
      <c r="CB509" s="167"/>
      <c r="CC509" s="167"/>
      <c r="CD509" s="167"/>
      <c r="CE509" s="167"/>
      <c r="CF509" s="167"/>
      <c r="CG509" s="167"/>
      <c r="CH509" s="167"/>
      <c r="CI509" s="167"/>
      <c r="CJ509" s="167"/>
      <c r="CK509" s="167"/>
      <c r="CL509" s="167"/>
      <c r="CM509" s="167"/>
      <c r="CN509" s="167"/>
      <c r="CO509" s="167"/>
      <c r="CP509" s="167"/>
      <c r="CQ509" s="167"/>
      <c r="CR509" s="167"/>
      <c r="CS509" s="167"/>
      <c r="CT509" s="167"/>
      <c r="CU509" s="167"/>
      <c r="CV509" s="167"/>
      <c r="CW509" s="167"/>
      <c r="CX509" s="167"/>
      <c r="CY509" s="167"/>
      <c r="CZ509" s="167"/>
      <c r="DA509" s="167"/>
      <c r="DB509" s="166" t="str">
        <f t="shared" si="49"/>
        <v/>
      </c>
      <c r="DC509" s="166" t="str">
        <f t="shared" si="48"/>
        <v/>
      </c>
      <c r="DD509" s="166" t="str">
        <f t="shared" si="48"/>
        <v/>
      </c>
      <c r="DE509" s="166" t="str">
        <f t="shared" si="48"/>
        <v/>
      </c>
      <c r="DF509" s="166" t="str">
        <f t="shared" si="48"/>
        <v/>
      </c>
      <c r="DG509" s="166" t="str">
        <f t="shared" si="48"/>
        <v/>
      </c>
      <c r="DH509" s="152"/>
      <c r="DI509" s="152"/>
      <c r="DJ509" s="152"/>
      <c r="DK509" s="152"/>
      <c r="DL509" s="152"/>
      <c r="DM509" s="152"/>
      <c r="DN509" s="168" t="str">
        <f t="shared" si="47"/>
        <v/>
      </c>
      <c r="DO509" s="169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4"/>
  <conditionalFormatting sqref="F14:DA509">
    <cfRule type="cellIs" dxfId="20" priority="7" operator="equal">
      <formula>"x"</formula>
    </cfRule>
    <cfRule type="containsBlanks" dxfId="19" priority="11">
      <formula>LEN(TRIM(F14))=0</formula>
    </cfRule>
  </conditionalFormatting>
  <conditionalFormatting sqref="DP14:DP509">
    <cfRule type="notContainsBlanks" dxfId="18" priority="6">
      <formula>LEN(TRIM(DP14))&gt;0</formula>
    </cfRule>
  </conditionalFormatting>
  <conditionalFormatting sqref="DB3:DG3">
    <cfRule type="containsText" dxfId="17" priority="5" operator="containsText" text="不足">
      <formula>NOT(ISERROR(SEARCH("不足",DB3)))</formula>
    </cfRule>
  </conditionalFormatting>
  <conditionalFormatting sqref="DB14:DM509">
    <cfRule type="cellIs" dxfId="16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5" priority="3">
      <formula>DH$4=""</formula>
    </cfRule>
  </conditionalFormatting>
  <conditionalFormatting sqref="DB4:DM4">
    <cfRule type="containsBlanks" dxfId="14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C13" sqref="C13:D13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06" t="s">
        <v>36</v>
      </c>
      <c r="D3" s="306"/>
      <c r="E3" s="306"/>
      <c r="F3" s="306">
        <f>IF(ISBLANK(初期設定!G6),"",初期設定!G6)</f>
        <v>1</v>
      </c>
      <c r="G3" s="306"/>
      <c r="H3" s="306">
        <f>IF(ISBLANK(初期設定!K6),"",初期設定!K6)</f>
        <v>2</v>
      </c>
      <c r="I3" s="306"/>
      <c r="J3" s="306">
        <f>IF(ISBLANK(初期設定!O6),"",初期設定!O6)</f>
        <v>3</v>
      </c>
      <c r="K3" s="306"/>
      <c r="L3" s="306">
        <f>IF(ISBLANK(初期設定!S6),"",初期設定!S6)</f>
        <v>4</v>
      </c>
      <c r="M3" s="306"/>
      <c r="N3" s="306">
        <f>IF(ISBLANK(初期設定!W6),"",初期設定!W6)</f>
        <v>5</v>
      </c>
      <c r="O3" s="306"/>
      <c r="P3" s="306">
        <f>IF(ISBLANK(初期設定!AA6),"",初期設定!AA6)</f>
        <v>6</v>
      </c>
      <c r="Q3" s="306"/>
      <c r="R3" s="306">
        <f>IF(ISBLANK(初期設定!AE6),"",初期設定!AE6)</f>
        <v>7</v>
      </c>
      <c r="S3" s="306"/>
      <c r="T3" s="306">
        <f>IF(ISBLANK(初期設定!AI6),"",初期設定!AI6)</f>
        <v>8</v>
      </c>
      <c r="U3" s="306"/>
      <c r="V3" s="306">
        <f>IF(ISBLANK(初期設定!AM6),"",初期設定!AM6)</f>
        <v>9</v>
      </c>
      <c r="W3" s="306"/>
      <c r="X3" s="306" t="str">
        <f>IF(ISBLANK(初期設定!AQ6),"",初期設定!AQ6)</f>
        <v/>
      </c>
      <c r="Y3" s="335"/>
      <c r="Z3" s="303" t="s">
        <v>56</v>
      </c>
      <c r="AA3" s="315"/>
    </row>
    <row r="4" spans="2:29">
      <c r="C4" s="306"/>
      <c r="D4" s="306"/>
      <c r="E4" s="306"/>
      <c r="F4" s="306"/>
      <c r="G4" s="306"/>
      <c r="H4" s="306"/>
      <c r="I4" s="306"/>
      <c r="J4" s="306"/>
      <c r="K4" s="306"/>
      <c r="L4" s="306"/>
      <c r="M4" s="306"/>
      <c r="N4" s="306"/>
      <c r="O4" s="306"/>
      <c r="P4" s="306"/>
      <c r="Q4" s="306"/>
      <c r="R4" s="306"/>
      <c r="S4" s="306"/>
      <c r="T4" s="306"/>
      <c r="U4" s="306"/>
      <c r="V4" s="306"/>
      <c r="W4" s="306"/>
      <c r="X4" s="306"/>
      <c r="Y4" s="335"/>
      <c r="Z4" s="305"/>
      <c r="AA4" s="316"/>
    </row>
    <row r="5" spans="2:29">
      <c r="C5" s="306" t="s">
        <v>53</v>
      </c>
      <c r="D5" s="306"/>
      <c r="E5" s="334" t="s">
        <v>32</v>
      </c>
      <c r="F5" s="320" t="str">
        <f>IFERROR(AVERAGEIFS(処理用データ!$E$3:$E$402,処理用データ!$B$3:$B$402,F3,処理用データ!$E$3:$E$402,"&lt;&gt;0"),"")</f>
        <v/>
      </c>
      <c r="G5" s="332"/>
      <c r="H5" s="320" t="str">
        <f>IFERROR(AVERAGEIFS(処理用データ!$E$3:$E$402,処理用データ!$B$3:$B$402,H3,処理用データ!$E$3:$E$402,"&lt;&gt;0"),"")</f>
        <v/>
      </c>
      <c r="I5" s="332"/>
      <c r="J5" s="320" t="str">
        <f>IFERROR(AVERAGEIFS(処理用データ!$E$3:$E$402,処理用データ!$B$3:$B$402,J3,処理用データ!$E$3:$E$402,"&lt;&gt;0"),"")</f>
        <v/>
      </c>
      <c r="K5" s="332"/>
      <c r="L5" s="320" t="str">
        <f>IFERROR(AVERAGEIFS(処理用データ!$E$3:$E$402,処理用データ!$B$3:$B$402,L3,処理用データ!$E$3:$E$402,"&lt;&gt;0"),"")</f>
        <v/>
      </c>
      <c r="M5" s="332"/>
      <c r="N5" s="320" t="str">
        <f>IFERROR(AVERAGEIFS(処理用データ!$E$3:$E$402,処理用データ!$B$3:$B$402,N3,処理用データ!$E$3:$E$402,"&lt;&gt;0"),"")</f>
        <v/>
      </c>
      <c r="O5" s="332"/>
      <c r="P5" s="320" t="str">
        <f>IFERROR(AVERAGEIFS(処理用データ!$E$3:$E$402,処理用データ!$B$3:$B$402,P3,処理用データ!$E$3:$E$402,"&lt;&gt;0"),"")</f>
        <v/>
      </c>
      <c r="Q5" s="332"/>
      <c r="R5" s="320" t="str">
        <f>IFERROR(AVERAGEIFS(処理用データ!$E$3:$E$402,処理用データ!$B$3:$B$402,R3,処理用データ!$E$3:$E$402,"&lt;&gt;0"),"")</f>
        <v/>
      </c>
      <c r="S5" s="332"/>
      <c r="T5" s="320" t="str">
        <f>IFERROR(AVERAGEIFS(処理用データ!$E$3:$E$402,処理用データ!$B$3:$B$402,T3,処理用データ!$E$3:$E$402,"&lt;&gt;0"),"")</f>
        <v/>
      </c>
      <c r="U5" s="332"/>
      <c r="V5" s="320" t="str">
        <f>IFERROR(AVERAGEIFS(処理用データ!$E$3:$E$402,処理用データ!$B$3:$B$402,V3,処理用データ!$E$3:$E$402,"&lt;&gt;0"),"")</f>
        <v/>
      </c>
      <c r="W5" s="332"/>
      <c r="X5" s="320" t="str">
        <f>IFERROR(AVERAGEIFS(処理用データ!$E$3:$E$402,処理用データ!$B$3:$B$402,X3,処理用データ!$E$3:$E$402,"&lt;&gt;0"),"")</f>
        <v/>
      </c>
      <c r="Y5" s="321"/>
      <c r="Z5" s="324" t="str">
        <f>IFERROR(AVERAGEIF(処理用データ!$E$3:$E$430,"&lt;&gt;0",処理用データ!$E$3:$E$430),"")</f>
        <v/>
      </c>
      <c r="AA5" s="325"/>
    </row>
    <row r="6" spans="2:29">
      <c r="C6" s="306"/>
      <c r="D6" s="306"/>
      <c r="E6" s="334"/>
      <c r="F6" s="322"/>
      <c r="G6" s="333"/>
      <c r="H6" s="322"/>
      <c r="I6" s="333"/>
      <c r="J6" s="322"/>
      <c r="K6" s="333"/>
      <c r="L6" s="322"/>
      <c r="M6" s="333"/>
      <c r="N6" s="322"/>
      <c r="O6" s="333"/>
      <c r="P6" s="322"/>
      <c r="Q6" s="333"/>
      <c r="R6" s="322"/>
      <c r="S6" s="333"/>
      <c r="T6" s="322"/>
      <c r="U6" s="333"/>
      <c r="V6" s="322"/>
      <c r="W6" s="333"/>
      <c r="X6" s="322"/>
      <c r="Y6" s="323"/>
      <c r="Z6" s="326"/>
      <c r="AA6" s="327"/>
    </row>
    <row r="7" spans="2:29">
      <c r="C7" s="306"/>
      <c r="D7" s="306"/>
      <c r="E7" s="334" t="s">
        <v>54</v>
      </c>
      <c r="F7" s="328" t="str">
        <f>IFERROR(AVERAGEIFS(処理用データ!$F$3:$F$402,処理用データ!$B$3:$B$402,F3,処理用データ!$F$3:$F$402,"&lt;&gt;0"),"")</f>
        <v/>
      </c>
      <c r="G7" s="329"/>
      <c r="H7" s="328" t="str">
        <f>IFERROR(AVERAGEIFS(処理用データ!$F$3:$F$402,処理用データ!$B$3:$B$402,H3,処理用データ!$F$3:$F$402,"&lt;&gt;0"),"")</f>
        <v/>
      </c>
      <c r="I7" s="329"/>
      <c r="J7" s="328" t="str">
        <f>IFERROR(AVERAGEIFS(処理用データ!$F$3:$F$402,処理用データ!$B$3:$B$402,J3,処理用データ!$F$3:$F$402,"&lt;&gt;0"),"")</f>
        <v/>
      </c>
      <c r="K7" s="329"/>
      <c r="L7" s="328" t="str">
        <f>IFERROR(AVERAGEIFS(処理用データ!$F$3:$F$402,処理用データ!$B$3:$B$402,L3,処理用データ!$F$3:$F$402,"&lt;&gt;0"),"")</f>
        <v/>
      </c>
      <c r="M7" s="329"/>
      <c r="N7" s="328" t="str">
        <f>IFERROR(AVERAGEIFS(処理用データ!$F$3:$F$402,処理用データ!$B$3:$B$402,N3,処理用データ!$F$3:$F$402,"&lt;&gt;0"),"")</f>
        <v/>
      </c>
      <c r="O7" s="329"/>
      <c r="P7" s="328" t="str">
        <f>IFERROR(AVERAGEIFS(処理用データ!$F$3:$F$402,処理用データ!$B$3:$B$402,P3,処理用データ!$F$3:$F$402,"&lt;&gt;0"),"")</f>
        <v/>
      </c>
      <c r="Q7" s="329"/>
      <c r="R7" s="328" t="str">
        <f>IFERROR(AVERAGEIFS(処理用データ!$F$3:$F$402,処理用データ!$B$3:$B$402,R3,処理用データ!$F$3:$F$402,"&lt;&gt;0"),"")</f>
        <v/>
      </c>
      <c r="S7" s="329"/>
      <c r="T7" s="328" t="str">
        <f>IFERROR(AVERAGEIFS(処理用データ!$F$3:$F$402,処理用データ!$B$3:$B$402,T3,処理用データ!$F$3:$F$402,"&lt;&gt;0"),"")</f>
        <v/>
      </c>
      <c r="U7" s="329"/>
      <c r="V7" s="328" t="str">
        <f>IFERROR(AVERAGEIFS(処理用データ!$F$3:$F$402,処理用データ!$B$3:$B$402,V3,処理用データ!$F$3:$F$402,"&lt;&gt;0"),"")</f>
        <v/>
      </c>
      <c r="W7" s="329"/>
      <c r="X7" s="328" t="str">
        <f>IFERROR(AVERAGEIFS(処理用データ!$F$3:$F$402,処理用データ!$B$3:$B$402,X3,処理用データ!$F$3:$F$402,"&lt;&gt;0"),"")</f>
        <v/>
      </c>
      <c r="Y7" s="336"/>
      <c r="Z7" s="338" t="str">
        <f>IFERROR(AVERAGEIF(処理用データ!$F$3:$F$430,"&lt;&gt;0",処理用データ!$F$3:$F$430),"")</f>
        <v/>
      </c>
      <c r="AA7" s="339"/>
    </row>
    <row r="8" spans="2:29" ht="15" thickBot="1">
      <c r="C8" s="306"/>
      <c r="D8" s="306"/>
      <c r="E8" s="334"/>
      <c r="F8" s="330"/>
      <c r="G8" s="331"/>
      <c r="H8" s="330"/>
      <c r="I8" s="331"/>
      <c r="J8" s="330"/>
      <c r="K8" s="331"/>
      <c r="L8" s="330"/>
      <c r="M8" s="331"/>
      <c r="N8" s="330"/>
      <c r="O8" s="331"/>
      <c r="P8" s="330"/>
      <c r="Q8" s="331"/>
      <c r="R8" s="330"/>
      <c r="S8" s="331"/>
      <c r="T8" s="330"/>
      <c r="U8" s="331"/>
      <c r="V8" s="330"/>
      <c r="W8" s="331"/>
      <c r="X8" s="330"/>
      <c r="Y8" s="337"/>
      <c r="Z8" s="340"/>
      <c r="AA8" s="341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03" t="s">
        <v>21</v>
      </c>
      <c r="D11" s="304"/>
      <c r="E11" s="304" t="s">
        <v>55</v>
      </c>
      <c r="F11" s="304"/>
      <c r="G11" s="315"/>
      <c r="H11" s="29"/>
      <c r="I11" s="29"/>
      <c r="J11" s="303" t="s">
        <v>21</v>
      </c>
      <c r="K11" s="304"/>
      <c r="L11" s="304" t="s">
        <v>55</v>
      </c>
      <c r="M11" s="304"/>
      <c r="N11" s="315"/>
      <c r="O11" s="29"/>
      <c r="P11" s="29"/>
      <c r="Q11" s="303" t="s">
        <v>21</v>
      </c>
      <c r="R11" s="304"/>
      <c r="S11" s="304" t="s">
        <v>55</v>
      </c>
      <c r="T11" s="304"/>
      <c r="U11" s="315"/>
      <c r="V11" s="29"/>
      <c r="W11" s="29"/>
      <c r="X11" s="303" t="s">
        <v>21</v>
      </c>
      <c r="Y11" s="304"/>
      <c r="Z11" s="304" t="s">
        <v>55</v>
      </c>
      <c r="AA11" s="304"/>
      <c r="AB11" s="315"/>
    </row>
    <row r="12" spans="2:29">
      <c r="C12" s="305"/>
      <c r="D12" s="306"/>
      <c r="E12" s="306"/>
      <c r="F12" s="306"/>
      <c r="G12" s="316"/>
      <c r="H12" s="29"/>
      <c r="I12" s="29"/>
      <c r="J12" s="305"/>
      <c r="K12" s="306"/>
      <c r="L12" s="306"/>
      <c r="M12" s="306"/>
      <c r="N12" s="316"/>
      <c r="O12" s="29"/>
      <c r="P12" s="29"/>
      <c r="Q12" s="305"/>
      <c r="R12" s="306"/>
      <c r="S12" s="306"/>
      <c r="T12" s="306"/>
      <c r="U12" s="316"/>
      <c r="V12" s="29"/>
      <c r="W12" s="29"/>
      <c r="X12" s="305"/>
      <c r="Y12" s="306"/>
      <c r="Z12" s="306"/>
      <c r="AA12" s="306"/>
      <c r="AB12" s="316"/>
    </row>
    <row r="13" spans="2:29">
      <c r="B13" s="33">
        <v>0</v>
      </c>
      <c r="C13" s="307" t="str">
        <f>IF(ISBLANK(解答設定!B20),"",解答設定!B20)</f>
        <v/>
      </c>
      <c r="D13" s="276"/>
      <c r="E13" s="308" t="str">
        <f ca="1">OFFSET(採点!F510,-平均!B13,平均!B13)</f>
        <v/>
      </c>
      <c r="F13" s="309"/>
      <c r="G13" s="310"/>
      <c r="H13" s="29"/>
      <c r="I13" s="33">
        <v>30</v>
      </c>
      <c r="J13" s="307" t="str">
        <f>IF(ISBLANK(解答設定!B50),"",解答設定!B50)</f>
        <v/>
      </c>
      <c r="K13" s="276"/>
      <c r="L13" s="300" t="str">
        <f ca="1">OFFSET(採点!F540,-I13,I13)</f>
        <v/>
      </c>
      <c r="M13" s="301"/>
      <c r="N13" s="302"/>
      <c r="O13" s="29"/>
      <c r="P13" s="33">
        <v>60</v>
      </c>
      <c r="Q13" s="307" t="str">
        <f>IF(ISBLANK(解答設定!B80),"",解答設定!B80)</f>
        <v/>
      </c>
      <c r="R13" s="276"/>
      <c r="S13" s="300" t="str">
        <f ca="1">OFFSET(採点!F570,-P13,P13)</f>
        <v/>
      </c>
      <c r="T13" s="301"/>
      <c r="U13" s="302"/>
      <c r="V13" s="29"/>
      <c r="W13" s="33">
        <v>90</v>
      </c>
      <c r="X13" s="307" t="str">
        <f>IF(ISBLANK(解答設定!B110),"",解答設定!B110)</f>
        <v/>
      </c>
      <c r="Y13" s="276"/>
      <c r="Z13" s="300" t="str">
        <f ca="1">OFFSET(採点!F600,-W13,W13)</f>
        <v/>
      </c>
      <c r="AA13" s="301"/>
      <c r="AB13" s="302"/>
      <c r="AC13" s="29"/>
    </row>
    <row r="14" spans="2:29">
      <c r="B14" s="33">
        <v>1</v>
      </c>
      <c r="C14" s="307" t="str">
        <f>IF(ISBLANK(解答設定!B21),"",解答設定!B21)</f>
        <v/>
      </c>
      <c r="D14" s="276"/>
      <c r="E14" s="308" t="str">
        <f ca="1">OFFSET(採点!F511,-平均!B14,平均!B14)</f>
        <v/>
      </c>
      <c r="F14" s="309"/>
      <c r="G14" s="310"/>
      <c r="H14" s="29"/>
      <c r="I14" s="33">
        <v>31</v>
      </c>
      <c r="J14" s="298" t="str">
        <f>IF(ISBLANK(解答設定!B51),"",解答設定!B51)</f>
        <v/>
      </c>
      <c r="K14" s="299"/>
      <c r="L14" s="300" t="str">
        <f ca="1">OFFSET(採点!F541,-I14,I14)</f>
        <v/>
      </c>
      <c r="M14" s="301"/>
      <c r="N14" s="302"/>
      <c r="O14" s="29"/>
      <c r="P14" s="33">
        <v>61</v>
      </c>
      <c r="Q14" s="298" t="str">
        <f>IF(ISBLANK(解答設定!B81),"",解答設定!B81)</f>
        <v/>
      </c>
      <c r="R14" s="299"/>
      <c r="S14" s="300" t="str">
        <f ca="1">OFFSET(採点!F571,-P14,P14)</f>
        <v/>
      </c>
      <c r="T14" s="301"/>
      <c r="U14" s="302"/>
      <c r="V14" s="29"/>
      <c r="W14" s="33">
        <v>91</v>
      </c>
      <c r="X14" s="298" t="str">
        <f>IF(ISBLANK(解答設定!B111),"",解答設定!B111)</f>
        <v/>
      </c>
      <c r="Y14" s="299"/>
      <c r="Z14" s="300" t="str">
        <f ca="1">OFFSET(採点!F601,-W14,W14)</f>
        <v/>
      </c>
      <c r="AA14" s="301"/>
      <c r="AB14" s="302"/>
      <c r="AC14" s="29"/>
    </row>
    <row r="15" spans="2:29">
      <c r="B15" s="33">
        <v>2</v>
      </c>
      <c r="C15" s="307" t="str">
        <f>IF(ISBLANK(解答設定!B22),"",解答設定!B22)</f>
        <v/>
      </c>
      <c r="D15" s="276"/>
      <c r="E15" s="308" t="str">
        <f ca="1">OFFSET(採点!F512,-平均!B15,平均!B15)</f>
        <v/>
      </c>
      <c r="F15" s="309"/>
      <c r="G15" s="310"/>
      <c r="H15" s="29"/>
      <c r="I15" s="33">
        <v>32</v>
      </c>
      <c r="J15" s="298" t="str">
        <f>IF(ISBLANK(解答設定!B52),"",解答設定!B52)</f>
        <v/>
      </c>
      <c r="K15" s="299"/>
      <c r="L15" s="300" t="str">
        <f ca="1">OFFSET(採点!F542,-I15,I15)</f>
        <v/>
      </c>
      <c r="M15" s="301"/>
      <c r="N15" s="302"/>
      <c r="O15" s="29"/>
      <c r="P15" s="33">
        <v>62</v>
      </c>
      <c r="Q15" s="298" t="str">
        <f>IF(ISBLANK(解答設定!B82),"",解答設定!B82)</f>
        <v/>
      </c>
      <c r="R15" s="299"/>
      <c r="S15" s="300" t="str">
        <f ca="1">OFFSET(採点!F572,-P15,P15)</f>
        <v/>
      </c>
      <c r="T15" s="301"/>
      <c r="U15" s="302"/>
      <c r="V15" s="29"/>
      <c r="W15" s="33">
        <v>92</v>
      </c>
      <c r="X15" s="298" t="str">
        <f>IF(ISBLANK(解答設定!B112),"",解答設定!B112)</f>
        <v/>
      </c>
      <c r="Y15" s="299"/>
      <c r="Z15" s="300" t="str">
        <f ca="1">OFFSET(採点!F602,-W15,W15)</f>
        <v/>
      </c>
      <c r="AA15" s="301"/>
      <c r="AB15" s="302"/>
      <c r="AC15" s="29"/>
    </row>
    <row r="16" spans="2:29">
      <c r="B16" s="33">
        <v>3</v>
      </c>
      <c r="C16" s="307" t="str">
        <f>IF(ISBLANK(解答設定!B23),"",解答設定!B23)</f>
        <v/>
      </c>
      <c r="D16" s="276"/>
      <c r="E16" s="308" t="str">
        <f ca="1">OFFSET(採点!F513,-平均!B16,平均!B16)</f>
        <v/>
      </c>
      <c r="F16" s="309"/>
      <c r="G16" s="310"/>
      <c r="H16" s="29"/>
      <c r="I16" s="33">
        <v>33</v>
      </c>
      <c r="J16" s="298" t="str">
        <f>IF(ISBLANK(解答設定!B53),"",解答設定!B53)</f>
        <v/>
      </c>
      <c r="K16" s="299"/>
      <c r="L16" s="300" t="str">
        <f ca="1">OFFSET(採点!F543,-I16,I16)</f>
        <v/>
      </c>
      <c r="M16" s="301"/>
      <c r="N16" s="302"/>
      <c r="O16" s="29"/>
      <c r="P16" s="33">
        <v>63</v>
      </c>
      <c r="Q16" s="298" t="str">
        <f>IF(ISBLANK(解答設定!B83),"",解答設定!B83)</f>
        <v/>
      </c>
      <c r="R16" s="299"/>
      <c r="S16" s="300" t="str">
        <f ca="1">OFFSET(採点!F573,-P16,P16)</f>
        <v/>
      </c>
      <c r="T16" s="301"/>
      <c r="U16" s="302"/>
      <c r="V16" s="29"/>
      <c r="W16" s="33">
        <v>93</v>
      </c>
      <c r="X16" s="298" t="str">
        <f>IF(ISBLANK(解答設定!B113),"",解答設定!B113)</f>
        <v/>
      </c>
      <c r="Y16" s="299"/>
      <c r="Z16" s="300" t="str">
        <f ca="1">OFFSET(採点!F603,-W16,W16)</f>
        <v/>
      </c>
      <c r="AA16" s="301"/>
      <c r="AB16" s="302"/>
      <c r="AC16" s="29"/>
    </row>
    <row r="17" spans="2:29">
      <c r="B17" s="33">
        <v>4</v>
      </c>
      <c r="C17" s="307" t="str">
        <f>IF(ISBLANK(解答設定!B24),"",解答設定!B24)</f>
        <v/>
      </c>
      <c r="D17" s="276"/>
      <c r="E17" s="308" t="str">
        <f ca="1">OFFSET(採点!F514,-平均!B17,平均!B17)</f>
        <v/>
      </c>
      <c r="F17" s="309"/>
      <c r="G17" s="310"/>
      <c r="H17" s="29"/>
      <c r="I17" s="33">
        <v>34</v>
      </c>
      <c r="J17" s="298" t="str">
        <f>IF(ISBLANK(解答設定!B54),"",解答設定!B54)</f>
        <v/>
      </c>
      <c r="K17" s="299"/>
      <c r="L17" s="300" t="str">
        <f ca="1">OFFSET(採点!F544,-I17,I17)</f>
        <v/>
      </c>
      <c r="M17" s="301"/>
      <c r="N17" s="302"/>
      <c r="O17" s="29"/>
      <c r="P17" s="33">
        <v>64</v>
      </c>
      <c r="Q17" s="298" t="str">
        <f>IF(ISBLANK(解答設定!B84),"",解答設定!B84)</f>
        <v/>
      </c>
      <c r="R17" s="299"/>
      <c r="S17" s="300" t="str">
        <f ca="1">OFFSET(採点!F574,-P17,P17)</f>
        <v/>
      </c>
      <c r="T17" s="301"/>
      <c r="U17" s="302"/>
      <c r="V17" s="29"/>
      <c r="W17" s="33">
        <v>94</v>
      </c>
      <c r="X17" s="298" t="str">
        <f>IF(ISBLANK(解答設定!B114),"",解答設定!B114)</f>
        <v/>
      </c>
      <c r="Y17" s="299"/>
      <c r="Z17" s="300" t="str">
        <f ca="1">OFFSET(採点!F604,-W17,W17)</f>
        <v/>
      </c>
      <c r="AA17" s="301"/>
      <c r="AB17" s="302"/>
      <c r="AC17" s="29"/>
    </row>
    <row r="18" spans="2:29">
      <c r="B18" s="33">
        <v>5</v>
      </c>
      <c r="C18" s="307" t="str">
        <f>IF(ISBLANK(解答設定!B25),"",解答設定!B25)</f>
        <v/>
      </c>
      <c r="D18" s="276"/>
      <c r="E18" s="308" t="str">
        <f ca="1">OFFSET(採点!F515,-平均!B18,平均!B18)</f>
        <v/>
      </c>
      <c r="F18" s="309"/>
      <c r="G18" s="310"/>
      <c r="H18" s="29"/>
      <c r="I18" s="33">
        <v>35</v>
      </c>
      <c r="J18" s="298" t="str">
        <f>IF(ISBLANK(解答設定!B55),"",解答設定!B55)</f>
        <v/>
      </c>
      <c r="K18" s="299"/>
      <c r="L18" s="300" t="str">
        <f ca="1">OFFSET(採点!F545,-I18,I18)</f>
        <v/>
      </c>
      <c r="M18" s="301"/>
      <c r="N18" s="302"/>
      <c r="O18" s="29"/>
      <c r="P18" s="33">
        <v>65</v>
      </c>
      <c r="Q18" s="298" t="str">
        <f>IF(ISBLANK(解答設定!B85),"",解答設定!B85)</f>
        <v/>
      </c>
      <c r="R18" s="299"/>
      <c r="S18" s="300" t="str">
        <f ca="1">OFFSET(採点!F575,-P18,P18)</f>
        <v/>
      </c>
      <c r="T18" s="301"/>
      <c r="U18" s="302"/>
      <c r="V18" s="29"/>
      <c r="W18" s="33">
        <v>95</v>
      </c>
      <c r="X18" s="298" t="str">
        <f>IF(ISBLANK(解答設定!B115),"",解答設定!B115)</f>
        <v/>
      </c>
      <c r="Y18" s="299"/>
      <c r="Z18" s="300" t="str">
        <f ca="1">OFFSET(採点!F605,-W18,W18)</f>
        <v/>
      </c>
      <c r="AA18" s="301"/>
      <c r="AB18" s="302"/>
      <c r="AC18" s="29"/>
    </row>
    <row r="19" spans="2:29">
      <c r="B19" s="33">
        <v>6</v>
      </c>
      <c r="C19" s="307" t="str">
        <f>IF(ISBLANK(解答設定!B26),"",解答設定!B26)</f>
        <v/>
      </c>
      <c r="D19" s="276"/>
      <c r="E19" s="308" t="str">
        <f ca="1">OFFSET(採点!F516,-平均!B19,平均!B19)</f>
        <v/>
      </c>
      <c r="F19" s="309"/>
      <c r="G19" s="310"/>
      <c r="H19" s="29"/>
      <c r="I19" s="33">
        <v>36</v>
      </c>
      <c r="J19" s="298" t="str">
        <f>IF(ISBLANK(解答設定!B56),"",解答設定!B56)</f>
        <v/>
      </c>
      <c r="K19" s="299"/>
      <c r="L19" s="300" t="str">
        <f ca="1">OFFSET(採点!F546,-I19,I19)</f>
        <v/>
      </c>
      <c r="M19" s="301"/>
      <c r="N19" s="302"/>
      <c r="O19" s="29"/>
      <c r="P19" s="33">
        <v>66</v>
      </c>
      <c r="Q19" s="298" t="str">
        <f>IF(ISBLANK(解答設定!B86),"",解答設定!B86)</f>
        <v/>
      </c>
      <c r="R19" s="299"/>
      <c r="S19" s="300" t="str">
        <f ca="1">OFFSET(採点!F576,-P19,P19)</f>
        <v/>
      </c>
      <c r="T19" s="301"/>
      <c r="U19" s="302"/>
      <c r="V19" s="29"/>
      <c r="W19" s="33">
        <v>96</v>
      </c>
      <c r="X19" s="298" t="str">
        <f>IF(ISBLANK(解答設定!B116),"",解答設定!B116)</f>
        <v/>
      </c>
      <c r="Y19" s="299"/>
      <c r="Z19" s="300" t="str">
        <f ca="1">OFFSET(採点!F606,-W19,W19)</f>
        <v/>
      </c>
      <c r="AA19" s="301"/>
      <c r="AB19" s="302"/>
      <c r="AC19" s="29"/>
    </row>
    <row r="20" spans="2:29">
      <c r="B20" s="33">
        <v>7</v>
      </c>
      <c r="C20" s="307" t="str">
        <f>IF(ISBLANK(解答設定!B27),"",解答設定!B27)</f>
        <v/>
      </c>
      <c r="D20" s="276"/>
      <c r="E20" s="308" t="str">
        <f ca="1">OFFSET(採点!F517,-平均!B20,平均!B20)</f>
        <v/>
      </c>
      <c r="F20" s="309"/>
      <c r="G20" s="310"/>
      <c r="H20" s="29"/>
      <c r="I20" s="33">
        <v>37</v>
      </c>
      <c r="J20" s="298" t="str">
        <f>IF(ISBLANK(解答設定!B57),"",解答設定!B57)</f>
        <v/>
      </c>
      <c r="K20" s="299"/>
      <c r="L20" s="300" t="str">
        <f ca="1">OFFSET(採点!F547,-I20,I20)</f>
        <v/>
      </c>
      <c r="M20" s="301"/>
      <c r="N20" s="302"/>
      <c r="O20" s="29"/>
      <c r="P20" s="33">
        <v>67</v>
      </c>
      <c r="Q20" s="298" t="str">
        <f>IF(ISBLANK(解答設定!B87),"",解答設定!B87)</f>
        <v/>
      </c>
      <c r="R20" s="299"/>
      <c r="S20" s="300" t="str">
        <f ca="1">OFFSET(採点!F577,-P20,P20)</f>
        <v/>
      </c>
      <c r="T20" s="301"/>
      <c r="U20" s="302"/>
      <c r="V20" s="29"/>
      <c r="W20" s="33">
        <v>97</v>
      </c>
      <c r="X20" s="298" t="str">
        <f>IF(ISBLANK(解答設定!B117),"",解答設定!B117)</f>
        <v/>
      </c>
      <c r="Y20" s="299"/>
      <c r="Z20" s="300" t="str">
        <f ca="1">OFFSET(採点!F607,-W20,W20)</f>
        <v/>
      </c>
      <c r="AA20" s="301"/>
      <c r="AB20" s="302"/>
      <c r="AC20" s="29"/>
    </row>
    <row r="21" spans="2:29">
      <c r="B21" s="33">
        <v>8</v>
      </c>
      <c r="C21" s="307" t="str">
        <f>IF(ISBLANK(解答設定!B28),"",解答設定!B28)</f>
        <v/>
      </c>
      <c r="D21" s="276"/>
      <c r="E21" s="308" t="str">
        <f ca="1">OFFSET(採点!F518,-平均!B21,平均!B21)</f>
        <v/>
      </c>
      <c r="F21" s="309"/>
      <c r="G21" s="310"/>
      <c r="H21" s="29"/>
      <c r="I21" s="33">
        <v>38</v>
      </c>
      <c r="J21" s="298" t="str">
        <f>IF(ISBLANK(解答設定!B58),"",解答設定!B58)</f>
        <v/>
      </c>
      <c r="K21" s="299"/>
      <c r="L21" s="300" t="str">
        <f ca="1">OFFSET(採点!F548,-I21,I21)</f>
        <v/>
      </c>
      <c r="M21" s="301"/>
      <c r="N21" s="302"/>
      <c r="O21" s="29"/>
      <c r="P21" s="33">
        <v>68</v>
      </c>
      <c r="Q21" s="298" t="str">
        <f>IF(ISBLANK(解答設定!B88),"",解答設定!B88)</f>
        <v/>
      </c>
      <c r="R21" s="299"/>
      <c r="S21" s="300" t="str">
        <f ca="1">OFFSET(採点!F578,-P21,P21)</f>
        <v/>
      </c>
      <c r="T21" s="301"/>
      <c r="U21" s="302"/>
      <c r="V21" s="29"/>
      <c r="W21" s="33">
        <v>98</v>
      </c>
      <c r="X21" s="298" t="str">
        <f>IF(ISBLANK(解答設定!B118),"",解答設定!B118)</f>
        <v/>
      </c>
      <c r="Y21" s="299"/>
      <c r="Z21" s="300" t="str">
        <f ca="1">OFFSET(採点!F608,-W21,W21)</f>
        <v/>
      </c>
      <c r="AA21" s="301"/>
      <c r="AB21" s="302"/>
      <c r="AC21" s="29"/>
    </row>
    <row r="22" spans="2:29" ht="15" thickBot="1">
      <c r="B22" s="33">
        <v>9</v>
      </c>
      <c r="C22" s="307" t="str">
        <f>IF(ISBLANK(解答設定!B29),"",解答設定!B29)</f>
        <v/>
      </c>
      <c r="D22" s="276"/>
      <c r="E22" s="308" t="str">
        <f ca="1">OFFSET(採点!F519,-平均!B22,平均!B22)</f>
        <v/>
      </c>
      <c r="F22" s="309"/>
      <c r="G22" s="310"/>
      <c r="H22" s="29"/>
      <c r="I22" s="33">
        <v>39</v>
      </c>
      <c r="J22" s="298" t="str">
        <f>IF(ISBLANK(解答設定!B59),"",解答設定!B59)</f>
        <v/>
      </c>
      <c r="K22" s="299"/>
      <c r="L22" s="300" t="str">
        <f ca="1">OFFSET(採点!F549,-I22,I22)</f>
        <v/>
      </c>
      <c r="M22" s="301"/>
      <c r="N22" s="302"/>
      <c r="O22" s="29"/>
      <c r="P22" s="33">
        <v>69</v>
      </c>
      <c r="Q22" s="298" t="str">
        <f>IF(ISBLANK(解答設定!B89),"",解答設定!B89)</f>
        <v/>
      </c>
      <c r="R22" s="299"/>
      <c r="S22" s="300" t="str">
        <f ca="1">OFFSET(採点!F579,-P22,P22)</f>
        <v/>
      </c>
      <c r="T22" s="301"/>
      <c r="U22" s="302"/>
      <c r="V22" s="29"/>
      <c r="W22" s="33">
        <v>99</v>
      </c>
      <c r="X22" s="345" t="str">
        <f>IF(ISBLANK(解答設定!B119),"",解答設定!B119)</f>
        <v/>
      </c>
      <c r="Y22" s="346"/>
      <c r="Z22" s="342" t="str">
        <f ca="1">OFFSET(採点!F609,-W22,W22)</f>
        <v/>
      </c>
      <c r="AA22" s="343"/>
      <c r="AB22" s="344"/>
      <c r="AC22" s="29"/>
    </row>
    <row r="23" spans="2:29">
      <c r="B23" s="33">
        <v>10</v>
      </c>
      <c r="C23" s="307" t="str">
        <f>IF(ISBLANK(解答設定!B30),"",解答設定!B30)</f>
        <v/>
      </c>
      <c r="D23" s="276"/>
      <c r="E23" s="308" t="str">
        <f ca="1">OFFSET(採点!F520,-平均!B23,平均!B23)</f>
        <v/>
      </c>
      <c r="F23" s="309"/>
      <c r="G23" s="310"/>
      <c r="H23" s="29"/>
      <c r="I23" s="33">
        <v>40</v>
      </c>
      <c r="J23" s="298" t="str">
        <f>IF(ISBLANK(解答設定!B60),"",解答設定!B60)</f>
        <v/>
      </c>
      <c r="K23" s="299"/>
      <c r="L23" s="300" t="str">
        <f ca="1">OFFSET(採点!F550,-I23,I23)</f>
        <v/>
      </c>
      <c r="M23" s="301"/>
      <c r="N23" s="302"/>
      <c r="O23" s="29"/>
      <c r="P23" s="33">
        <v>70</v>
      </c>
      <c r="Q23" s="298" t="str">
        <f>IF(ISBLANK(解答設定!B90),"",解答設定!B90)</f>
        <v/>
      </c>
      <c r="R23" s="299"/>
      <c r="S23" s="300" t="str">
        <f ca="1">OFFSET(採点!F580,-P23,P23)</f>
        <v/>
      </c>
      <c r="T23" s="301"/>
      <c r="U23" s="302"/>
      <c r="V23" s="29"/>
      <c r="W23" s="29"/>
      <c r="X23" s="297"/>
      <c r="Y23" s="297"/>
      <c r="Z23" s="297"/>
      <c r="AA23" s="297"/>
      <c r="AB23" s="30"/>
      <c r="AC23" s="29"/>
    </row>
    <row r="24" spans="2:29">
      <c r="B24" s="33">
        <v>11</v>
      </c>
      <c r="C24" s="307" t="str">
        <f>IF(ISBLANK(解答設定!B31),"",解答設定!B31)</f>
        <v/>
      </c>
      <c r="D24" s="276"/>
      <c r="E24" s="308" t="str">
        <f ca="1">OFFSET(採点!F521,-平均!B24,平均!B24)</f>
        <v/>
      </c>
      <c r="F24" s="309"/>
      <c r="G24" s="310"/>
      <c r="H24" s="29"/>
      <c r="I24" s="33">
        <v>41</v>
      </c>
      <c r="J24" s="298" t="str">
        <f>IF(ISBLANK(解答設定!B61),"",解答設定!B61)</f>
        <v/>
      </c>
      <c r="K24" s="299"/>
      <c r="L24" s="300" t="str">
        <f ca="1">OFFSET(採点!F551,-I24,I24)</f>
        <v/>
      </c>
      <c r="M24" s="301"/>
      <c r="N24" s="302"/>
      <c r="O24" s="29"/>
      <c r="P24" s="33">
        <v>71</v>
      </c>
      <c r="Q24" s="298" t="str">
        <f>IF(ISBLANK(解答設定!B91),"",解答設定!B91)</f>
        <v/>
      </c>
      <c r="R24" s="299"/>
      <c r="S24" s="300" t="str">
        <f ca="1">OFFSET(採点!F581,-P24,P24)</f>
        <v/>
      </c>
      <c r="T24" s="301"/>
      <c r="U24" s="302"/>
      <c r="V24" s="29"/>
      <c r="W24" s="29"/>
      <c r="X24" s="297"/>
      <c r="Y24" s="297"/>
      <c r="Z24" s="297"/>
      <c r="AA24" s="297"/>
      <c r="AB24" s="30"/>
      <c r="AC24" s="29"/>
    </row>
    <row r="25" spans="2:29">
      <c r="B25" s="33">
        <v>12</v>
      </c>
      <c r="C25" s="307" t="str">
        <f>IF(ISBLANK(解答設定!B32),"",解答設定!B32)</f>
        <v/>
      </c>
      <c r="D25" s="276"/>
      <c r="E25" s="308" t="str">
        <f ca="1">OFFSET(採点!F522,-平均!B25,平均!B25)</f>
        <v/>
      </c>
      <c r="F25" s="309"/>
      <c r="G25" s="310"/>
      <c r="H25" s="29"/>
      <c r="I25" s="33">
        <v>42</v>
      </c>
      <c r="J25" s="298" t="str">
        <f>IF(ISBLANK(解答設定!B62),"",解答設定!B62)</f>
        <v/>
      </c>
      <c r="K25" s="299"/>
      <c r="L25" s="300" t="str">
        <f ca="1">OFFSET(採点!F552,-I25,I25)</f>
        <v/>
      </c>
      <c r="M25" s="301"/>
      <c r="N25" s="302"/>
      <c r="O25" s="29"/>
      <c r="P25" s="33">
        <v>72</v>
      </c>
      <c r="Q25" s="298" t="str">
        <f>IF(ISBLANK(解答設定!B92),"",解答設定!B92)</f>
        <v/>
      </c>
      <c r="R25" s="299"/>
      <c r="S25" s="300" t="str">
        <f ca="1">OFFSET(採点!F582,-P25,P25)</f>
        <v/>
      </c>
      <c r="T25" s="301"/>
      <c r="U25" s="302"/>
      <c r="V25" s="29"/>
      <c r="W25" s="29"/>
      <c r="X25" s="297"/>
      <c r="Y25" s="297"/>
      <c r="Z25" s="297"/>
      <c r="AA25" s="297"/>
      <c r="AB25" s="30"/>
      <c r="AC25" s="29"/>
    </row>
    <row r="26" spans="2:29">
      <c r="B26" s="33">
        <v>13</v>
      </c>
      <c r="C26" s="307" t="str">
        <f>IF(ISBLANK(解答設定!B33),"",解答設定!B33)</f>
        <v/>
      </c>
      <c r="D26" s="276"/>
      <c r="E26" s="308" t="str">
        <f ca="1">OFFSET(採点!F523,-平均!B26,平均!B26)</f>
        <v/>
      </c>
      <c r="F26" s="309"/>
      <c r="G26" s="310"/>
      <c r="H26" s="29"/>
      <c r="I26" s="33">
        <v>43</v>
      </c>
      <c r="J26" s="298" t="str">
        <f>IF(ISBLANK(解答設定!B63),"",解答設定!B63)</f>
        <v/>
      </c>
      <c r="K26" s="299"/>
      <c r="L26" s="300" t="str">
        <f ca="1">OFFSET(採点!F553,-I26,I26)</f>
        <v/>
      </c>
      <c r="M26" s="301"/>
      <c r="N26" s="302"/>
      <c r="O26" s="29"/>
      <c r="P26" s="33">
        <v>73</v>
      </c>
      <c r="Q26" s="298" t="str">
        <f>IF(ISBLANK(解答設定!B93),"",解答設定!B93)</f>
        <v/>
      </c>
      <c r="R26" s="299"/>
      <c r="S26" s="300" t="str">
        <f ca="1">OFFSET(採点!F583,-P26,P26)</f>
        <v/>
      </c>
      <c r="T26" s="301"/>
      <c r="U26" s="302"/>
      <c r="V26" s="29"/>
      <c r="W26" s="29"/>
      <c r="X26" s="297"/>
      <c r="Y26" s="297"/>
      <c r="Z26" s="297"/>
      <c r="AA26" s="297"/>
      <c r="AB26" s="30"/>
      <c r="AC26" s="29"/>
    </row>
    <row r="27" spans="2:29">
      <c r="B27" s="33">
        <v>14</v>
      </c>
      <c r="C27" s="307" t="str">
        <f>IF(ISBLANK(解答設定!B34),"",解答設定!B34)</f>
        <v/>
      </c>
      <c r="D27" s="276"/>
      <c r="E27" s="308" t="str">
        <f ca="1">OFFSET(採点!F524,-平均!B27,平均!B27)</f>
        <v/>
      </c>
      <c r="F27" s="309"/>
      <c r="G27" s="310"/>
      <c r="H27" s="29"/>
      <c r="I27" s="33">
        <v>44</v>
      </c>
      <c r="J27" s="298" t="str">
        <f>IF(ISBLANK(解答設定!B64),"",解答設定!B64)</f>
        <v/>
      </c>
      <c r="K27" s="299"/>
      <c r="L27" s="300" t="str">
        <f ca="1">OFFSET(採点!F554,-I27,I27)</f>
        <v/>
      </c>
      <c r="M27" s="301"/>
      <c r="N27" s="302"/>
      <c r="O27" s="29"/>
      <c r="P27" s="33">
        <v>74</v>
      </c>
      <c r="Q27" s="298" t="str">
        <f>IF(ISBLANK(解答設定!B94),"",解答設定!B94)</f>
        <v/>
      </c>
      <c r="R27" s="299"/>
      <c r="S27" s="300" t="str">
        <f ca="1">OFFSET(採点!F584,-P27,P27)</f>
        <v/>
      </c>
      <c r="T27" s="301"/>
      <c r="U27" s="302"/>
      <c r="V27" s="29"/>
      <c r="W27" s="29"/>
      <c r="X27" s="297"/>
      <c r="Y27" s="297"/>
      <c r="Z27" s="297"/>
      <c r="AA27" s="297"/>
      <c r="AB27" s="30"/>
      <c r="AC27" s="29"/>
    </row>
    <row r="28" spans="2:29">
      <c r="B28" s="33">
        <v>15</v>
      </c>
      <c r="C28" s="307" t="str">
        <f>IF(ISBLANK(解答設定!B35),"",解答設定!B35)</f>
        <v/>
      </c>
      <c r="D28" s="276"/>
      <c r="E28" s="308" t="str">
        <f ca="1">OFFSET(採点!F525,-平均!B28,平均!B28)</f>
        <v/>
      </c>
      <c r="F28" s="309"/>
      <c r="G28" s="310"/>
      <c r="H28" s="29"/>
      <c r="I28" s="33">
        <v>45</v>
      </c>
      <c r="J28" s="298" t="str">
        <f>IF(ISBLANK(解答設定!B65),"",解答設定!B65)</f>
        <v/>
      </c>
      <c r="K28" s="299"/>
      <c r="L28" s="300" t="str">
        <f ca="1">OFFSET(採点!F555,-I28,I28)</f>
        <v/>
      </c>
      <c r="M28" s="301"/>
      <c r="N28" s="302"/>
      <c r="O28" s="29"/>
      <c r="P28" s="33">
        <v>75</v>
      </c>
      <c r="Q28" s="298" t="str">
        <f>IF(ISBLANK(解答設定!B95),"",解答設定!B95)</f>
        <v/>
      </c>
      <c r="R28" s="299"/>
      <c r="S28" s="300" t="str">
        <f ca="1">OFFSET(採点!F585,-P28,P28)</f>
        <v/>
      </c>
      <c r="T28" s="301"/>
      <c r="U28" s="302"/>
      <c r="V28" s="29"/>
      <c r="W28" s="29"/>
      <c r="X28" s="297"/>
      <c r="Y28" s="297"/>
      <c r="Z28" s="297"/>
      <c r="AA28" s="297"/>
      <c r="AB28" s="30"/>
      <c r="AC28" s="29"/>
    </row>
    <row r="29" spans="2:29">
      <c r="B29" s="33">
        <v>16</v>
      </c>
      <c r="C29" s="307" t="str">
        <f>IF(ISBLANK(解答設定!B36),"",解答設定!B36)</f>
        <v/>
      </c>
      <c r="D29" s="276"/>
      <c r="E29" s="308" t="str">
        <f ca="1">OFFSET(採点!F526,-平均!B29,平均!B29)</f>
        <v/>
      </c>
      <c r="F29" s="309"/>
      <c r="G29" s="310"/>
      <c r="H29" s="29"/>
      <c r="I29" s="33">
        <v>46</v>
      </c>
      <c r="J29" s="298" t="str">
        <f>IF(ISBLANK(解答設定!B66),"",解答設定!B66)</f>
        <v/>
      </c>
      <c r="K29" s="299"/>
      <c r="L29" s="300" t="str">
        <f ca="1">OFFSET(採点!F556,-I29,I29)</f>
        <v/>
      </c>
      <c r="M29" s="301"/>
      <c r="N29" s="302"/>
      <c r="O29" s="29"/>
      <c r="P29" s="33">
        <v>76</v>
      </c>
      <c r="Q29" s="298" t="str">
        <f>IF(ISBLANK(解答設定!B96),"",解答設定!B96)</f>
        <v/>
      </c>
      <c r="R29" s="299"/>
      <c r="S29" s="300" t="str">
        <f ca="1">OFFSET(採点!F586,-P29,P29)</f>
        <v/>
      </c>
      <c r="T29" s="301"/>
      <c r="U29" s="302"/>
      <c r="V29" s="29"/>
      <c r="W29" s="29"/>
      <c r="X29" s="297"/>
      <c r="Y29" s="297"/>
      <c r="Z29" s="297"/>
      <c r="AA29" s="297"/>
      <c r="AB29" s="30"/>
      <c r="AC29" s="29"/>
    </row>
    <row r="30" spans="2:29">
      <c r="B30" s="33">
        <v>17</v>
      </c>
      <c r="C30" s="307" t="str">
        <f>IF(ISBLANK(解答設定!B37),"",解答設定!B37)</f>
        <v/>
      </c>
      <c r="D30" s="276"/>
      <c r="E30" s="308" t="str">
        <f ca="1">OFFSET(採点!F527,-平均!B30,平均!B30)</f>
        <v/>
      </c>
      <c r="F30" s="309"/>
      <c r="G30" s="310"/>
      <c r="H30" s="29"/>
      <c r="I30" s="33">
        <v>47</v>
      </c>
      <c r="J30" s="298" t="str">
        <f>IF(ISBLANK(解答設定!B67),"",解答設定!B67)</f>
        <v/>
      </c>
      <c r="K30" s="299"/>
      <c r="L30" s="300" t="str">
        <f ca="1">OFFSET(採点!F557,-I30,I30)</f>
        <v/>
      </c>
      <c r="M30" s="301"/>
      <c r="N30" s="302"/>
      <c r="O30" s="29"/>
      <c r="P30" s="33">
        <v>77</v>
      </c>
      <c r="Q30" s="298" t="str">
        <f>IF(ISBLANK(解答設定!B97),"",解答設定!B97)</f>
        <v/>
      </c>
      <c r="R30" s="299"/>
      <c r="S30" s="300" t="str">
        <f ca="1">OFFSET(採点!F587,-P30,P30)</f>
        <v/>
      </c>
      <c r="T30" s="301"/>
      <c r="U30" s="302"/>
      <c r="V30" s="29"/>
      <c r="W30" s="29"/>
      <c r="X30" s="297"/>
      <c r="Y30" s="297"/>
      <c r="Z30" s="297"/>
      <c r="AA30" s="297"/>
      <c r="AB30" s="30"/>
      <c r="AC30" s="29"/>
    </row>
    <row r="31" spans="2:29">
      <c r="B31" s="33">
        <v>18</v>
      </c>
      <c r="C31" s="307" t="str">
        <f>IF(ISBLANK(解答設定!B38),"",解答設定!B38)</f>
        <v/>
      </c>
      <c r="D31" s="276"/>
      <c r="E31" s="308" t="str">
        <f ca="1">OFFSET(採点!F528,-平均!B31,平均!B31)</f>
        <v/>
      </c>
      <c r="F31" s="309"/>
      <c r="G31" s="310"/>
      <c r="H31" s="29"/>
      <c r="I31" s="33">
        <v>48</v>
      </c>
      <c r="J31" s="298" t="str">
        <f>IF(ISBLANK(解答設定!B68),"",解答設定!B68)</f>
        <v/>
      </c>
      <c r="K31" s="299"/>
      <c r="L31" s="300" t="str">
        <f ca="1">OFFSET(採点!F558,-I31,I31)</f>
        <v/>
      </c>
      <c r="M31" s="301"/>
      <c r="N31" s="302"/>
      <c r="O31" s="29"/>
      <c r="P31" s="33">
        <v>78</v>
      </c>
      <c r="Q31" s="298" t="str">
        <f>IF(ISBLANK(解答設定!B98),"",解答設定!B98)</f>
        <v/>
      </c>
      <c r="R31" s="299"/>
      <c r="S31" s="300" t="str">
        <f ca="1">OFFSET(採点!F588,-P31,P31)</f>
        <v/>
      </c>
      <c r="T31" s="301"/>
      <c r="U31" s="302"/>
      <c r="V31" s="29"/>
      <c r="W31" s="29"/>
      <c r="X31" s="297"/>
      <c r="Y31" s="297"/>
      <c r="Z31" s="297"/>
      <c r="AA31" s="297"/>
      <c r="AB31" s="30"/>
      <c r="AC31" s="29"/>
    </row>
    <row r="32" spans="2:29">
      <c r="B32" s="33">
        <v>19</v>
      </c>
      <c r="C32" s="307" t="str">
        <f>IF(ISBLANK(解答設定!B39),"",解答設定!B39)</f>
        <v/>
      </c>
      <c r="D32" s="276"/>
      <c r="E32" s="308" t="str">
        <f ca="1">OFFSET(採点!F529,-平均!B32,平均!B32)</f>
        <v/>
      </c>
      <c r="F32" s="309"/>
      <c r="G32" s="310"/>
      <c r="H32" s="29"/>
      <c r="I32" s="33">
        <v>49</v>
      </c>
      <c r="J32" s="298" t="str">
        <f>IF(ISBLANK(解答設定!B69),"",解答設定!B69)</f>
        <v/>
      </c>
      <c r="K32" s="299"/>
      <c r="L32" s="300" t="str">
        <f ca="1">OFFSET(採点!F559,-I32,I32)</f>
        <v/>
      </c>
      <c r="M32" s="301"/>
      <c r="N32" s="302"/>
      <c r="O32" s="29"/>
      <c r="P32" s="33">
        <v>79</v>
      </c>
      <c r="Q32" s="298" t="str">
        <f>IF(ISBLANK(解答設定!B99),"",解答設定!B99)</f>
        <v/>
      </c>
      <c r="R32" s="299"/>
      <c r="S32" s="300" t="str">
        <f ca="1">OFFSET(採点!F589,-P32,P32)</f>
        <v/>
      </c>
      <c r="T32" s="301"/>
      <c r="U32" s="302"/>
      <c r="V32" s="29"/>
      <c r="W32" s="29"/>
      <c r="X32" s="297"/>
      <c r="Y32" s="297"/>
      <c r="Z32" s="297"/>
      <c r="AA32" s="297"/>
      <c r="AB32" s="30"/>
      <c r="AC32" s="29"/>
    </row>
    <row r="33" spans="2:29">
      <c r="B33" s="33">
        <v>20</v>
      </c>
      <c r="C33" s="307" t="str">
        <f>IF(ISBLANK(解答設定!B40),"",解答設定!B40)</f>
        <v/>
      </c>
      <c r="D33" s="276"/>
      <c r="E33" s="308" t="str">
        <f ca="1">OFFSET(採点!F530,-平均!B33,平均!B33)</f>
        <v/>
      </c>
      <c r="F33" s="309"/>
      <c r="G33" s="310"/>
      <c r="H33" s="29"/>
      <c r="I33" s="33">
        <v>50</v>
      </c>
      <c r="J33" s="298" t="str">
        <f>IF(ISBLANK(解答設定!B70),"",解答設定!B70)</f>
        <v/>
      </c>
      <c r="K33" s="299"/>
      <c r="L33" s="300" t="str">
        <f ca="1">OFFSET(採点!F560,-I33,I33)</f>
        <v/>
      </c>
      <c r="M33" s="301"/>
      <c r="N33" s="302"/>
      <c r="O33" s="29"/>
      <c r="P33" s="33">
        <v>80</v>
      </c>
      <c r="Q33" s="298" t="str">
        <f>IF(ISBLANK(解答設定!B100),"",解答設定!B100)</f>
        <v/>
      </c>
      <c r="R33" s="299"/>
      <c r="S33" s="300" t="str">
        <f ca="1">OFFSET(採点!F590,-P33,P33)</f>
        <v/>
      </c>
      <c r="T33" s="301"/>
      <c r="U33" s="302"/>
      <c r="V33" s="29"/>
      <c r="W33" s="29"/>
      <c r="X33" s="297"/>
      <c r="Y33" s="297"/>
      <c r="Z33" s="297"/>
      <c r="AA33" s="297"/>
      <c r="AB33" s="30"/>
      <c r="AC33" s="29"/>
    </row>
    <row r="34" spans="2:29">
      <c r="B34" s="33">
        <v>21</v>
      </c>
      <c r="C34" s="307" t="str">
        <f>IF(ISBLANK(解答設定!B41),"",解答設定!B41)</f>
        <v/>
      </c>
      <c r="D34" s="276"/>
      <c r="E34" s="308" t="str">
        <f ca="1">OFFSET(採点!F531,-平均!B34,平均!B34)</f>
        <v/>
      </c>
      <c r="F34" s="309"/>
      <c r="G34" s="310"/>
      <c r="H34" s="29"/>
      <c r="I34" s="33">
        <v>51</v>
      </c>
      <c r="J34" s="298" t="str">
        <f>IF(ISBLANK(解答設定!B71),"",解答設定!B71)</f>
        <v/>
      </c>
      <c r="K34" s="299"/>
      <c r="L34" s="300" t="str">
        <f ca="1">OFFSET(採点!F561,-I34,I34)</f>
        <v/>
      </c>
      <c r="M34" s="301"/>
      <c r="N34" s="302"/>
      <c r="O34" s="29"/>
      <c r="P34" s="33">
        <v>81</v>
      </c>
      <c r="Q34" s="298" t="str">
        <f>IF(ISBLANK(解答設定!B101),"",解答設定!B101)</f>
        <v/>
      </c>
      <c r="R34" s="299"/>
      <c r="S34" s="300" t="str">
        <f ca="1">OFFSET(採点!F591,-P34,P34)</f>
        <v/>
      </c>
      <c r="T34" s="301"/>
      <c r="U34" s="302"/>
      <c r="V34" s="29"/>
      <c r="W34" s="29"/>
      <c r="X34" s="297"/>
      <c r="Y34" s="297"/>
      <c r="Z34" s="297"/>
      <c r="AA34" s="297"/>
      <c r="AB34" s="30"/>
      <c r="AC34" s="29"/>
    </row>
    <row r="35" spans="2:29">
      <c r="B35" s="33">
        <v>22</v>
      </c>
      <c r="C35" s="307" t="str">
        <f>IF(ISBLANK(解答設定!B42),"",解答設定!B42)</f>
        <v/>
      </c>
      <c r="D35" s="276"/>
      <c r="E35" s="308" t="str">
        <f ca="1">OFFSET(採点!F532,-平均!B35,平均!B35)</f>
        <v/>
      </c>
      <c r="F35" s="309"/>
      <c r="G35" s="310"/>
      <c r="H35" s="29"/>
      <c r="I35" s="33">
        <v>52</v>
      </c>
      <c r="J35" s="298" t="str">
        <f>IF(ISBLANK(解答設定!B72),"",解答設定!B72)</f>
        <v/>
      </c>
      <c r="K35" s="299"/>
      <c r="L35" s="300" t="str">
        <f ca="1">OFFSET(採点!F562,-I35,I35)</f>
        <v/>
      </c>
      <c r="M35" s="301"/>
      <c r="N35" s="302"/>
      <c r="O35" s="29"/>
      <c r="P35" s="33">
        <v>82</v>
      </c>
      <c r="Q35" s="298" t="str">
        <f>IF(ISBLANK(解答設定!B102),"",解答設定!B102)</f>
        <v/>
      </c>
      <c r="R35" s="299"/>
      <c r="S35" s="300" t="str">
        <f ca="1">OFFSET(採点!F592,-P35,P35)</f>
        <v/>
      </c>
      <c r="T35" s="301"/>
      <c r="U35" s="302"/>
      <c r="V35" s="29"/>
      <c r="W35" s="29"/>
      <c r="X35" s="297"/>
      <c r="Y35" s="297"/>
      <c r="Z35" s="297"/>
      <c r="AA35" s="297"/>
      <c r="AB35" s="30"/>
      <c r="AC35" s="29"/>
    </row>
    <row r="36" spans="2:29">
      <c r="B36" s="33">
        <v>23</v>
      </c>
      <c r="C36" s="307" t="str">
        <f>IF(ISBLANK(解答設定!B43),"",解答設定!B43)</f>
        <v/>
      </c>
      <c r="D36" s="276"/>
      <c r="E36" s="308" t="str">
        <f ca="1">OFFSET(採点!F533,-平均!B36,平均!B36)</f>
        <v/>
      </c>
      <c r="F36" s="309"/>
      <c r="G36" s="310"/>
      <c r="H36" s="29"/>
      <c r="I36" s="33">
        <v>53</v>
      </c>
      <c r="J36" s="298" t="str">
        <f>IF(ISBLANK(解答設定!B73),"",解答設定!B73)</f>
        <v/>
      </c>
      <c r="K36" s="299"/>
      <c r="L36" s="300" t="str">
        <f ca="1">OFFSET(採点!F563,-I36,I36)</f>
        <v/>
      </c>
      <c r="M36" s="301"/>
      <c r="N36" s="302"/>
      <c r="O36" s="29"/>
      <c r="P36" s="33">
        <v>83</v>
      </c>
      <c r="Q36" s="298" t="str">
        <f>IF(ISBLANK(解答設定!B103),"",解答設定!B103)</f>
        <v/>
      </c>
      <c r="R36" s="299"/>
      <c r="S36" s="300" t="str">
        <f ca="1">OFFSET(採点!F593,-P36,P36)</f>
        <v/>
      </c>
      <c r="T36" s="301"/>
      <c r="U36" s="302"/>
      <c r="V36" s="29"/>
      <c r="W36" s="29"/>
      <c r="X36" s="297"/>
      <c r="Y36" s="297"/>
      <c r="Z36" s="297"/>
      <c r="AA36" s="297"/>
      <c r="AB36" s="30"/>
      <c r="AC36" s="29"/>
    </row>
    <row r="37" spans="2:29">
      <c r="B37" s="33">
        <v>24</v>
      </c>
      <c r="C37" s="307" t="str">
        <f>IF(ISBLANK(解答設定!B44),"",解答設定!B44)</f>
        <v/>
      </c>
      <c r="D37" s="276"/>
      <c r="E37" s="308" t="str">
        <f ca="1">OFFSET(採点!F534,-平均!B37,平均!B37)</f>
        <v/>
      </c>
      <c r="F37" s="309"/>
      <c r="G37" s="310"/>
      <c r="H37" s="29"/>
      <c r="I37" s="33">
        <v>54</v>
      </c>
      <c r="J37" s="298" t="str">
        <f>IF(ISBLANK(解答設定!B74),"",解答設定!B74)</f>
        <v/>
      </c>
      <c r="K37" s="299"/>
      <c r="L37" s="300" t="str">
        <f ca="1">OFFSET(採点!F564,-I37,I37)</f>
        <v/>
      </c>
      <c r="M37" s="301"/>
      <c r="N37" s="302"/>
      <c r="O37" s="29"/>
      <c r="P37" s="33">
        <v>84</v>
      </c>
      <c r="Q37" s="298" t="str">
        <f>IF(ISBLANK(解答設定!B104),"",解答設定!B104)</f>
        <v/>
      </c>
      <c r="R37" s="299"/>
      <c r="S37" s="300" t="str">
        <f ca="1">OFFSET(採点!F594,-P37,P37)</f>
        <v/>
      </c>
      <c r="T37" s="301"/>
      <c r="U37" s="302"/>
      <c r="V37" s="29"/>
      <c r="W37" s="29"/>
      <c r="X37" s="297"/>
      <c r="Y37" s="297"/>
      <c r="Z37" s="297"/>
      <c r="AA37" s="297"/>
      <c r="AB37" s="30"/>
      <c r="AC37" s="29"/>
    </row>
    <row r="38" spans="2:29">
      <c r="B38" s="33">
        <v>25</v>
      </c>
      <c r="C38" s="307" t="str">
        <f>IF(ISBLANK(解答設定!B45),"",解答設定!B45)</f>
        <v/>
      </c>
      <c r="D38" s="276"/>
      <c r="E38" s="308" t="str">
        <f ca="1">OFFSET(採点!F535,-平均!B38,平均!B38)</f>
        <v/>
      </c>
      <c r="F38" s="309"/>
      <c r="G38" s="310"/>
      <c r="H38" s="29"/>
      <c r="I38" s="33">
        <v>55</v>
      </c>
      <c r="J38" s="298" t="str">
        <f>IF(ISBLANK(解答設定!B75),"",解答設定!B75)</f>
        <v/>
      </c>
      <c r="K38" s="299"/>
      <c r="L38" s="300" t="str">
        <f ca="1">OFFSET(採点!F565,-I38,I38)</f>
        <v/>
      </c>
      <c r="M38" s="301"/>
      <c r="N38" s="302"/>
      <c r="O38" s="29"/>
      <c r="P38" s="33">
        <v>85</v>
      </c>
      <c r="Q38" s="298" t="str">
        <f>IF(ISBLANK(解答設定!B105),"",解答設定!B105)</f>
        <v/>
      </c>
      <c r="R38" s="299"/>
      <c r="S38" s="300" t="str">
        <f ca="1">OFFSET(採点!F595,-P38,P38)</f>
        <v/>
      </c>
      <c r="T38" s="301"/>
      <c r="U38" s="302"/>
      <c r="V38" s="29"/>
      <c r="W38" s="29"/>
      <c r="X38" s="297"/>
      <c r="Y38" s="297"/>
      <c r="Z38" s="297"/>
      <c r="AA38" s="297"/>
      <c r="AB38" s="30"/>
      <c r="AC38" s="29"/>
    </row>
    <row r="39" spans="2:29">
      <c r="B39" s="33">
        <v>26</v>
      </c>
      <c r="C39" s="307" t="str">
        <f>IF(ISBLANK(解答設定!B46),"",解答設定!B46)</f>
        <v/>
      </c>
      <c r="D39" s="276"/>
      <c r="E39" s="308" t="str">
        <f ca="1">OFFSET(採点!F536,-平均!B39,平均!B39)</f>
        <v/>
      </c>
      <c r="F39" s="309"/>
      <c r="G39" s="310"/>
      <c r="H39" s="29"/>
      <c r="I39" s="33">
        <v>56</v>
      </c>
      <c r="J39" s="298" t="str">
        <f>IF(ISBLANK(解答設定!B76),"",解答設定!B76)</f>
        <v/>
      </c>
      <c r="K39" s="299"/>
      <c r="L39" s="300" t="str">
        <f ca="1">OFFSET(採点!F566,-I39,I39)</f>
        <v/>
      </c>
      <c r="M39" s="301"/>
      <c r="N39" s="302"/>
      <c r="O39" s="29"/>
      <c r="P39" s="33">
        <v>86</v>
      </c>
      <c r="Q39" s="298" t="str">
        <f>IF(ISBLANK(解答設定!B106),"",解答設定!B106)</f>
        <v/>
      </c>
      <c r="R39" s="299"/>
      <c r="S39" s="300" t="str">
        <f ca="1">OFFSET(採点!F596,-P39,P39)</f>
        <v/>
      </c>
      <c r="T39" s="301"/>
      <c r="U39" s="302"/>
      <c r="V39" s="29"/>
      <c r="W39" s="29"/>
      <c r="X39" s="297"/>
      <c r="Y39" s="297"/>
      <c r="Z39" s="297"/>
      <c r="AA39" s="297"/>
      <c r="AB39" s="30"/>
      <c r="AC39" s="29"/>
    </row>
    <row r="40" spans="2:29">
      <c r="B40" s="33">
        <v>27</v>
      </c>
      <c r="C40" s="307" t="str">
        <f>IF(ISBLANK(解答設定!B47),"",解答設定!B47)</f>
        <v/>
      </c>
      <c r="D40" s="276"/>
      <c r="E40" s="308" t="str">
        <f ca="1">OFFSET(採点!F537,-平均!B40,平均!B40)</f>
        <v/>
      </c>
      <c r="F40" s="309"/>
      <c r="G40" s="310"/>
      <c r="H40" s="29"/>
      <c r="I40" s="33">
        <v>57</v>
      </c>
      <c r="J40" s="298" t="str">
        <f>IF(ISBLANK(解答設定!B77),"",解答設定!B77)</f>
        <v/>
      </c>
      <c r="K40" s="299"/>
      <c r="L40" s="300" t="str">
        <f ca="1">OFFSET(採点!F567,-I40,I40)</f>
        <v/>
      </c>
      <c r="M40" s="301"/>
      <c r="N40" s="302"/>
      <c r="O40" s="29"/>
      <c r="P40" s="33">
        <v>87</v>
      </c>
      <c r="Q40" s="298" t="str">
        <f>IF(ISBLANK(解答設定!B107),"",解答設定!B107)</f>
        <v/>
      </c>
      <c r="R40" s="299"/>
      <c r="S40" s="300" t="str">
        <f ca="1">OFFSET(採点!F597,-P40,P40)</f>
        <v/>
      </c>
      <c r="T40" s="301"/>
      <c r="U40" s="302"/>
      <c r="V40" s="29"/>
      <c r="W40" s="29"/>
      <c r="X40" s="297"/>
      <c r="Y40" s="297"/>
      <c r="Z40" s="297"/>
      <c r="AA40" s="297"/>
      <c r="AB40" s="30"/>
      <c r="AC40" s="29"/>
    </row>
    <row r="41" spans="2:29">
      <c r="B41" s="33">
        <v>28</v>
      </c>
      <c r="C41" s="307" t="str">
        <f>IF(ISBLANK(解答設定!B48),"",解答設定!B48)</f>
        <v/>
      </c>
      <c r="D41" s="276"/>
      <c r="E41" s="308" t="str">
        <f ca="1">OFFSET(採点!F538,-平均!B41,平均!B41)</f>
        <v/>
      </c>
      <c r="F41" s="309"/>
      <c r="G41" s="310"/>
      <c r="H41" s="29"/>
      <c r="I41" s="33">
        <v>58</v>
      </c>
      <c r="J41" s="298" t="str">
        <f>IF(ISBLANK(解答設定!B78),"",解答設定!B78)</f>
        <v/>
      </c>
      <c r="K41" s="299"/>
      <c r="L41" s="300" t="str">
        <f ca="1">OFFSET(採点!F568,-I41,I41)</f>
        <v/>
      </c>
      <c r="M41" s="301"/>
      <c r="N41" s="302"/>
      <c r="O41" s="29"/>
      <c r="P41" s="33">
        <v>88</v>
      </c>
      <c r="Q41" s="298" t="str">
        <f>IF(ISBLANK(解答設定!B108),"",解答設定!B108)</f>
        <v/>
      </c>
      <c r="R41" s="299"/>
      <c r="S41" s="300" t="str">
        <f ca="1">OFFSET(採点!F598,-P41,P41)</f>
        <v/>
      </c>
      <c r="T41" s="301"/>
      <c r="U41" s="302"/>
      <c r="V41" s="29"/>
      <c r="W41" s="29"/>
      <c r="X41" s="297"/>
      <c r="Y41" s="297"/>
      <c r="Z41" s="297"/>
      <c r="AA41" s="297"/>
      <c r="AB41" s="30"/>
      <c r="AC41" s="29"/>
    </row>
    <row r="42" spans="2:29" ht="15" thickBot="1">
      <c r="B42" s="33">
        <v>29</v>
      </c>
      <c r="C42" s="317" t="str">
        <f>IF(ISBLANK(解答設定!B49),"",解答設定!B49)</f>
        <v/>
      </c>
      <c r="D42" s="318"/>
      <c r="E42" s="311" t="str">
        <f ca="1">OFFSET(採点!F539,-平均!B42,平均!B42)</f>
        <v/>
      </c>
      <c r="F42" s="312"/>
      <c r="G42" s="313"/>
      <c r="H42" s="29"/>
      <c r="I42" s="33">
        <v>59</v>
      </c>
      <c r="J42" s="345" t="str">
        <f>IF(ISBLANK(解答設定!B79),"",解答設定!B79)</f>
        <v/>
      </c>
      <c r="K42" s="346"/>
      <c r="L42" s="342" t="str">
        <f ca="1">OFFSET(採点!F569,-I42,I42)</f>
        <v/>
      </c>
      <c r="M42" s="343"/>
      <c r="N42" s="344"/>
      <c r="O42" s="29"/>
      <c r="P42" s="33">
        <v>89</v>
      </c>
      <c r="Q42" s="345" t="str">
        <f>IF(ISBLANK(解答設定!B109),"",解答設定!B109)</f>
        <v/>
      </c>
      <c r="R42" s="346"/>
      <c r="S42" s="342" t="str">
        <f ca="1">OFFSET(採点!F599,-P42,P42)</f>
        <v/>
      </c>
      <c r="T42" s="343"/>
      <c r="U42" s="344"/>
      <c r="V42" s="29"/>
      <c r="W42" s="29"/>
      <c r="X42" s="297"/>
      <c r="Y42" s="297"/>
      <c r="Z42" s="297"/>
      <c r="AA42" s="297"/>
      <c r="AB42" s="30"/>
      <c r="AC42" s="29"/>
    </row>
    <row r="43" spans="2:29">
      <c r="C43" s="319"/>
      <c r="D43" s="319"/>
      <c r="E43" s="319"/>
      <c r="F43" s="319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14"/>
      <c r="D44" s="314"/>
      <c r="E44" s="314"/>
      <c r="F44" s="314"/>
      <c r="G44" s="28"/>
    </row>
    <row r="45" spans="2:29">
      <c r="C45" s="314"/>
      <c r="D45" s="314"/>
      <c r="E45" s="314"/>
      <c r="F45" s="314"/>
      <c r="G45" s="28"/>
    </row>
    <row r="46" spans="2:29">
      <c r="C46" s="314"/>
      <c r="D46" s="314"/>
      <c r="E46" s="314"/>
      <c r="F46" s="314"/>
      <c r="G46" s="28"/>
    </row>
    <row r="47" spans="2:29">
      <c r="C47" s="314"/>
      <c r="D47" s="314"/>
      <c r="E47" s="314"/>
      <c r="F47" s="314"/>
      <c r="G47" s="28"/>
    </row>
    <row r="48" spans="2:29">
      <c r="C48" s="314"/>
      <c r="D48" s="314"/>
      <c r="E48" s="314"/>
      <c r="F48" s="314"/>
      <c r="G48" s="28"/>
    </row>
    <row r="49" spans="2:7">
      <c r="C49" s="314"/>
      <c r="D49" s="314"/>
      <c r="E49" s="314"/>
      <c r="F49" s="314"/>
      <c r="G49" s="28"/>
    </row>
    <row r="50" spans="2:7">
      <c r="C50" s="314"/>
      <c r="D50" s="314"/>
      <c r="E50" s="314"/>
      <c r="F50" s="314"/>
      <c r="G50" s="28"/>
    </row>
    <row r="51" spans="2:7">
      <c r="B51" s="38"/>
      <c r="C51" s="38"/>
      <c r="D51" s="38"/>
      <c r="E51" s="38"/>
      <c r="F51" s="297"/>
      <c r="G51" s="297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14" t="str">
        <f>IF(ISBLANK(初期設定!AQ6),"",初期設定!AQ6)</f>
        <v/>
      </c>
      <c r="AN301" s="314"/>
      <c r="AO301" s="314"/>
      <c r="AP301" s="314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14" t="str">
        <f>IF(ISBLANK(初期設定!AQ14),"",初期設定!AQ14)</f>
        <v/>
      </c>
      <c r="AN302" s="314"/>
      <c r="AO302" s="314"/>
      <c r="AP302" s="314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4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0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49" t="s">
        <v>18</v>
      </c>
      <c r="D2" s="350"/>
      <c r="E2" s="351"/>
      <c r="F2" s="126"/>
      <c r="G2" s="114" t="s">
        <v>19</v>
      </c>
      <c r="H2" s="55"/>
      <c r="I2" s="55"/>
      <c r="J2" s="347" t="s">
        <v>16</v>
      </c>
      <c r="K2" s="348"/>
      <c r="L2" s="348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4"/>
  <conditionalFormatting sqref="F2">
    <cfRule type="containsBlanks" dxfId="13" priority="3">
      <formula>LEN(TRIM(F2))=0</formula>
    </cfRule>
  </conditionalFormatting>
  <conditionalFormatting sqref="M2">
    <cfRule type="containsBlanks" dxfId="12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L14" sqref="L14:N16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62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467" t="s">
        <v>64</v>
      </c>
      <c r="AI3" s="468"/>
      <c r="AJ3" s="468"/>
      <c r="AK3" s="468"/>
      <c r="AL3" s="468"/>
      <c r="AM3" s="468"/>
      <c r="AN3" s="468"/>
      <c r="AO3" s="468"/>
      <c r="AP3" s="468"/>
      <c r="AQ3" s="469"/>
    </row>
    <row r="4" spans="1:52" ht="7" customHeight="1">
      <c r="B4" s="409" t="s">
        <v>69</v>
      </c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09"/>
      <c r="O4" s="409"/>
      <c r="P4" s="409"/>
      <c r="Q4" s="409"/>
      <c r="R4" s="409"/>
      <c r="S4" s="409"/>
      <c r="T4" s="409"/>
      <c r="U4" s="409"/>
      <c r="V4" s="409"/>
      <c r="W4" s="409"/>
      <c r="X4" s="409"/>
      <c r="Y4" s="409"/>
      <c r="Z4" s="409"/>
      <c r="AA4" s="409"/>
      <c r="AB4" s="409"/>
      <c r="AC4" s="409"/>
      <c r="AD4" s="409"/>
      <c r="AE4" s="409"/>
      <c r="AH4" s="470"/>
      <c r="AI4" s="353"/>
      <c r="AJ4" s="353"/>
      <c r="AK4" s="353"/>
      <c r="AL4" s="353"/>
      <c r="AM4" s="353"/>
      <c r="AN4" s="353"/>
      <c r="AO4" s="353"/>
      <c r="AP4" s="353"/>
      <c r="AQ4" s="459"/>
    </row>
    <row r="5" spans="1:52" ht="10" customHeight="1">
      <c r="B5" s="409"/>
      <c r="C5" s="409"/>
      <c r="D5" s="409"/>
      <c r="E5" s="409"/>
      <c r="F5" s="409"/>
      <c r="G5" s="409"/>
      <c r="H5" s="409"/>
      <c r="I5" s="409"/>
      <c r="J5" s="409"/>
      <c r="K5" s="409"/>
      <c r="L5" s="409"/>
      <c r="M5" s="409"/>
      <c r="N5" s="409"/>
      <c r="O5" s="409"/>
      <c r="P5" s="409"/>
      <c r="Q5" s="409"/>
      <c r="R5" s="409"/>
      <c r="S5" s="409"/>
      <c r="T5" s="409"/>
      <c r="U5" s="409"/>
      <c r="V5" s="409"/>
      <c r="W5" s="409"/>
      <c r="X5" s="409"/>
      <c r="Y5" s="409"/>
      <c r="Z5" s="409"/>
      <c r="AA5" s="409"/>
      <c r="AB5" s="409"/>
      <c r="AC5" s="409"/>
      <c r="AD5" s="409"/>
      <c r="AE5" s="409"/>
      <c r="AH5" s="470"/>
      <c r="AI5" s="353"/>
      <c r="AJ5" s="353"/>
      <c r="AK5" s="353"/>
      <c r="AL5" s="353"/>
      <c r="AM5" s="353"/>
      <c r="AN5" s="353"/>
      <c r="AO5" s="353"/>
      <c r="AP5" s="353"/>
      <c r="AQ5" s="459"/>
    </row>
    <row r="6" spans="1:52" ht="5" customHeight="1" thickBot="1">
      <c r="AH6" s="471"/>
      <c r="AI6" s="462"/>
      <c r="AJ6" s="462"/>
      <c r="AK6" s="462"/>
      <c r="AL6" s="462"/>
      <c r="AM6" s="462"/>
      <c r="AN6" s="462"/>
      <c r="AO6" s="462"/>
      <c r="AP6" s="462"/>
      <c r="AQ6" s="463"/>
    </row>
    <row r="7" spans="1:52" ht="7" customHeight="1" thickTop="1">
      <c r="B7" s="412">
        <v>1</v>
      </c>
      <c r="C7" s="412"/>
      <c r="D7" s="412"/>
      <c r="E7" s="353" t="s">
        <v>25</v>
      </c>
      <c r="F7" s="353"/>
      <c r="G7" s="412">
        <v>1</v>
      </c>
      <c r="H7" s="412"/>
      <c r="I7" s="412"/>
      <c r="J7" s="353" t="s">
        <v>28</v>
      </c>
      <c r="K7" s="353"/>
      <c r="M7" s="353" t="s">
        <v>23</v>
      </c>
      <c r="N7" s="353"/>
      <c r="O7" s="353"/>
      <c r="P7" s="353" t="str">
        <f>INDEX(処理用データ!$A$1:$N$469,生徒個票!$B$1,4)</f>
        <v/>
      </c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  <c r="AC7" s="353"/>
      <c r="AD7" s="353"/>
      <c r="AE7" s="353"/>
      <c r="AH7" s="455">
        <v>1</v>
      </c>
      <c r="AI7" s="456"/>
      <c r="AJ7" s="456"/>
      <c r="AK7" s="352" t="s">
        <v>25</v>
      </c>
      <c r="AL7" s="352"/>
      <c r="AM7" s="456">
        <v>1</v>
      </c>
      <c r="AN7" s="456"/>
      <c r="AO7" s="456"/>
      <c r="AP7" s="352" t="s">
        <v>28</v>
      </c>
      <c r="AQ7" s="458"/>
    </row>
    <row r="8" spans="1:52" ht="7" customHeight="1">
      <c r="B8" s="412"/>
      <c r="C8" s="412"/>
      <c r="D8" s="412"/>
      <c r="E8" s="353"/>
      <c r="F8" s="353"/>
      <c r="G8" s="412"/>
      <c r="H8" s="412"/>
      <c r="I8" s="412"/>
      <c r="J8" s="353"/>
      <c r="K8" s="353"/>
      <c r="M8" s="353"/>
      <c r="N8" s="353"/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/>
      <c r="AA8" s="353"/>
      <c r="AB8" s="353"/>
      <c r="AC8" s="353"/>
      <c r="AD8" s="353"/>
      <c r="AE8" s="353"/>
      <c r="AH8" s="457"/>
      <c r="AI8" s="412"/>
      <c r="AJ8" s="412"/>
      <c r="AK8" s="353"/>
      <c r="AL8" s="353"/>
      <c r="AM8" s="412"/>
      <c r="AN8" s="412"/>
      <c r="AO8" s="412"/>
      <c r="AP8" s="353"/>
      <c r="AQ8" s="459"/>
    </row>
    <row r="9" spans="1:52" ht="7" customHeight="1">
      <c r="B9" s="412"/>
      <c r="C9" s="412"/>
      <c r="D9" s="412"/>
      <c r="E9" s="353"/>
      <c r="F9" s="353"/>
      <c r="G9" s="412"/>
      <c r="H9" s="412"/>
      <c r="I9" s="412"/>
      <c r="J9" s="353"/>
      <c r="K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H9" s="457"/>
      <c r="AI9" s="412"/>
      <c r="AJ9" s="412"/>
      <c r="AK9" s="353"/>
      <c r="AL9" s="353"/>
      <c r="AM9" s="412"/>
      <c r="AN9" s="412"/>
      <c r="AO9" s="412"/>
      <c r="AP9" s="353"/>
      <c r="AQ9" s="459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464" t="s">
        <v>65</v>
      </c>
      <c r="AL10" s="464"/>
      <c r="AM10" s="464"/>
      <c r="AN10" s="464"/>
      <c r="AO10" s="64"/>
      <c r="AP10" s="64"/>
      <c r="AQ10" s="73"/>
    </row>
    <row r="11" spans="1:52" ht="9" customHeight="1">
      <c r="B11" s="411" t="str">
        <f>IF(ISBLANK(初期設定!C38),"",初期設定!C38)</f>
        <v/>
      </c>
      <c r="C11" s="411"/>
      <c r="D11" s="411"/>
      <c r="E11" s="391" t="s">
        <v>32</v>
      </c>
      <c r="F11" s="353" t="str">
        <f>IF(B11="","",INDEX(処理用データ!$A$1:$N$469,生徒個票!$B$1,11))</f>
        <v/>
      </c>
      <c r="G11" s="353"/>
      <c r="H11" s="365" t="s">
        <v>48</v>
      </c>
      <c r="I11" s="353" t="str">
        <f>IF(B11="","",INDEX(処理用データ!$A$1:$N$469,生徒個票!$B$1,12))</f>
        <v/>
      </c>
      <c r="J11" s="352"/>
      <c r="K11" s="64"/>
      <c r="L11" s="411" t="str">
        <f>IF(ISBLANK(初期設定!K38),"",初期設定!K38)</f>
        <v/>
      </c>
      <c r="M11" s="411"/>
      <c r="N11" s="411"/>
      <c r="O11" s="389" t="s">
        <v>32</v>
      </c>
      <c r="P11" s="352" t="str">
        <f>IF(L11="","",INDEX(処理用データ!$A$1:$N$469,生徒個票!$B$1,13))</f>
        <v/>
      </c>
      <c r="Q11" s="352"/>
      <c r="R11" s="364" t="s">
        <v>48</v>
      </c>
      <c r="S11" s="352" t="str">
        <f>IF(L11="","",INDEX(処理用データ!$A$1:$N$469,生徒個票!$B$1,14))</f>
        <v/>
      </c>
      <c r="T11" s="352"/>
      <c r="U11" s="64"/>
      <c r="V11" s="352" t="s">
        <v>24</v>
      </c>
      <c r="W11" s="352"/>
      <c r="X11" s="352"/>
      <c r="Y11" s="358" t="str">
        <f>INDEX(処理用データ!$A$1:$N$469,生徒個票!$B$1,6)</f>
        <v/>
      </c>
      <c r="Z11" s="359"/>
      <c r="AA11" s="359"/>
      <c r="AB11" s="359"/>
      <c r="AC11" s="359"/>
      <c r="AD11" s="355" t="s">
        <v>29</v>
      </c>
      <c r="AE11" s="64"/>
      <c r="AH11" s="72"/>
      <c r="AI11" s="64"/>
      <c r="AJ11" s="64"/>
      <c r="AK11" s="465"/>
      <c r="AL11" s="465"/>
      <c r="AM11" s="465"/>
      <c r="AN11" s="465"/>
      <c r="AO11" s="64"/>
      <c r="AP11" s="64"/>
      <c r="AQ11" s="73"/>
    </row>
    <row r="12" spans="1:52" ht="9" customHeight="1">
      <c r="B12" s="411"/>
      <c r="C12" s="411"/>
      <c r="D12" s="411"/>
      <c r="E12" s="391"/>
      <c r="F12" s="353"/>
      <c r="G12" s="353"/>
      <c r="H12" s="365"/>
      <c r="I12" s="353"/>
      <c r="J12" s="353"/>
      <c r="K12" s="64"/>
      <c r="L12" s="411"/>
      <c r="M12" s="411"/>
      <c r="N12" s="411"/>
      <c r="O12" s="389"/>
      <c r="P12" s="353"/>
      <c r="Q12" s="353"/>
      <c r="R12" s="365"/>
      <c r="S12" s="353"/>
      <c r="T12" s="353"/>
      <c r="U12" s="64"/>
      <c r="V12" s="353"/>
      <c r="W12" s="353"/>
      <c r="X12" s="353"/>
      <c r="Y12" s="360"/>
      <c r="Z12" s="361"/>
      <c r="AA12" s="361"/>
      <c r="AB12" s="361"/>
      <c r="AC12" s="361"/>
      <c r="AD12" s="356"/>
      <c r="AE12" s="64"/>
      <c r="AH12" s="72"/>
      <c r="AI12" s="64"/>
      <c r="AJ12" s="64"/>
      <c r="AK12" s="466"/>
      <c r="AL12" s="466"/>
      <c r="AM12" s="466"/>
      <c r="AN12" s="466"/>
      <c r="AO12" s="64"/>
      <c r="AP12" s="64"/>
      <c r="AQ12" s="73"/>
    </row>
    <row r="13" spans="1:52" ht="9" customHeight="1">
      <c r="B13" s="411"/>
      <c r="C13" s="411"/>
      <c r="D13" s="411"/>
      <c r="E13" s="392"/>
      <c r="F13" s="354"/>
      <c r="G13" s="354"/>
      <c r="H13" s="366"/>
      <c r="I13" s="354"/>
      <c r="J13" s="354"/>
      <c r="K13" s="64"/>
      <c r="L13" s="411"/>
      <c r="M13" s="411"/>
      <c r="N13" s="411"/>
      <c r="O13" s="390"/>
      <c r="P13" s="354"/>
      <c r="Q13" s="354"/>
      <c r="R13" s="366"/>
      <c r="S13" s="354"/>
      <c r="T13" s="354"/>
      <c r="U13" s="64"/>
      <c r="V13" s="353"/>
      <c r="W13" s="353"/>
      <c r="X13" s="353"/>
      <c r="Y13" s="362"/>
      <c r="Z13" s="363"/>
      <c r="AA13" s="363"/>
      <c r="AB13" s="363"/>
      <c r="AC13" s="363"/>
      <c r="AD13" s="357"/>
      <c r="AE13" s="64"/>
      <c r="AH13" s="457">
        <v>1</v>
      </c>
      <c r="AI13" s="412"/>
      <c r="AJ13" s="412"/>
      <c r="AK13" s="353" t="s">
        <v>25</v>
      </c>
      <c r="AL13" s="353"/>
      <c r="AM13" s="412">
        <v>2</v>
      </c>
      <c r="AN13" s="412"/>
      <c r="AO13" s="412"/>
      <c r="AP13" s="353" t="s">
        <v>28</v>
      </c>
      <c r="AQ13" s="459"/>
      <c r="AR13" s="453" t="str">
        <f>IF(OR($AH$7&gt;$AH$13,AND($AH$7=$AH$13,$AM$7&gt;$AM$13)),"←開始地点よりも後に設定してください","")</f>
        <v/>
      </c>
      <c r="AS13" s="454"/>
      <c r="AT13" s="454"/>
      <c r="AU13" s="454"/>
      <c r="AV13" s="454"/>
      <c r="AW13" s="454"/>
      <c r="AX13" s="454"/>
      <c r="AY13" s="454"/>
      <c r="AZ13" s="454"/>
    </row>
    <row r="14" spans="1:52" ht="9" customHeight="1">
      <c r="B14" s="353" t="s">
        <v>61</v>
      </c>
      <c r="C14" s="353"/>
      <c r="D14" s="410"/>
      <c r="E14" s="413" t="str">
        <f>IF(ISBLANK(平均!Z7),"",平均!Z7)</f>
        <v/>
      </c>
      <c r="F14" s="414"/>
      <c r="G14" s="414"/>
      <c r="H14" s="414"/>
      <c r="I14" s="414"/>
      <c r="J14" s="355" t="s">
        <v>29</v>
      </c>
      <c r="K14" s="64"/>
      <c r="L14" s="353" t="s">
        <v>30</v>
      </c>
      <c r="M14" s="353"/>
      <c r="N14" s="353"/>
      <c r="O14" s="358">
        <f>処理用データ!J3</f>
        <v>0</v>
      </c>
      <c r="P14" s="359"/>
      <c r="Q14" s="359"/>
      <c r="R14" s="359"/>
      <c r="S14" s="359"/>
      <c r="T14" s="355" t="s">
        <v>29</v>
      </c>
      <c r="U14" s="64"/>
      <c r="V14" s="353" t="s">
        <v>26</v>
      </c>
      <c r="W14" s="353"/>
      <c r="X14" s="353"/>
      <c r="Y14" s="358" t="str">
        <f>INDEX(処理用データ!$A$1:$N$469,生徒個票!$B$1,7)</f>
        <v/>
      </c>
      <c r="Z14" s="359"/>
      <c r="AA14" s="359"/>
      <c r="AB14" s="359"/>
      <c r="AC14" s="359"/>
      <c r="AD14" s="355" t="s">
        <v>63</v>
      </c>
      <c r="AE14" s="64"/>
      <c r="AH14" s="457"/>
      <c r="AI14" s="412"/>
      <c r="AJ14" s="412"/>
      <c r="AK14" s="353"/>
      <c r="AL14" s="353"/>
      <c r="AM14" s="412"/>
      <c r="AN14" s="412"/>
      <c r="AO14" s="412"/>
      <c r="AP14" s="353"/>
      <c r="AQ14" s="459"/>
      <c r="AR14" s="453"/>
      <c r="AS14" s="454"/>
      <c r="AT14" s="454"/>
      <c r="AU14" s="454"/>
      <c r="AV14" s="454"/>
      <c r="AW14" s="454"/>
      <c r="AX14" s="454"/>
      <c r="AY14" s="454"/>
      <c r="AZ14" s="454"/>
    </row>
    <row r="15" spans="1:52" ht="9" customHeight="1" thickBot="1">
      <c r="B15" s="353"/>
      <c r="C15" s="353"/>
      <c r="D15" s="410"/>
      <c r="E15" s="415"/>
      <c r="F15" s="416"/>
      <c r="G15" s="416"/>
      <c r="H15" s="416"/>
      <c r="I15" s="416"/>
      <c r="J15" s="356"/>
      <c r="K15" s="64"/>
      <c r="L15" s="353"/>
      <c r="M15" s="353"/>
      <c r="N15" s="353"/>
      <c r="O15" s="360"/>
      <c r="P15" s="361"/>
      <c r="Q15" s="361"/>
      <c r="R15" s="361"/>
      <c r="S15" s="361"/>
      <c r="T15" s="356"/>
      <c r="U15" s="64"/>
      <c r="V15" s="353"/>
      <c r="W15" s="353"/>
      <c r="X15" s="353"/>
      <c r="Y15" s="360"/>
      <c r="Z15" s="361"/>
      <c r="AA15" s="361"/>
      <c r="AB15" s="361"/>
      <c r="AC15" s="361"/>
      <c r="AD15" s="356"/>
      <c r="AE15" s="64"/>
      <c r="AH15" s="460"/>
      <c r="AI15" s="461"/>
      <c r="AJ15" s="461"/>
      <c r="AK15" s="462"/>
      <c r="AL15" s="462"/>
      <c r="AM15" s="461"/>
      <c r="AN15" s="461"/>
      <c r="AO15" s="461"/>
      <c r="AP15" s="462"/>
      <c r="AQ15" s="463"/>
      <c r="AR15" s="453"/>
      <c r="AS15" s="454"/>
      <c r="AT15" s="454"/>
      <c r="AU15" s="454"/>
      <c r="AV15" s="454"/>
      <c r="AW15" s="454"/>
      <c r="AX15" s="454"/>
      <c r="AY15" s="454"/>
      <c r="AZ15" s="454"/>
    </row>
    <row r="16" spans="1:52" ht="9" customHeight="1" thickTop="1">
      <c r="B16" s="353"/>
      <c r="C16" s="353"/>
      <c r="D16" s="410"/>
      <c r="E16" s="417"/>
      <c r="F16" s="418"/>
      <c r="G16" s="418"/>
      <c r="H16" s="418"/>
      <c r="I16" s="418"/>
      <c r="J16" s="357"/>
      <c r="K16" s="64"/>
      <c r="L16" s="353"/>
      <c r="M16" s="353"/>
      <c r="N16" s="353"/>
      <c r="O16" s="362"/>
      <c r="P16" s="363"/>
      <c r="Q16" s="363"/>
      <c r="R16" s="363"/>
      <c r="S16" s="363"/>
      <c r="T16" s="357"/>
      <c r="U16" s="64"/>
      <c r="V16" s="353"/>
      <c r="W16" s="353"/>
      <c r="X16" s="353"/>
      <c r="Y16" s="362"/>
      <c r="Z16" s="363"/>
      <c r="AA16" s="363"/>
      <c r="AB16" s="363"/>
      <c r="AC16" s="363"/>
      <c r="AD16" s="357"/>
      <c r="AE16" s="64"/>
    </row>
    <row r="18" spans="2:31" ht="7" customHeight="1">
      <c r="B18" s="382" t="s">
        <v>27</v>
      </c>
      <c r="C18" s="382"/>
      <c r="D18" s="382"/>
      <c r="E18" s="382"/>
      <c r="F18" s="382"/>
      <c r="G18" s="382"/>
      <c r="H18" s="382"/>
      <c r="I18" s="382"/>
      <c r="J18" s="382"/>
      <c r="K18" s="382"/>
    </row>
    <row r="19" spans="2:31" ht="7" customHeight="1" thickBot="1">
      <c r="B19" s="382"/>
      <c r="C19" s="382"/>
      <c r="D19" s="382"/>
      <c r="E19" s="382"/>
      <c r="F19" s="382"/>
      <c r="G19" s="382"/>
      <c r="H19" s="382"/>
      <c r="I19" s="382"/>
      <c r="J19" s="382"/>
      <c r="K19" s="382"/>
    </row>
    <row r="20" spans="2:31" ht="7" customHeight="1" thickTop="1">
      <c r="B20" s="383" t="s">
        <v>31</v>
      </c>
      <c r="C20" s="370" t="s">
        <v>32</v>
      </c>
      <c r="D20" s="372"/>
      <c r="E20" s="370" t="s">
        <v>33</v>
      </c>
      <c r="F20" s="372"/>
      <c r="G20" s="387" t="s">
        <v>34</v>
      </c>
      <c r="H20" s="367" t="s">
        <v>55</v>
      </c>
      <c r="I20" s="367"/>
      <c r="J20" s="370" t="s">
        <v>22</v>
      </c>
      <c r="K20" s="371"/>
      <c r="L20" s="371"/>
      <c r="M20" s="371"/>
      <c r="N20" s="372"/>
      <c r="O20" s="376" t="s">
        <v>35</v>
      </c>
      <c r="P20" s="377"/>
      <c r="Q20" s="385" t="s">
        <v>31</v>
      </c>
      <c r="R20" s="370" t="s">
        <v>32</v>
      </c>
      <c r="S20" s="372"/>
      <c r="T20" s="370" t="s">
        <v>33</v>
      </c>
      <c r="U20" s="372"/>
      <c r="V20" s="387" t="s">
        <v>34</v>
      </c>
      <c r="W20" s="367" t="s">
        <v>55</v>
      </c>
      <c r="X20" s="367"/>
      <c r="Y20" s="370" t="s">
        <v>22</v>
      </c>
      <c r="Z20" s="371"/>
      <c r="AA20" s="371"/>
      <c r="AB20" s="371"/>
      <c r="AC20" s="372"/>
      <c r="AD20" s="376" t="s">
        <v>35</v>
      </c>
      <c r="AE20" s="377"/>
    </row>
    <row r="21" spans="2:31" ht="7" customHeight="1">
      <c r="B21" s="384"/>
      <c r="C21" s="373"/>
      <c r="D21" s="375"/>
      <c r="E21" s="373"/>
      <c r="F21" s="375"/>
      <c r="G21" s="388"/>
      <c r="H21" s="368"/>
      <c r="I21" s="368"/>
      <c r="J21" s="373"/>
      <c r="K21" s="374"/>
      <c r="L21" s="374"/>
      <c r="M21" s="374"/>
      <c r="N21" s="375"/>
      <c r="O21" s="378"/>
      <c r="P21" s="379"/>
      <c r="Q21" s="386"/>
      <c r="R21" s="373"/>
      <c r="S21" s="375"/>
      <c r="T21" s="373"/>
      <c r="U21" s="375"/>
      <c r="V21" s="388"/>
      <c r="W21" s="368"/>
      <c r="X21" s="368"/>
      <c r="Y21" s="373"/>
      <c r="Z21" s="374"/>
      <c r="AA21" s="374"/>
      <c r="AB21" s="374"/>
      <c r="AC21" s="375"/>
      <c r="AD21" s="378"/>
      <c r="AE21" s="379"/>
    </row>
    <row r="22" spans="2:31" ht="7" customHeight="1" thickBot="1">
      <c r="B22" s="384"/>
      <c r="C22" s="373"/>
      <c r="D22" s="375"/>
      <c r="E22" s="373"/>
      <c r="F22" s="375"/>
      <c r="G22" s="388"/>
      <c r="H22" s="369"/>
      <c r="I22" s="369"/>
      <c r="J22" s="373"/>
      <c r="K22" s="374"/>
      <c r="L22" s="374"/>
      <c r="M22" s="374"/>
      <c r="N22" s="375"/>
      <c r="O22" s="380"/>
      <c r="P22" s="381"/>
      <c r="Q22" s="386"/>
      <c r="R22" s="373"/>
      <c r="S22" s="375"/>
      <c r="T22" s="373"/>
      <c r="U22" s="375"/>
      <c r="V22" s="388"/>
      <c r="W22" s="369"/>
      <c r="X22" s="369"/>
      <c r="Y22" s="373"/>
      <c r="Z22" s="374"/>
      <c r="AA22" s="374"/>
      <c r="AB22" s="374"/>
      <c r="AC22" s="375"/>
      <c r="AD22" s="380"/>
      <c r="AE22" s="381"/>
    </row>
    <row r="23" spans="2:31" ht="16" customHeight="1" thickTop="1">
      <c r="B23" s="69" t="str">
        <f>IF(ISBLANK(解答設定!B20),"",解答設定!B20)</f>
        <v/>
      </c>
      <c r="C23" s="419" t="str">
        <f>getOwnAnswer(B23,$B$1)</f>
        <v/>
      </c>
      <c r="D23" s="419"/>
      <c r="E23" s="403" t="str">
        <f>IF(ISBLANK(解答設定!E20),"",解答設定!E20)</f>
        <v/>
      </c>
      <c r="F23" s="403"/>
      <c r="G23" s="130" t="str">
        <f>IF(E23="","",checkAnswer(E23,C23))</f>
        <v/>
      </c>
      <c r="H23" s="404" t="str">
        <f ca="1">平均!E13</f>
        <v/>
      </c>
      <c r="I23" s="404"/>
      <c r="J23" s="405" t="str">
        <f>IFERROR(HLOOKUP(解答設定!H20,解答設定!$F$6:$AS$13,5),"")</f>
        <v/>
      </c>
      <c r="K23" s="405"/>
      <c r="L23" s="405"/>
      <c r="M23" s="405"/>
      <c r="N23" s="405"/>
      <c r="O23" s="419" t="str">
        <f>IF(ISBLANK(解答設定!R20),"",解答設定!R20)</f>
        <v/>
      </c>
      <c r="P23" s="424"/>
      <c r="Q23" s="69" t="str">
        <f>IF(ISBLANK(解答設定!B55),"",解答設定!B55)</f>
        <v/>
      </c>
      <c r="R23" s="419" t="str">
        <f>getOwnAnswer(Q23,$B$1)</f>
        <v/>
      </c>
      <c r="S23" s="419"/>
      <c r="T23" s="403" t="str">
        <f>IF(ISBLANK(解答設定!E55),"",解答設定!E55)</f>
        <v/>
      </c>
      <c r="U23" s="403"/>
      <c r="V23" s="130" t="str">
        <f>IF(T23="","",checkAnswer(T23,R23))</f>
        <v/>
      </c>
      <c r="W23" s="404" t="str">
        <f ca="1">平均!L18</f>
        <v/>
      </c>
      <c r="X23" s="404"/>
      <c r="Y23" s="405" t="str">
        <f>IFERROR(HLOOKUP(解答設定!H55,解答設定!$F$6:$AS$13,5),"")</f>
        <v/>
      </c>
      <c r="Z23" s="405"/>
      <c r="AA23" s="405"/>
      <c r="AB23" s="405"/>
      <c r="AC23" s="405"/>
      <c r="AD23" s="427" t="str">
        <f>IF(ISBLANK(解答設定!R55),"",解答設定!R55)</f>
        <v/>
      </c>
      <c r="AE23" s="428"/>
    </row>
    <row r="24" spans="2:31" ht="16" customHeight="1">
      <c r="B24" s="70" t="str">
        <f>IF(ISBLANK(解答設定!B21),"",解答設定!B21)</f>
        <v/>
      </c>
      <c r="C24" s="393" t="str">
        <f t="shared" ref="C24:C57" si="0">getOwnAnswer(B24,$B$1)</f>
        <v/>
      </c>
      <c r="D24" s="394"/>
      <c r="E24" s="395" t="str">
        <f>IF(ISBLANK(解答設定!E21),"",解答設定!E21)</f>
        <v/>
      </c>
      <c r="F24" s="396"/>
      <c r="G24" s="129" t="str">
        <f t="shared" ref="G24:G56" si="1">IF(E24="","",checkAnswer(E24,C24))</f>
        <v/>
      </c>
      <c r="H24" s="397" t="str">
        <f ca="1">平均!E14</f>
        <v/>
      </c>
      <c r="I24" s="398"/>
      <c r="J24" s="399" t="str">
        <f>IFERROR(HLOOKUP(解答設定!H21,解答設定!$F$6:$AS$13,5),"")</f>
        <v/>
      </c>
      <c r="K24" s="400"/>
      <c r="L24" s="400"/>
      <c r="M24" s="400"/>
      <c r="N24" s="401"/>
      <c r="O24" s="393" t="str">
        <f>IF(ISBLANK(解答設定!R21),"",解答設定!R21)</f>
        <v/>
      </c>
      <c r="P24" s="402"/>
      <c r="Q24" s="70" t="str">
        <f>IF(ISBLANK(解答設定!B56),"",解答設定!B56)</f>
        <v/>
      </c>
      <c r="R24" s="393" t="str">
        <f t="shared" ref="R24:R57" si="2">getOwnAnswer(Q24,$B$1)</f>
        <v/>
      </c>
      <c r="S24" s="394"/>
      <c r="T24" s="395" t="str">
        <f>IF(ISBLANK(解答設定!E56),"",解答設定!E56)</f>
        <v/>
      </c>
      <c r="U24" s="396"/>
      <c r="V24" s="129" t="str">
        <f t="shared" ref="V24:V57" si="3">IF(T24="","",checkAnswer(T24,R24))</f>
        <v/>
      </c>
      <c r="W24" s="397" t="str">
        <f ca="1">平均!L19</f>
        <v/>
      </c>
      <c r="X24" s="398"/>
      <c r="Y24" s="399" t="str">
        <f>IFERROR(HLOOKUP(解答設定!H56,解答設定!$F$6:$AS$13,5),"")</f>
        <v/>
      </c>
      <c r="Z24" s="400"/>
      <c r="AA24" s="400"/>
      <c r="AB24" s="400"/>
      <c r="AC24" s="401"/>
      <c r="AD24" s="393" t="str">
        <f>IF(ISBLANK(解答設定!R56),"",解答設定!R56)</f>
        <v/>
      </c>
      <c r="AE24" s="402"/>
    </row>
    <row r="25" spans="2:31" ht="16" customHeight="1">
      <c r="B25" s="70" t="str">
        <f>IF(ISBLANK(解答設定!B22),"",解答設定!B22)</f>
        <v/>
      </c>
      <c r="C25" s="393" t="str">
        <f t="shared" si="0"/>
        <v/>
      </c>
      <c r="D25" s="394"/>
      <c r="E25" s="395" t="str">
        <f>IF(ISBLANK(解答設定!E22),"",解答設定!E22)</f>
        <v/>
      </c>
      <c r="F25" s="396"/>
      <c r="G25" s="129" t="str">
        <f t="shared" si="1"/>
        <v/>
      </c>
      <c r="H25" s="397" t="str">
        <f ca="1">平均!E15</f>
        <v/>
      </c>
      <c r="I25" s="398"/>
      <c r="J25" s="399" t="str">
        <f>IFERROR(HLOOKUP(解答設定!H22,解答設定!$F$6:$AS$13,5),"")</f>
        <v/>
      </c>
      <c r="K25" s="400"/>
      <c r="L25" s="400"/>
      <c r="M25" s="400"/>
      <c r="N25" s="401"/>
      <c r="O25" s="393" t="str">
        <f>IF(ISBLANK(解答設定!R22),"",解答設定!R22)</f>
        <v/>
      </c>
      <c r="P25" s="402"/>
      <c r="Q25" s="70" t="str">
        <f>IF(ISBLANK(解答設定!B57),"",解答設定!B57)</f>
        <v/>
      </c>
      <c r="R25" s="393" t="str">
        <f t="shared" si="2"/>
        <v/>
      </c>
      <c r="S25" s="394"/>
      <c r="T25" s="395" t="str">
        <f>IF(ISBLANK(解答設定!E57),"",解答設定!E57)</f>
        <v/>
      </c>
      <c r="U25" s="396"/>
      <c r="V25" s="129" t="str">
        <f t="shared" si="3"/>
        <v/>
      </c>
      <c r="W25" s="397" t="str">
        <f ca="1">平均!L20</f>
        <v/>
      </c>
      <c r="X25" s="398"/>
      <c r="Y25" s="399" t="str">
        <f>IFERROR(HLOOKUP(解答設定!H57,解答設定!$F$6:$AS$13,5),"")</f>
        <v/>
      </c>
      <c r="Z25" s="400"/>
      <c r="AA25" s="400"/>
      <c r="AB25" s="400"/>
      <c r="AC25" s="401"/>
      <c r="AD25" s="393" t="str">
        <f>IF(ISBLANK(解答設定!R57),"",解答設定!R57)</f>
        <v/>
      </c>
      <c r="AE25" s="402"/>
    </row>
    <row r="26" spans="2:31" ht="16" customHeight="1">
      <c r="B26" s="70" t="str">
        <f>IF(ISBLANK(解答設定!B23),"",解答設定!B23)</f>
        <v/>
      </c>
      <c r="C26" s="393" t="str">
        <f t="shared" si="0"/>
        <v/>
      </c>
      <c r="D26" s="394"/>
      <c r="E26" s="395" t="str">
        <f>IF(ISBLANK(解答設定!E23),"",解答設定!E23)</f>
        <v/>
      </c>
      <c r="F26" s="396"/>
      <c r="G26" s="129" t="str">
        <f t="shared" si="1"/>
        <v/>
      </c>
      <c r="H26" s="397" t="str">
        <f ca="1">平均!E16</f>
        <v/>
      </c>
      <c r="I26" s="398"/>
      <c r="J26" s="399" t="str">
        <f>IFERROR(HLOOKUP(解答設定!H23,解答設定!$F$6:$AS$13,5),"")</f>
        <v/>
      </c>
      <c r="K26" s="400"/>
      <c r="L26" s="400"/>
      <c r="M26" s="400"/>
      <c r="N26" s="401"/>
      <c r="O26" s="393" t="str">
        <f>IF(ISBLANK(解答設定!R23),"",解答設定!R23)</f>
        <v/>
      </c>
      <c r="P26" s="402"/>
      <c r="Q26" s="70" t="str">
        <f>IF(ISBLANK(解答設定!B58),"",解答設定!B58)</f>
        <v/>
      </c>
      <c r="R26" s="393" t="str">
        <f t="shared" si="2"/>
        <v/>
      </c>
      <c r="S26" s="394"/>
      <c r="T26" s="395" t="str">
        <f>IF(ISBLANK(解答設定!E58),"",解答設定!E58)</f>
        <v/>
      </c>
      <c r="U26" s="396"/>
      <c r="V26" s="129" t="str">
        <f t="shared" si="3"/>
        <v/>
      </c>
      <c r="W26" s="397" t="str">
        <f ca="1">平均!L21</f>
        <v/>
      </c>
      <c r="X26" s="398"/>
      <c r="Y26" s="399" t="str">
        <f>IFERROR(HLOOKUP(解答設定!H58,解答設定!$F$6:$AS$13,5),"")</f>
        <v/>
      </c>
      <c r="Z26" s="400"/>
      <c r="AA26" s="400"/>
      <c r="AB26" s="400"/>
      <c r="AC26" s="401"/>
      <c r="AD26" s="393" t="str">
        <f>IF(ISBLANK(解答設定!R58),"",解答設定!R58)</f>
        <v/>
      </c>
      <c r="AE26" s="402"/>
    </row>
    <row r="27" spans="2:31" ht="16" customHeight="1">
      <c r="B27" s="70" t="str">
        <f>IF(ISBLANK(解答設定!B24),"",解答設定!B24)</f>
        <v/>
      </c>
      <c r="C27" s="393" t="str">
        <f t="shared" si="0"/>
        <v/>
      </c>
      <c r="D27" s="394"/>
      <c r="E27" s="395" t="str">
        <f>IF(ISBLANK(解答設定!E24),"",解答設定!E24)</f>
        <v/>
      </c>
      <c r="F27" s="396"/>
      <c r="G27" s="129" t="str">
        <f t="shared" si="1"/>
        <v/>
      </c>
      <c r="H27" s="397" t="str">
        <f ca="1">平均!E17</f>
        <v/>
      </c>
      <c r="I27" s="398"/>
      <c r="J27" s="399" t="str">
        <f>IFERROR(HLOOKUP(解答設定!H24,解答設定!$F$6:$AS$13,5),"")</f>
        <v/>
      </c>
      <c r="K27" s="400"/>
      <c r="L27" s="400"/>
      <c r="M27" s="400"/>
      <c r="N27" s="401"/>
      <c r="O27" s="393" t="str">
        <f>IF(ISBLANK(解答設定!R24),"",解答設定!R24)</f>
        <v/>
      </c>
      <c r="P27" s="402"/>
      <c r="Q27" s="70" t="str">
        <f>IF(ISBLANK(解答設定!B59),"",解答設定!B59)</f>
        <v/>
      </c>
      <c r="R27" s="393" t="str">
        <f t="shared" si="2"/>
        <v/>
      </c>
      <c r="S27" s="394"/>
      <c r="T27" s="395" t="str">
        <f>IF(ISBLANK(解答設定!E59),"",解答設定!E59)</f>
        <v/>
      </c>
      <c r="U27" s="396"/>
      <c r="V27" s="129" t="str">
        <f t="shared" si="3"/>
        <v/>
      </c>
      <c r="W27" s="397" t="str">
        <f ca="1">平均!L22</f>
        <v/>
      </c>
      <c r="X27" s="398"/>
      <c r="Y27" s="399" t="str">
        <f>IFERROR(HLOOKUP(解答設定!H59,解答設定!$F$6:$AS$13,5),"")</f>
        <v/>
      </c>
      <c r="Z27" s="400"/>
      <c r="AA27" s="400"/>
      <c r="AB27" s="400"/>
      <c r="AC27" s="401"/>
      <c r="AD27" s="393" t="str">
        <f>IF(ISBLANK(解答設定!R59),"",解答設定!R59)</f>
        <v/>
      </c>
      <c r="AE27" s="402"/>
    </row>
    <row r="28" spans="2:31" ht="16" customHeight="1">
      <c r="B28" s="70" t="str">
        <f>IF(ISBLANK(解答設定!B25),"",解答設定!B25)</f>
        <v/>
      </c>
      <c r="C28" s="393" t="str">
        <f t="shared" si="0"/>
        <v/>
      </c>
      <c r="D28" s="394"/>
      <c r="E28" s="395" t="str">
        <f>IF(ISBLANK(解答設定!E25),"",解答設定!E25)</f>
        <v/>
      </c>
      <c r="F28" s="396"/>
      <c r="G28" s="129" t="str">
        <f t="shared" si="1"/>
        <v/>
      </c>
      <c r="H28" s="397" t="str">
        <f ca="1">平均!E18</f>
        <v/>
      </c>
      <c r="I28" s="398"/>
      <c r="J28" s="399" t="str">
        <f>IFERROR(HLOOKUP(解答設定!H25,解答設定!$F$6:$AS$13,5),"")</f>
        <v/>
      </c>
      <c r="K28" s="400"/>
      <c r="L28" s="400"/>
      <c r="M28" s="400"/>
      <c r="N28" s="401"/>
      <c r="O28" s="393" t="str">
        <f>IF(ISBLANK(解答設定!R25),"",解答設定!R25)</f>
        <v/>
      </c>
      <c r="P28" s="402"/>
      <c r="Q28" s="70" t="str">
        <f>IF(ISBLANK(解答設定!B60),"",解答設定!B60)</f>
        <v/>
      </c>
      <c r="R28" s="393" t="str">
        <f t="shared" si="2"/>
        <v/>
      </c>
      <c r="S28" s="394"/>
      <c r="T28" s="395" t="str">
        <f>IF(ISBLANK(解答設定!E60),"",解答設定!E60)</f>
        <v/>
      </c>
      <c r="U28" s="396"/>
      <c r="V28" s="129" t="str">
        <f t="shared" si="3"/>
        <v/>
      </c>
      <c r="W28" s="397" t="str">
        <f ca="1">平均!L23</f>
        <v/>
      </c>
      <c r="X28" s="398"/>
      <c r="Y28" s="399" t="str">
        <f>IFERROR(HLOOKUP(解答設定!H60,解答設定!$F$6:$AS$13,5),"")</f>
        <v/>
      </c>
      <c r="Z28" s="400"/>
      <c r="AA28" s="400"/>
      <c r="AB28" s="400"/>
      <c r="AC28" s="401"/>
      <c r="AD28" s="393" t="str">
        <f>IF(ISBLANK(解答設定!R60),"",解答設定!R60)</f>
        <v/>
      </c>
      <c r="AE28" s="402"/>
    </row>
    <row r="29" spans="2:31" ht="16" customHeight="1">
      <c r="B29" s="70" t="str">
        <f>IF(ISBLANK(解答設定!B26),"",解答設定!B26)</f>
        <v/>
      </c>
      <c r="C29" s="393" t="str">
        <f t="shared" si="0"/>
        <v/>
      </c>
      <c r="D29" s="394"/>
      <c r="E29" s="395" t="str">
        <f>IF(ISBLANK(解答設定!E26),"",解答設定!E26)</f>
        <v/>
      </c>
      <c r="F29" s="396"/>
      <c r="G29" s="129" t="str">
        <f t="shared" si="1"/>
        <v/>
      </c>
      <c r="H29" s="397" t="str">
        <f ca="1">平均!E19</f>
        <v/>
      </c>
      <c r="I29" s="398"/>
      <c r="J29" s="399" t="str">
        <f>IFERROR(HLOOKUP(解答設定!H26,解答設定!$F$6:$AS$13,5),"")</f>
        <v/>
      </c>
      <c r="K29" s="400"/>
      <c r="L29" s="400"/>
      <c r="M29" s="400"/>
      <c r="N29" s="401"/>
      <c r="O29" s="393" t="str">
        <f>IF(ISBLANK(解答設定!R26),"",解答設定!R26)</f>
        <v/>
      </c>
      <c r="P29" s="402"/>
      <c r="Q29" s="70" t="str">
        <f>IF(ISBLANK(解答設定!B61),"",解答設定!B61)</f>
        <v/>
      </c>
      <c r="R29" s="393" t="str">
        <f t="shared" si="2"/>
        <v/>
      </c>
      <c r="S29" s="394"/>
      <c r="T29" s="395" t="str">
        <f>IF(ISBLANK(解答設定!E61),"",解答設定!E61)</f>
        <v/>
      </c>
      <c r="U29" s="396"/>
      <c r="V29" s="129" t="str">
        <f t="shared" si="3"/>
        <v/>
      </c>
      <c r="W29" s="397" t="str">
        <f ca="1">平均!L24</f>
        <v/>
      </c>
      <c r="X29" s="398"/>
      <c r="Y29" s="399" t="str">
        <f>IFERROR(HLOOKUP(解答設定!H61,解答設定!$F$6:$AS$13,5),"")</f>
        <v/>
      </c>
      <c r="Z29" s="400"/>
      <c r="AA29" s="400"/>
      <c r="AB29" s="400"/>
      <c r="AC29" s="401"/>
      <c r="AD29" s="393" t="str">
        <f>IF(ISBLANK(解答設定!R61),"",解答設定!R61)</f>
        <v/>
      </c>
      <c r="AE29" s="402"/>
    </row>
    <row r="30" spans="2:31" ht="16" customHeight="1">
      <c r="B30" s="70" t="str">
        <f>IF(ISBLANK(解答設定!B27),"",解答設定!B27)</f>
        <v/>
      </c>
      <c r="C30" s="393" t="str">
        <f t="shared" si="0"/>
        <v/>
      </c>
      <c r="D30" s="394"/>
      <c r="E30" s="395" t="str">
        <f>IF(ISBLANK(解答設定!E27),"",解答設定!E27)</f>
        <v/>
      </c>
      <c r="F30" s="396"/>
      <c r="G30" s="129" t="str">
        <f t="shared" si="1"/>
        <v/>
      </c>
      <c r="H30" s="397" t="str">
        <f ca="1">平均!E20</f>
        <v/>
      </c>
      <c r="I30" s="398"/>
      <c r="J30" s="399" t="str">
        <f>IFERROR(HLOOKUP(解答設定!H27,解答設定!$F$6:$AS$13,5),"")</f>
        <v/>
      </c>
      <c r="K30" s="400"/>
      <c r="L30" s="400"/>
      <c r="M30" s="400"/>
      <c r="N30" s="401"/>
      <c r="O30" s="393" t="str">
        <f>IF(ISBLANK(解答設定!R27),"",解答設定!R27)</f>
        <v/>
      </c>
      <c r="P30" s="402"/>
      <c r="Q30" s="70" t="str">
        <f>IF(ISBLANK(解答設定!B62),"",解答設定!B62)</f>
        <v/>
      </c>
      <c r="R30" s="393" t="str">
        <f t="shared" si="2"/>
        <v/>
      </c>
      <c r="S30" s="394"/>
      <c r="T30" s="395" t="str">
        <f>IF(ISBLANK(解答設定!E62),"",解答設定!E62)</f>
        <v/>
      </c>
      <c r="U30" s="396"/>
      <c r="V30" s="129" t="str">
        <f t="shared" si="3"/>
        <v/>
      </c>
      <c r="W30" s="397" t="str">
        <f ca="1">平均!L25</f>
        <v/>
      </c>
      <c r="X30" s="398"/>
      <c r="Y30" s="399" t="str">
        <f>IFERROR(HLOOKUP(解答設定!H62,解答設定!$F$6:$AS$13,5),"")</f>
        <v/>
      </c>
      <c r="Z30" s="400"/>
      <c r="AA30" s="400"/>
      <c r="AB30" s="400"/>
      <c r="AC30" s="401"/>
      <c r="AD30" s="393" t="str">
        <f>IF(ISBLANK(解答設定!R62),"",解答設定!R62)</f>
        <v/>
      </c>
      <c r="AE30" s="402"/>
    </row>
    <row r="31" spans="2:31" ht="16" customHeight="1">
      <c r="B31" s="70" t="str">
        <f>IF(ISBLANK(解答設定!B28),"",解答設定!B28)</f>
        <v/>
      </c>
      <c r="C31" s="393" t="str">
        <f t="shared" si="0"/>
        <v/>
      </c>
      <c r="D31" s="394"/>
      <c r="E31" s="395" t="str">
        <f>IF(ISBLANK(解答設定!E28),"",解答設定!E28)</f>
        <v/>
      </c>
      <c r="F31" s="396"/>
      <c r="G31" s="129" t="str">
        <f t="shared" si="1"/>
        <v/>
      </c>
      <c r="H31" s="397" t="str">
        <f ca="1">平均!E21</f>
        <v/>
      </c>
      <c r="I31" s="398"/>
      <c r="J31" s="399" t="str">
        <f>IFERROR(HLOOKUP(解答設定!H28,解答設定!$F$6:$AS$13,5),"")</f>
        <v/>
      </c>
      <c r="K31" s="400"/>
      <c r="L31" s="400"/>
      <c r="M31" s="400"/>
      <c r="N31" s="401"/>
      <c r="O31" s="393" t="str">
        <f>IF(ISBLANK(解答設定!R28),"",解答設定!R28)</f>
        <v/>
      </c>
      <c r="P31" s="402"/>
      <c r="Q31" s="70" t="str">
        <f>IF(ISBLANK(解答設定!B63),"",解答設定!B63)</f>
        <v/>
      </c>
      <c r="R31" s="393" t="str">
        <f t="shared" si="2"/>
        <v/>
      </c>
      <c r="S31" s="394"/>
      <c r="T31" s="395" t="str">
        <f>IF(ISBLANK(解答設定!E63),"",解答設定!E63)</f>
        <v/>
      </c>
      <c r="U31" s="396"/>
      <c r="V31" s="129" t="str">
        <f t="shared" si="3"/>
        <v/>
      </c>
      <c r="W31" s="397" t="str">
        <f ca="1">平均!L26</f>
        <v/>
      </c>
      <c r="X31" s="398"/>
      <c r="Y31" s="399" t="str">
        <f>IFERROR(HLOOKUP(解答設定!H63,解答設定!$F$6:$AS$13,5),"")</f>
        <v/>
      </c>
      <c r="Z31" s="400"/>
      <c r="AA31" s="400"/>
      <c r="AB31" s="400"/>
      <c r="AC31" s="401"/>
      <c r="AD31" s="393" t="str">
        <f>IF(ISBLANK(解答設定!R63),"",解答設定!R63)</f>
        <v/>
      </c>
      <c r="AE31" s="402"/>
    </row>
    <row r="32" spans="2:31" ht="16" customHeight="1">
      <c r="B32" s="70" t="str">
        <f>IF(ISBLANK(解答設定!B29),"",解答設定!B29)</f>
        <v/>
      </c>
      <c r="C32" s="393" t="str">
        <f t="shared" si="0"/>
        <v/>
      </c>
      <c r="D32" s="394"/>
      <c r="E32" s="395" t="str">
        <f>IF(ISBLANK(解答設定!E29),"",解答設定!E29)</f>
        <v/>
      </c>
      <c r="F32" s="396"/>
      <c r="G32" s="129" t="str">
        <f t="shared" si="1"/>
        <v/>
      </c>
      <c r="H32" s="397" t="str">
        <f ca="1">平均!E22</f>
        <v/>
      </c>
      <c r="I32" s="398"/>
      <c r="J32" s="399" t="str">
        <f>IFERROR(HLOOKUP(解答設定!H29,解答設定!$F$6:$AS$13,5),"")</f>
        <v/>
      </c>
      <c r="K32" s="400"/>
      <c r="L32" s="400"/>
      <c r="M32" s="400"/>
      <c r="N32" s="401"/>
      <c r="O32" s="393" t="str">
        <f>IF(ISBLANK(解答設定!R29),"",解答設定!R29)</f>
        <v/>
      </c>
      <c r="P32" s="402"/>
      <c r="Q32" s="70" t="str">
        <f>IF(ISBLANK(解答設定!B64),"",解答設定!B64)</f>
        <v/>
      </c>
      <c r="R32" s="393" t="str">
        <f t="shared" si="2"/>
        <v/>
      </c>
      <c r="S32" s="394"/>
      <c r="T32" s="395" t="str">
        <f>IF(ISBLANK(解答設定!E64),"",解答設定!E64)</f>
        <v/>
      </c>
      <c r="U32" s="396"/>
      <c r="V32" s="129" t="str">
        <f t="shared" si="3"/>
        <v/>
      </c>
      <c r="W32" s="397" t="str">
        <f ca="1">平均!L27</f>
        <v/>
      </c>
      <c r="X32" s="398"/>
      <c r="Y32" s="399" t="str">
        <f>IFERROR(HLOOKUP(解答設定!H64,解答設定!$F$6:$AS$13,5),"")</f>
        <v/>
      </c>
      <c r="Z32" s="400"/>
      <c r="AA32" s="400"/>
      <c r="AB32" s="400"/>
      <c r="AC32" s="401"/>
      <c r="AD32" s="393" t="str">
        <f>IF(ISBLANK(解答設定!R64),"",解答設定!R64)</f>
        <v/>
      </c>
      <c r="AE32" s="402"/>
    </row>
    <row r="33" spans="2:31" ht="16" customHeight="1">
      <c r="B33" s="70" t="str">
        <f>IF(ISBLANK(解答設定!B30),"",解答設定!B30)</f>
        <v/>
      </c>
      <c r="C33" s="393" t="str">
        <f t="shared" si="0"/>
        <v/>
      </c>
      <c r="D33" s="394"/>
      <c r="E33" s="395" t="str">
        <f>IF(ISBLANK(解答設定!E30),"",解答設定!E30)</f>
        <v/>
      </c>
      <c r="F33" s="396"/>
      <c r="G33" s="129" t="str">
        <f t="shared" si="1"/>
        <v/>
      </c>
      <c r="H33" s="397" t="str">
        <f ca="1">平均!E23</f>
        <v/>
      </c>
      <c r="I33" s="398"/>
      <c r="J33" s="399" t="str">
        <f>IFERROR(HLOOKUP(解答設定!H30,解答設定!$F$6:$AS$13,5),"")</f>
        <v/>
      </c>
      <c r="K33" s="400"/>
      <c r="L33" s="400"/>
      <c r="M33" s="400"/>
      <c r="N33" s="401"/>
      <c r="O33" s="393" t="str">
        <f>IF(ISBLANK(解答設定!R30),"",解答設定!R30)</f>
        <v/>
      </c>
      <c r="P33" s="402"/>
      <c r="Q33" s="70" t="str">
        <f>IF(ISBLANK(解答設定!B65),"",解答設定!B65)</f>
        <v/>
      </c>
      <c r="R33" s="393" t="str">
        <f t="shared" si="2"/>
        <v/>
      </c>
      <c r="S33" s="394"/>
      <c r="T33" s="395" t="str">
        <f>IF(ISBLANK(解答設定!E65),"",解答設定!E65)</f>
        <v/>
      </c>
      <c r="U33" s="396"/>
      <c r="V33" s="129" t="str">
        <f t="shared" si="3"/>
        <v/>
      </c>
      <c r="W33" s="397" t="str">
        <f ca="1">平均!L28</f>
        <v/>
      </c>
      <c r="X33" s="398"/>
      <c r="Y33" s="399" t="str">
        <f>IFERROR(HLOOKUP(解答設定!H65,解答設定!$F$6:$AS$13,5),"")</f>
        <v/>
      </c>
      <c r="Z33" s="400"/>
      <c r="AA33" s="400"/>
      <c r="AB33" s="400"/>
      <c r="AC33" s="401"/>
      <c r="AD33" s="393" t="str">
        <f>IF(ISBLANK(解答設定!R65),"",解答設定!R65)</f>
        <v/>
      </c>
      <c r="AE33" s="402"/>
    </row>
    <row r="34" spans="2:31" ht="16" customHeight="1">
      <c r="B34" s="70" t="str">
        <f>IF(ISBLANK(解答設定!B31),"",解答設定!B31)</f>
        <v/>
      </c>
      <c r="C34" s="393" t="str">
        <f t="shared" si="0"/>
        <v/>
      </c>
      <c r="D34" s="394"/>
      <c r="E34" s="395" t="str">
        <f>IF(ISBLANK(解答設定!E31),"",解答設定!E31)</f>
        <v/>
      </c>
      <c r="F34" s="396"/>
      <c r="G34" s="129" t="str">
        <f t="shared" si="1"/>
        <v/>
      </c>
      <c r="H34" s="397" t="str">
        <f ca="1">平均!E24</f>
        <v/>
      </c>
      <c r="I34" s="398"/>
      <c r="J34" s="399" t="str">
        <f>IFERROR(HLOOKUP(解答設定!H31,解答設定!$F$6:$AS$13,5),"")</f>
        <v/>
      </c>
      <c r="K34" s="400"/>
      <c r="L34" s="400"/>
      <c r="M34" s="400"/>
      <c r="N34" s="401"/>
      <c r="O34" s="393" t="str">
        <f>IF(ISBLANK(解答設定!R31),"",解答設定!R31)</f>
        <v/>
      </c>
      <c r="P34" s="402"/>
      <c r="Q34" s="70" t="str">
        <f>IF(ISBLANK(解答設定!B66),"",解答設定!B66)</f>
        <v/>
      </c>
      <c r="R34" s="393" t="str">
        <f t="shared" si="2"/>
        <v/>
      </c>
      <c r="S34" s="394"/>
      <c r="T34" s="395" t="str">
        <f>IF(ISBLANK(解答設定!E66),"",解答設定!E66)</f>
        <v/>
      </c>
      <c r="U34" s="396"/>
      <c r="V34" s="129" t="str">
        <f t="shared" si="3"/>
        <v/>
      </c>
      <c r="W34" s="397" t="str">
        <f ca="1">平均!L29</f>
        <v/>
      </c>
      <c r="X34" s="398"/>
      <c r="Y34" s="399" t="str">
        <f>IFERROR(HLOOKUP(解答設定!H66,解答設定!$F$6:$AS$13,5),"")</f>
        <v/>
      </c>
      <c r="Z34" s="400"/>
      <c r="AA34" s="400"/>
      <c r="AB34" s="400"/>
      <c r="AC34" s="401"/>
      <c r="AD34" s="393" t="str">
        <f>IF(ISBLANK(解答設定!R66),"",解答設定!R66)</f>
        <v/>
      </c>
      <c r="AE34" s="402"/>
    </row>
    <row r="35" spans="2:31" ht="16" customHeight="1">
      <c r="B35" s="70" t="str">
        <f>IF(ISBLANK(解答設定!B32),"",解答設定!B32)</f>
        <v/>
      </c>
      <c r="C35" s="393" t="str">
        <f t="shared" si="0"/>
        <v/>
      </c>
      <c r="D35" s="394"/>
      <c r="E35" s="395" t="str">
        <f>IF(ISBLANK(解答設定!E32),"",解答設定!E32)</f>
        <v/>
      </c>
      <c r="F35" s="396"/>
      <c r="G35" s="129" t="str">
        <f t="shared" si="1"/>
        <v/>
      </c>
      <c r="H35" s="397" t="str">
        <f ca="1">平均!E25</f>
        <v/>
      </c>
      <c r="I35" s="398"/>
      <c r="J35" s="399" t="str">
        <f>IFERROR(HLOOKUP(解答設定!H32,解答設定!$F$6:$AS$13,5),"")</f>
        <v/>
      </c>
      <c r="K35" s="400"/>
      <c r="L35" s="400"/>
      <c r="M35" s="400"/>
      <c r="N35" s="401"/>
      <c r="O35" s="393" t="str">
        <f>IF(ISBLANK(解答設定!R32),"",解答設定!R32)</f>
        <v/>
      </c>
      <c r="P35" s="402"/>
      <c r="Q35" s="70" t="str">
        <f>IF(ISBLANK(解答設定!B67),"",解答設定!B67)</f>
        <v/>
      </c>
      <c r="R35" s="393" t="str">
        <f t="shared" si="2"/>
        <v/>
      </c>
      <c r="S35" s="394"/>
      <c r="T35" s="395" t="str">
        <f>IF(ISBLANK(解答設定!E67),"",解答設定!E67)</f>
        <v/>
      </c>
      <c r="U35" s="396"/>
      <c r="V35" s="129" t="str">
        <f t="shared" si="3"/>
        <v/>
      </c>
      <c r="W35" s="397" t="str">
        <f ca="1">平均!L30</f>
        <v/>
      </c>
      <c r="X35" s="398"/>
      <c r="Y35" s="399" t="str">
        <f>IFERROR(HLOOKUP(解答設定!H67,解答設定!$F$6:$AS$13,5),"")</f>
        <v/>
      </c>
      <c r="Z35" s="400"/>
      <c r="AA35" s="400"/>
      <c r="AB35" s="400"/>
      <c r="AC35" s="401"/>
      <c r="AD35" s="393" t="str">
        <f>IF(ISBLANK(解答設定!R67),"",解答設定!R67)</f>
        <v/>
      </c>
      <c r="AE35" s="402"/>
    </row>
    <row r="36" spans="2:31" ht="16" customHeight="1">
      <c r="B36" s="70" t="str">
        <f>IF(ISBLANK(解答設定!B33),"",解答設定!B33)</f>
        <v/>
      </c>
      <c r="C36" s="393" t="str">
        <f t="shared" si="0"/>
        <v/>
      </c>
      <c r="D36" s="394"/>
      <c r="E36" s="395" t="str">
        <f>IF(ISBLANK(解答設定!E33),"",解答設定!E33)</f>
        <v/>
      </c>
      <c r="F36" s="396"/>
      <c r="G36" s="129" t="str">
        <f t="shared" si="1"/>
        <v/>
      </c>
      <c r="H36" s="397" t="str">
        <f ca="1">平均!E26</f>
        <v/>
      </c>
      <c r="I36" s="398"/>
      <c r="J36" s="399" t="str">
        <f>IFERROR(HLOOKUP(解答設定!H33,解答設定!$F$6:$AS$13,5),"")</f>
        <v/>
      </c>
      <c r="K36" s="400"/>
      <c r="L36" s="400"/>
      <c r="M36" s="400"/>
      <c r="N36" s="401"/>
      <c r="O36" s="393" t="str">
        <f>IF(ISBLANK(解答設定!R33),"",解答設定!R33)</f>
        <v/>
      </c>
      <c r="P36" s="402"/>
      <c r="Q36" s="70" t="str">
        <f>IF(ISBLANK(解答設定!B68),"",解答設定!B68)</f>
        <v/>
      </c>
      <c r="R36" s="393" t="str">
        <f t="shared" si="2"/>
        <v/>
      </c>
      <c r="S36" s="394"/>
      <c r="T36" s="395" t="str">
        <f>IF(ISBLANK(解答設定!E68),"",解答設定!E68)</f>
        <v/>
      </c>
      <c r="U36" s="396"/>
      <c r="V36" s="129" t="str">
        <f t="shared" si="3"/>
        <v/>
      </c>
      <c r="W36" s="397" t="str">
        <f ca="1">平均!L31</f>
        <v/>
      </c>
      <c r="X36" s="398"/>
      <c r="Y36" s="399" t="str">
        <f>IFERROR(HLOOKUP(解答設定!H68,解答設定!$F$6:$AS$13,5),"")</f>
        <v/>
      </c>
      <c r="Z36" s="400"/>
      <c r="AA36" s="400"/>
      <c r="AB36" s="400"/>
      <c r="AC36" s="401"/>
      <c r="AD36" s="393" t="str">
        <f>IF(ISBLANK(解答設定!R68),"",解答設定!R68)</f>
        <v/>
      </c>
      <c r="AE36" s="402"/>
    </row>
    <row r="37" spans="2:31" ht="16" customHeight="1">
      <c r="B37" s="70" t="str">
        <f>IF(ISBLANK(解答設定!B34),"",解答設定!B34)</f>
        <v/>
      </c>
      <c r="C37" s="393" t="str">
        <f t="shared" si="0"/>
        <v/>
      </c>
      <c r="D37" s="394"/>
      <c r="E37" s="395" t="str">
        <f>IF(ISBLANK(解答設定!E34),"",解答設定!E34)</f>
        <v/>
      </c>
      <c r="F37" s="396"/>
      <c r="G37" s="129" t="str">
        <f t="shared" si="1"/>
        <v/>
      </c>
      <c r="H37" s="397" t="str">
        <f ca="1">平均!E27</f>
        <v/>
      </c>
      <c r="I37" s="398"/>
      <c r="J37" s="399" t="str">
        <f>IFERROR(HLOOKUP(解答設定!H34,解答設定!$F$6:$AS$13,5),"")</f>
        <v/>
      </c>
      <c r="K37" s="400"/>
      <c r="L37" s="400"/>
      <c r="M37" s="400"/>
      <c r="N37" s="401"/>
      <c r="O37" s="393" t="str">
        <f>IF(ISBLANK(解答設定!R34),"",解答設定!R34)</f>
        <v/>
      </c>
      <c r="P37" s="402"/>
      <c r="Q37" s="70" t="str">
        <f>IF(ISBLANK(解答設定!B69),"",解答設定!B69)</f>
        <v/>
      </c>
      <c r="R37" s="393" t="str">
        <f t="shared" si="2"/>
        <v/>
      </c>
      <c r="S37" s="394"/>
      <c r="T37" s="395" t="str">
        <f>IF(ISBLANK(解答設定!E69),"",解答設定!E69)</f>
        <v/>
      </c>
      <c r="U37" s="396"/>
      <c r="V37" s="129" t="str">
        <f t="shared" si="3"/>
        <v/>
      </c>
      <c r="W37" s="397" t="str">
        <f ca="1">平均!L32</f>
        <v/>
      </c>
      <c r="X37" s="398"/>
      <c r="Y37" s="399" t="str">
        <f>IFERROR(HLOOKUP(解答設定!H69,解答設定!$F$6:$AS$13,5),"")</f>
        <v/>
      </c>
      <c r="Z37" s="400"/>
      <c r="AA37" s="400"/>
      <c r="AB37" s="400"/>
      <c r="AC37" s="401"/>
      <c r="AD37" s="393" t="str">
        <f>IF(ISBLANK(解答設定!R69),"",解答設定!R69)</f>
        <v/>
      </c>
      <c r="AE37" s="402"/>
    </row>
    <row r="38" spans="2:31" ht="16" customHeight="1">
      <c r="B38" s="70" t="str">
        <f>IF(ISBLANK(解答設定!B35),"",解答設定!B35)</f>
        <v/>
      </c>
      <c r="C38" s="393" t="str">
        <f t="shared" si="0"/>
        <v/>
      </c>
      <c r="D38" s="394"/>
      <c r="E38" s="395" t="str">
        <f>IF(ISBLANK(解答設定!E35),"",解答設定!E35)</f>
        <v/>
      </c>
      <c r="F38" s="396"/>
      <c r="G38" s="129" t="str">
        <f t="shared" si="1"/>
        <v/>
      </c>
      <c r="H38" s="397" t="str">
        <f ca="1">平均!E28</f>
        <v/>
      </c>
      <c r="I38" s="398"/>
      <c r="J38" s="399" t="str">
        <f>IFERROR(HLOOKUP(解答設定!H35,解答設定!$F$6:$AS$13,5),"")</f>
        <v/>
      </c>
      <c r="K38" s="400"/>
      <c r="L38" s="400"/>
      <c r="M38" s="400"/>
      <c r="N38" s="401"/>
      <c r="O38" s="393" t="str">
        <f>IF(ISBLANK(解答設定!R35),"",解答設定!R35)</f>
        <v/>
      </c>
      <c r="P38" s="402"/>
      <c r="Q38" s="70" t="str">
        <f>IF(ISBLANK(解答設定!B70),"",解答設定!B70)</f>
        <v/>
      </c>
      <c r="R38" s="393" t="str">
        <f t="shared" si="2"/>
        <v/>
      </c>
      <c r="S38" s="394"/>
      <c r="T38" s="395" t="str">
        <f>IF(ISBLANK(解答設定!E70),"",解答設定!E70)</f>
        <v/>
      </c>
      <c r="U38" s="396"/>
      <c r="V38" s="129" t="str">
        <f t="shared" si="3"/>
        <v/>
      </c>
      <c r="W38" s="397" t="str">
        <f ca="1">平均!L33</f>
        <v/>
      </c>
      <c r="X38" s="398"/>
      <c r="Y38" s="399" t="str">
        <f>IFERROR(HLOOKUP(解答設定!H70,解答設定!$F$6:$AS$13,5),"")</f>
        <v/>
      </c>
      <c r="Z38" s="400"/>
      <c r="AA38" s="400"/>
      <c r="AB38" s="400"/>
      <c r="AC38" s="401"/>
      <c r="AD38" s="393" t="str">
        <f>IF(ISBLANK(解答設定!R70),"",解答設定!R70)</f>
        <v/>
      </c>
      <c r="AE38" s="402"/>
    </row>
    <row r="39" spans="2:31" ht="16" customHeight="1">
      <c r="B39" s="70" t="str">
        <f>IF(ISBLANK(解答設定!B36),"",解答設定!B36)</f>
        <v/>
      </c>
      <c r="C39" s="393" t="str">
        <f t="shared" si="0"/>
        <v/>
      </c>
      <c r="D39" s="394"/>
      <c r="E39" s="395" t="str">
        <f>IF(ISBLANK(解答設定!E36),"",解答設定!E36)</f>
        <v/>
      </c>
      <c r="F39" s="396"/>
      <c r="G39" s="129" t="str">
        <f t="shared" si="1"/>
        <v/>
      </c>
      <c r="H39" s="397" t="str">
        <f ca="1">平均!E29</f>
        <v/>
      </c>
      <c r="I39" s="398"/>
      <c r="J39" s="399" t="str">
        <f>IFERROR(HLOOKUP(解答設定!H36,解答設定!$F$6:$AS$13,5),"")</f>
        <v/>
      </c>
      <c r="K39" s="400"/>
      <c r="L39" s="400"/>
      <c r="M39" s="400"/>
      <c r="N39" s="401"/>
      <c r="O39" s="393" t="str">
        <f>IF(ISBLANK(解答設定!R36),"",解答設定!R36)</f>
        <v/>
      </c>
      <c r="P39" s="402"/>
      <c r="Q39" s="70" t="str">
        <f>IF(ISBLANK(解答設定!B71),"",解答設定!B71)</f>
        <v/>
      </c>
      <c r="R39" s="393" t="str">
        <f t="shared" si="2"/>
        <v/>
      </c>
      <c r="S39" s="394"/>
      <c r="T39" s="395" t="str">
        <f>IF(ISBLANK(解答設定!E71),"",解答設定!E71)</f>
        <v/>
      </c>
      <c r="U39" s="396"/>
      <c r="V39" s="129" t="str">
        <f t="shared" si="3"/>
        <v/>
      </c>
      <c r="W39" s="397" t="str">
        <f ca="1">平均!L34</f>
        <v/>
      </c>
      <c r="X39" s="398"/>
      <c r="Y39" s="399" t="str">
        <f>IFERROR(HLOOKUP(解答設定!H71,解答設定!$F$6:$AS$13,5),"")</f>
        <v/>
      </c>
      <c r="Z39" s="400"/>
      <c r="AA39" s="400"/>
      <c r="AB39" s="400"/>
      <c r="AC39" s="401"/>
      <c r="AD39" s="393" t="str">
        <f>IF(ISBLANK(解答設定!R71),"",解答設定!R71)</f>
        <v/>
      </c>
      <c r="AE39" s="402"/>
    </row>
    <row r="40" spans="2:31" ht="16" customHeight="1">
      <c r="B40" s="70" t="str">
        <f>IF(ISBLANK(解答設定!B37),"",解答設定!B37)</f>
        <v/>
      </c>
      <c r="C40" s="393" t="str">
        <f t="shared" si="0"/>
        <v/>
      </c>
      <c r="D40" s="394"/>
      <c r="E40" s="395" t="str">
        <f>IF(ISBLANK(解答設定!E37),"",解答設定!E37)</f>
        <v/>
      </c>
      <c r="F40" s="396"/>
      <c r="G40" s="129" t="str">
        <f t="shared" si="1"/>
        <v/>
      </c>
      <c r="H40" s="397" t="str">
        <f ca="1">平均!E30</f>
        <v/>
      </c>
      <c r="I40" s="398"/>
      <c r="J40" s="399" t="str">
        <f>IFERROR(HLOOKUP(解答設定!H37,解答設定!$F$6:$AS$13,5),"")</f>
        <v/>
      </c>
      <c r="K40" s="400"/>
      <c r="L40" s="400"/>
      <c r="M40" s="400"/>
      <c r="N40" s="401"/>
      <c r="O40" s="393" t="str">
        <f>IF(ISBLANK(解答設定!R37),"",解答設定!R37)</f>
        <v/>
      </c>
      <c r="P40" s="402"/>
      <c r="Q40" s="70" t="str">
        <f>IF(ISBLANK(解答設定!B72),"",解答設定!B72)</f>
        <v/>
      </c>
      <c r="R40" s="393" t="str">
        <f t="shared" si="2"/>
        <v/>
      </c>
      <c r="S40" s="394"/>
      <c r="T40" s="395" t="str">
        <f>IF(ISBLANK(解答設定!E72),"",解答設定!E72)</f>
        <v/>
      </c>
      <c r="U40" s="396"/>
      <c r="V40" s="129" t="str">
        <f t="shared" si="3"/>
        <v/>
      </c>
      <c r="W40" s="397" t="str">
        <f ca="1">平均!L35</f>
        <v/>
      </c>
      <c r="X40" s="398"/>
      <c r="Y40" s="399" t="str">
        <f>IFERROR(HLOOKUP(解答設定!H72,解答設定!$F$6:$AS$13,5),"")</f>
        <v/>
      </c>
      <c r="Z40" s="400"/>
      <c r="AA40" s="400"/>
      <c r="AB40" s="400"/>
      <c r="AC40" s="401"/>
      <c r="AD40" s="393" t="str">
        <f>IF(ISBLANK(解答設定!R72),"",解答設定!R72)</f>
        <v/>
      </c>
      <c r="AE40" s="402"/>
    </row>
    <row r="41" spans="2:31" ht="16" customHeight="1">
      <c r="B41" s="70" t="str">
        <f>IF(ISBLANK(解答設定!B38),"",解答設定!B38)</f>
        <v/>
      </c>
      <c r="C41" s="393" t="str">
        <f t="shared" si="0"/>
        <v/>
      </c>
      <c r="D41" s="394"/>
      <c r="E41" s="395" t="str">
        <f>IF(ISBLANK(解答設定!E38),"",解答設定!E38)</f>
        <v/>
      </c>
      <c r="F41" s="396"/>
      <c r="G41" s="129" t="str">
        <f t="shared" si="1"/>
        <v/>
      </c>
      <c r="H41" s="397" t="str">
        <f ca="1">平均!E31</f>
        <v/>
      </c>
      <c r="I41" s="398"/>
      <c r="J41" s="399" t="str">
        <f>IFERROR(HLOOKUP(解答設定!H38,解答設定!$F$6:$AS$13,5),"")</f>
        <v/>
      </c>
      <c r="K41" s="400"/>
      <c r="L41" s="400"/>
      <c r="M41" s="400"/>
      <c r="N41" s="401"/>
      <c r="O41" s="393" t="str">
        <f>IF(ISBLANK(解答設定!R38),"",解答設定!R38)</f>
        <v/>
      </c>
      <c r="P41" s="402"/>
      <c r="Q41" s="70" t="str">
        <f>IF(ISBLANK(解答設定!B73),"",解答設定!B73)</f>
        <v/>
      </c>
      <c r="R41" s="393" t="str">
        <f t="shared" si="2"/>
        <v/>
      </c>
      <c r="S41" s="394"/>
      <c r="T41" s="395" t="str">
        <f>IF(ISBLANK(解答設定!E73),"",解答設定!E73)</f>
        <v/>
      </c>
      <c r="U41" s="396"/>
      <c r="V41" s="129" t="str">
        <f t="shared" si="3"/>
        <v/>
      </c>
      <c r="W41" s="397" t="str">
        <f ca="1">平均!L36</f>
        <v/>
      </c>
      <c r="X41" s="398"/>
      <c r="Y41" s="399" t="str">
        <f>IFERROR(HLOOKUP(解答設定!H73,解答設定!$F$6:$AS$13,5),"")</f>
        <v/>
      </c>
      <c r="Z41" s="400"/>
      <c r="AA41" s="400"/>
      <c r="AB41" s="400"/>
      <c r="AC41" s="401"/>
      <c r="AD41" s="393" t="str">
        <f>IF(ISBLANK(解答設定!R73),"",解答設定!R73)</f>
        <v/>
      </c>
      <c r="AE41" s="402"/>
    </row>
    <row r="42" spans="2:31" ht="16" customHeight="1">
      <c r="B42" s="70" t="str">
        <f>IF(ISBLANK(解答設定!B39),"",解答設定!B39)</f>
        <v/>
      </c>
      <c r="C42" s="393" t="str">
        <f t="shared" si="0"/>
        <v/>
      </c>
      <c r="D42" s="394"/>
      <c r="E42" s="395" t="str">
        <f>IF(ISBLANK(解答設定!E39),"",解答設定!E39)</f>
        <v/>
      </c>
      <c r="F42" s="396"/>
      <c r="G42" s="129" t="str">
        <f t="shared" si="1"/>
        <v/>
      </c>
      <c r="H42" s="397" t="str">
        <f ca="1">平均!E32</f>
        <v/>
      </c>
      <c r="I42" s="398"/>
      <c r="J42" s="399" t="str">
        <f>IFERROR(HLOOKUP(解答設定!H39,解答設定!$F$6:$AS$13,5),"")</f>
        <v/>
      </c>
      <c r="K42" s="400"/>
      <c r="L42" s="400"/>
      <c r="M42" s="400"/>
      <c r="N42" s="401"/>
      <c r="O42" s="393" t="str">
        <f>IF(ISBLANK(解答設定!R39),"",解答設定!R39)</f>
        <v/>
      </c>
      <c r="P42" s="402"/>
      <c r="Q42" s="70" t="str">
        <f>IF(ISBLANK(解答設定!B74),"",解答設定!B74)</f>
        <v/>
      </c>
      <c r="R42" s="393" t="str">
        <f t="shared" si="2"/>
        <v/>
      </c>
      <c r="S42" s="394"/>
      <c r="T42" s="395" t="str">
        <f>IF(ISBLANK(解答設定!E74),"",解答設定!E74)</f>
        <v/>
      </c>
      <c r="U42" s="396"/>
      <c r="V42" s="129" t="str">
        <f t="shared" si="3"/>
        <v/>
      </c>
      <c r="W42" s="397" t="str">
        <f ca="1">平均!L37</f>
        <v/>
      </c>
      <c r="X42" s="398"/>
      <c r="Y42" s="399" t="str">
        <f>IFERROR(HLOOKUP(解答設定!H74,解答設定!$F$6:$AS$13,5),"")</f>
        <v/>
      </c>
      <c r="Z42" s="400"/>
      <c r="AA42" s="400"/>
      <c r="AB42" s="400"/>
      <c r="AC42" s="401"/>
      <c r="AD42" s="393" t="str">
        <f>IF(ISBLANK(解答設定!R74),"",解答設定!R74)</f>
        <v/>
      </c>
      <c r="AE42" s="402"/>
    </row>
    <row r="43" spans="2:31" ht="16" customHeight="1">
      <c r="B43" s="70" t="str">
        <f>IF(ISBLANK(解答設定!B40),"",解答設定!B40)</f>
        <v/>
      </c>
      <c r="C43" s="393" t="str">
        <f t="shared" si="0"/>
        <v/>
      </c>
      <c r="D43" s="394"/>
      <c r="E43" s="395" t="str">
        <f>IF(ISBLANK(解答設定!E40),"",解答設定!E40)</f>
        <v/>
      </c>
      <c r="F43" s="396"/>
      <c r="G43" s="129" t="str">
        <f t="shared" si="1"/>
        <v/>
      </c>
      <c r="H43" s="397" t="str">
        <f ca="1">平均!E33</f>
        <v/>
      </c>
      <c r="I43" s="398"/>
      <c r="J43" s="399" t="str">
        <f>IFERROR(HLOOKUP(解答設定!H40,解答設定!$F$6:$AS$13,5),"")</f>
        <v/>
      </c>
      <c r="K43" s="400"/>
      <c r="L43" s="400"/>
      <c r="M43" s="400"/>
      <c r="N43" s="401"/>
      <c r="O43" s="393" t="str">
        <f>IF(ISBLANK(解答設定!R40),"",解答設定!R40)</f>
        <v/>
      </c>
      <c r="P43" s="402"/>
      <c r="Q43" s="70" t="str">
        <f>IF(ISBLANK(解答設定!B75),"",解答設定!B75)</f>
        <v/>
      </c>
      <c r="R43" s="393" t="str">
        <f t="shared" si="2"/>
        <v/>
      </c>
      <c r="S43" s="394"/>
      <c r="T43" s="395" t="str">
        <f>IF(ISBLANK(解答設定!E75),"",解答設定!E75)</f>
        <v/>
      </c>
      <c r="U43" s="396"/>
      <c r="V43" s="129" t="str">
        <f t="shared" si="3"/>
        <v/>
      </c>
      <c r="W43" s="397" t="str">
        <f ca="1">平均!L38</f>
        <v/>
      </c>
      <c r="X43" s="398"/>
      <c r="Y43" s="399" t="str">
        <f>IFERROR(HLOOKUP(解答設定!H75,解答設定!$F$6:$AS$13,5),"")</f>
        <v/>
      </c>
      <c r="Z43" s="400"/>
      <c r="AA43" s="400"/>
      <c r="AB43" s="400"/>
      <c r="AC43" s="401"/>
      <c r="AD43" s="393" t="str">
        <f>IF(ISBLANK(解答設定!R75),"",解答設定!R75)</f>
        <v/>
      </c>
      <c r="AE43" s="402"/>
    </row>
    <row r="44" spans="2:31" ht="16" customHeight="1">
      <c r="B44" s="70" t="str">
        <f>IF(ISBLANK(解答設定!B41),"",解答設定!B41)</f>
        <v/>
      </c>
      <c r="C44" s="393" t="str">
        <f t="shared" si="0"/>
        <v/>
      </c>
      <c r="D44" s="394"/>
      <c r="E44" s="395" t="str">
        <f>IF(ISBLANK(解答設定!E41),"",解答設定!E41)</f>
        <v/>
      </c>
      <c r="F44" s="396"/>
      <c r="G44" s="129" t="str">
        <f t="shared" si="1"/>
        <v/>
      </c>
      <c r="H44" s="397" t="str">
        <f ca="1">平均!E34</f>
        <v/>
      </c>
      <c r="I44" s="398"/>
      <c r="J44" s="399" t="str">
        <f>IFERROR(HLOOKUP(解答設定!H41,解答設定!$F$6:$AS$13,5),"")</f>
        <v/>
      </c>
      <c r="K44" s="400"/>
      <c r="L44" s="400"/>
      <c r="M44" s="400"/>
      <c r="N44" s="401"/>
      <c r="O44" s="393" t="str">
        <f>IF(ISBLANK(解答設定!R41),"",解答設定!R41)</f>
        <v/>
      </c>
      <c r="P44" s="402"/>
      <c r="Q44" s="70" t="str">
        <f>IF(ISBLANK(解答設定!B76),"",解答設定!B76)</f>
        <v/>
      </c>
      <c r="R44" s="393" t="str">
        <f t="shared" si="2"/>
        <v/>
      </c>
      <c r="S44" s="394"/>
      <c r="T44" s="395" t="str">
        <f>IF(ISBLANK(解答設定!E76),"",解答設定!E76)</f>
        <v/>
      </c>
      <c r="U44" s="396"/>
      <c r="V44" s="129" t="str">
        <f t="shared" si="3"/>
        <v/>
      </c>
      <c r="W44" s="397" t="str">
        <f ca="1">平均!L39</f>
        <v/>
      </c>
      <c r="X44" s="398"/>
      <c r="Y44" s="399" t="str">
        <f>IFERROR(HLOOKUP(解答設定!H76,解答設定!$F$6:$AS$13,5),"")</f>
        <v/>
      </c>
      <c r="Z44" s="400"/>
      <c r="AA44" s="400"/>
      <c r="AB44" s="400"/>
      <c r="AC44" s="401"/>
      <c r="AD44" s="393" t="str">
        <f>IF(ISBLANK(解答設定!R76),"",解答設定!R76)</f>
        <v/>
      </c>
      <c r="AE44" s="402"/>
    </row>
    <row r="45" spans="2:31" ht="16" customHeight="1">
      <c r="B45" s="70" t="str">
        <f>IF(ISBLANK(解答設定!B42),"",解答設定!B42)</f>
        <v/>
      </c>
      <c r="C45" s="393" t="str">
        <f t="shared" si="0"/>
        <v/>
      </c>
      <c r="D45" s="394"/>
      <c r="E45" s="395" t="str">
        <f>IF(ISBLANK(解答設定!E42),"",解答設定!E42)</f>
        <v/>
      </c>
      <c r="F45" s="396"/>
      <c r="G45" s="129" t="str">
        <f t="shared" si="1"/>
        <v/>
      </c>
      <c r="H45" s="397" t="str">
        <f ca="1">平均!E35</f>
        <v/>
      </c>
      <c r="I45" s="398"/>
      <c r="J45" s="399" t="str">
        <f>IFERROR(HLOOKUP(解答設定!H42,解答設定!$F$6:$AS$13,5),"")</f>
        <v/>
      </c>
      <c r="K45" s="400"/>
      <c r="L45" s="400"/>
      <c r="M45" s="400"/>
      <c r="N45" s="401"/>
      <c r="O45" s="393" t="str">
        <f>IF(ISBLANK(解答設定!R42),"",解答設定!R42)</f>
        <v/>
      </c>
      <c r="P45" s="402"/>
      <c r="Q45" s="70" t="str">
        <f>IF(ISBLANK(解答設定!B77),"",解答設定!B77)</f>
        <v/>
      </c>
      <c r="R45" s="393" t="str">
        <f t="shared" si="2"/>
        <v/>
      </c>
      <c r="S45" s="394"/>
      <c r="T45" s="395" t="str">
        <f>IF(ISBLANK(解答設定!E77),"",解答設定!E77)</f>
        <v/>
      </c>
      <c r="U45" s="396"/>
      <c r="V45" s="129" t="str">
        <f t="shared" si="3"/>
        <v/>
      </c>
      <c r="W45" s="397" t="str">
        <f ca="1">平均!L40</f>
        <v/>
      </c>
      <c r="X45" s="398"/>
      <c r="Y45" s="399" t="str">
        <f>IFERROR(HLOOKUP(解答設定!H77,解答設定!$F$6:$AS$13,5),"")</f>
        <v/>
      </c>
      <c r="Z45" s="400"/>
      <c r="AA45" s="400"/>
      <c r="AB45" s="400"/>
      <c r="AC45" s="401"/>
      <c r="AD45" s="393" t="str">
        <f>IF(ISBLANK(解答設定!R77),"",解答設定!R77)</f>
        <v/>
      </c>
      <c r="AE45" s="402"/>
    </row>
    <row r="46" spans="2:31" ht="16" customHeight="1">
      <c r="B46" s="70" t="str">
        <f>IF(ISBLANK(解答設定!B43),"",解答設定!B43)</f>
        <v/>
      </c>
      <c r="C46" s="393" t="str">
        <f t="shared" si="0"/>
        <v/>
      </c>
      <c r="D46" s="394"/>
      <c r="E46" s="395" t="str">
        <f>IF(ISBLANK(解答設定!E43),"",解答設定!E43)</f>
        <v/>
      </c>
      <c r="F46" s="396"/>
      <c r="G46" s="129" t="str">
        <f t="shared" si="1"/>
        <v/>
      </c>
      <c r="H46" s="397" t="str">
        <f ca="1">平均!E36</f>
        <v/>
      </c>
      <c r="I46" s="398"/>
      <c r="J46" s="399" t="str">
        <f>IFERROR(HLOOKUP(解答設定!H43,解答設定!$F$6:$AS$13,5),"")</f>
        <v/>
      </c>
      <c r="K46" s="400"/>
      <c r="L46" s="400"/>
      <c r="M46" s="400"/>
      <c r="N46" s="401"/>
      <c r="O46" s="393" t="str">
        <f>IF(ISBLANK(解答設定!R43),"",解答設定!R43)</f>
        <v/>
      </c>
      <c r="P46" s="402"/>
      <c r="Q46" s="70" t="str">
        <f>IF(ISBLANK(解答設定!B78),"",解答設定!B78)</f>
        <v/>
      </c>
      <c r="R46" s="393" t="str">
        <f t="shared" si="2"/>
        <v/>
      </c>
      <c r="S46" s="394"/>
      <c r="T46" s="395" t="str">
        <f>IF(ISBLANK(解答設定!E78),"",解答設定!E78)</f>
        <v/>
      </c>
      <c r="U46" s="396"/>
      <c r="V46" s="129" t="str">
        <f t="shared" si="3"/>
        <v/>
      </c>
      <c r="W46" s="397" t="str">
        <f ca="1">平均!L41</f>
        <v/>
      </c>
      <c r="X46" s="398"/>
      <c r="Y46" s="399" t="str">
        <f>IFERROR(HLOOKUP(解答設定!H78,解答設定!$F$6:$AS$13,5),"")</f>
        <v/>
      </c>
      <c r="Z46" s="400"/>
      <c r="AA46" s="400"/>
      <c r="AB46" s="400"/>
      <c r="AC46" s="401"/>
      <c r="AD46" s="393" t="str">
        <f>IF(ISBLANK(解答設定!R78),"",解答設定!R78)</f>
        <v/>
      </c>
      <c r="AE46" s="402"/>
    </row>
    <row r="47" spans="2:31" ht="16" customHeight="1">
      <c r="B47" s="70" t="str">
        <f>IF(ISBLANK(解答設定!B44),"",解答設定!B44)</f>
        <v/>
      </c>
      <c r="C47" s="393" t="str">
        <f t="shared" si="0"/>
        <v/>
      </c>
      <c r="D47" s="394"/>
      <c r="E47" s="395" t="str">
        <f>IF(ISBLANK(解答設定!E44),"",解答設定!E44)</f>
        <v/>
      </c>
      <c r="F47" s="396"/>
      <c r="G47" s="129" t="str">
        <f t="shared" si="1"/>
        <v/>
      </c>
      <c r="H47" s="397" t="str">
        <f ca="1">平均!E37</f>
        <v/>
      </c>
      <c r="I47" s="398"/>
      <c r="J47" s="399" t="str">
        <f>IFERROR(HLOOKUP(解答設定!H44,解答設定!$F$6:$AS$13,5),"")</f>
        <v/>
      </c>
      <c r="K47" s="400"/>
      <c r="L47" s="400"/>
      <c r="M47" s="400"/>
      <c r="N47" s="401"/>
      <c r="O47" s="393" t="str">
        <f>IF(ISBLANK(解答設定!R44),"",解答設定!R44)</f>
        <v/>
      </c>
      <c r="P47" s="402"/>
      <c r="Q47" s="70" t="str">
        <f>IF(ISBLANK(解答設定!B79),"",解答設定!B79)</f>
        <v/>
      </c>
      <c r="R47" s="393" t="str">
        <f t="shared" si="2"/>
        <v/>
      </c>
      <c r="S47" s="394"/>
      <c r="T47" s="395" t="str">
        <f>IF(ISBLANK(解答設定!E79),"",解答設定!E79)</f>
        <v/>
      </c>
      <c r="U47" s="396"/>
      <c r="V47" s="129" t="str">
        <f t="shared" si="3"/>
        <v/>
      </c>
      <c r="W47" s="397" t="str">
        <f ca="1">平均!L42</f>
        <v/>
      </c>
      <c r="X47" s="398"/>
      <c r="Y47" s="399" t="str">
        <f>IFERROR(HLOOKUP(解答設定!H79,解答設定!$F$6:$AS$13,5),"")</f>
        <v/>
      </c>
      <c r="Z47" s="400"/>
      <c r="AA47" s="400"/>
      <c r="AB47" s="400"/>
      <c r="AC47" s="401"/>
      <c r="AD47" s="393" t="str">
        <f>IF(ISBLANK(解答設定!R79),"",解答設定!R79)</f>
        <v/>
      </c>
      <c r="AE47" s="402"/>
    </row>
    <row r="48" spans="2:31" ht="16" customHeight="1">
      <c r="B48" s="70" t="str">
        <f>IF(ISBLANK(解答設定!B45),"",解答設定!B45)</f>
        <v/>
      </c>
      <c r="C48" s="393" t="str">
        <f t="shared" si="0"/>
        <v/>
      </c>
      <c r="D48" s="394"/>
      <c r="E48" s="395" t="str">
        <f>IF(ISBLANK(解答設定!E45),"",解答設定!E45)</f>
        <v/>
      </c>
      <c r="F48" s="396"/>
      <c r="G48" s="129" t="str">
        <f t="shared" si="1"/>
        <v/>
      </c>
      <c r="H48" s="397" t="str">
        <f ca="1">平均!E38</f>
        <v/>
      </c>
      <c r="I48" s="398"/>
      <c r="J48" s="399" t="str">
        <f>IFERROR(HLOOKUP(解答設定!H45,解答設定!$F$6:$AS$13,5),"")</f>
        <v/>
      </c>
      <c r="K48" s="400"/>
      <c r="L48" s="400"/>
      <c r="M48" s="400"/>
      <c r="N48" s="401"/>
      <c r="O48" s="393" t="str">
        <f>IF(ISBLANK(解答設定!R45),"",解答設定!R45)</f>
        <v/>
      </c>
      <c r="P48" s="402"/>
      <c r="Q48" s="70" t="str">
        <f>IF(ISBLANK(解答設定!B80),"",解答設定!B80)</f>
        <v/>
      </c>
      <c r="R48" s="393" t="str">
        <f t="shared" si="2"/>
        <v/>
      </c>
      <c r="S48" s="394"/>
      <c r="T48" s="395" t="str">
        <f>IF(ISBLANK(解答設定!E80),"",解答設定!E80)</f>
        <v/>
      </c>
      <c r="U48" s="396"/>
      <c r="V48" s="129" t="str">
        <f t="shared" si="3"/>
        <v/>
      </c>
      <c r="W48" s="397" t="str">
        <f ca="1">平均!S13</f>
        <v/>
      </c>
      <c r="X48" s="398"/>
      <c r="Y48" s="399" t="str">
        <f>IFERROR(HLOOKUP(解答設定!H80,解答設定!$F$6:$AS$13,5),"")</f>
        <v/>
      </c>
      <c r="Z48" s="400"/>
      <c r="AA48" s="400"/>
      <c r="AB48" s="400"/>
      <c r="AC48" s="401"/>
      <c r="AD48" s="393" t="str">
        <f>IF(ISBLANK(解答設定!R80),"",解答設定!R80)</f>
        <v/>
      </c>
      <c r="AE48" s="402"/>
    </row>
    <row r="49" spans="2:32" ht="16" customHeight="1">
      <c r="B49" s="70" t="str">
        <f>IF(ISBLANK(解答設定!B46),"",解答設定!B46)</f>
        <v/>
      </c>
      <c r="C49" s="393" t="str">
        <f t="shared" si="0"/>
        <v/>
      </c>
      <c r="D49" s="394"/>
      <c r="E49" s="395" t="str">
        <f>IF(ISBLANK(解答設定!E46),"",解答設定!E46)</f>
        <v/>
      </c>
      <c r="F49" s="396"/>
      <c r="G49" s="129" t="str">
        <f t="shared" si="1"/>
        <v/>
      </c>
      <c r="H49" s="397" t="str">
        <f ca="1">平均!E39</f>
        <v/>
      </c>
      <c r="I49" s="398"/>
      <c r="J49" s="399" t="str">
        <f>IFERROR(HLOOKUP(解答設定!H46,解答設定!$F$6:$AS$13,5),"")</f>
        <v/>
      </c>
      <c r="K49" s="400"/>
      <c r="L49" s="400"/>
      <c r="M49" s="400"/>
      <c r="N49" s="401"/>
      <c r="O49" s="393" t="str">
        <f>IF(ISBLANK(解答設定!R46),"",解答設定!R46)</f>
        <v/>
      </c>
      <c r="P49" s="402"/>
      <c r="Q49" s="70" t="str">
        <f>IF(ISBLANK(解答設定!B81),"",解答設定!B81)</f>
        <v/>
      </c>
      <c r="R49" s="393" t="str">
        <f t="shared" si="2"/>
        <v/>
      </c>
      <c r="S49" s="394"/>
      <c r="T49" s="395" t="str">
        <f>IF(ISBLANK(解答設定!E81),"",解答設定!E81)</f>
        <v/>
      </c>
      <c r="U49" s="396"/>
      <c r="V49" s="129" t="str">
        <f t="shared" si="3"/>
        <v/>
      </c>
      <c r="W49" s="397" t="str">
        <f ca="1">平均!S14</f>
        <v/>
      </c>
      <c r="X49" s="398"/>
      <c r="Y49" s="399" t="str">
        <f>IFERROR(HLOOKUP(解答設定!H81,解答設定!$F$6:$AS$13,5),"")</f>
        <v/>
      </c>
      <c r="Z49" s="400"/>
      <c r="AA49" s="400"/>
      <c r="AB49" s="400"/>
      <c r="AC49" s="401"/>
      <c r="AD49" s="393" t="str">
        <f>IF(ISBLANK(解答設定!R81),"",解答設定!R81)</f>
        <v/>
      </c>
      <c r="AE49" s="402"/>
    </row>
    <row r="50" spans="2:32" ht="16" customHeight="1">
      <c r="B50" s="70" t="str">
        <f>IF(ISBLANK(解答設定!B47),"",解答設定!B47)</f>
        <v/>
      </c>
      <c r="C50" s="393" t="str">
        <f t="shared" si="0"/>
        <v/>
      </c>
      <c r="D50" s="394"/>
      <c r="E50" s="395" t="str">
        <f>IF(ISBLANK(解答設定!E47),"",解答設定!E47)</f>
        <v/>
      </c>
      <c r="F50" s="396"/>
      <c r="G50" s="129" t="str">
        <f t="shared" si="1"/>
        <v/>
      </c>
      <c r="H50" s="397" t="str">
        <f ca="1">平均!E40</f>
        <v/>
      </c>
      <c r="I50" s="398"/>
      <c r="J50" s="399" t="str">
        <f>IFERROR(HLOOKUP(解答設定!H47,解答設定!$F$6:$AS$13,5),"")</f>
        <v/>
      </c>
      <c r="K50" s="400"/>
      <c r="L50" s="400"/>
      <c r="M50" s="400"/>
      <c r="N50" s="401"/>
      <c r="O50" s="393" t="str">
        <f>IF(ISBLANK(解答設定!R47),"",解答設定!R47)</f>
        <v/>
      </c>
      <c r="P50" s="402"/>
      <c r="Q50" s="70" t="str">
        <f>IF(ISBLANK(解答設定!B82),"",解答設定!B82)</f>
        <v/>
      </c>
      <c r="R50" s="393" t="str">
        <f t="shared" si="2"/>
        <v/>
      </c>
      <c r="S50" s="394"/>
      <c r="T50" s="395" t="str">
        <f>IF(ISBLANK(解答設定!E82),"",解答設定!E82)</f>
        <v/>
      </c>
      <c r="U50" s="396"/>
      <c r="V50" s="129" t="str">
        <f t="shared" si="3"/>
        <v/>
      </c>
      <c r="W50" s="397" t="str">
        <f ca="1">平均!S15</f>
        <v/>
      </c>
      <c r="X50" s="398"/>
      <c r="Y50" s="399" t="str">
        <f>IFERROR(HLOOKUP(解答設定!H82,解答設定!$F$6:$AS$13,5),"")</f>
        <v/>
      </c>
      <c r="Z50" s="400"/>
      <c r="AA50" s="400"/>
      <c r="AB50" s="400"/>
      <c r="AC50" s="401"/>
      <c r="AD50" s="393" t="str">
        <f>IF(ISBLANK(解答設定!R82),"",解答設定!R82)</f>
        <v/>
      </c>
      <c r="AE50" s="402"/>
    </row>
    <row r="51" spans="2:32" ht="16" customHeight="1">
      <c r="B51" s="70" t="str">
        <f>IF(ISBLANK(解答設定!B48),"",解答設定!B48)</f>
        <v/>
      </c>
      <c r="C51" s="393" t="str">
        <f t="shared" si="0"/>
        <v/>
      </c>
      <c r="D51" s="394"/>
      <c r="E51" s="395" t="str">
        <f>IF(ISBLANK(解答設定!E48),"",解答設定!E48)</f>
        <v/>
      </c>
      <c r="F51" s="396"/>
      <c r="G51" s="129" t="str">
        <f t="shared" si="1"/>
        <v/>
      </c>
      <c r="H51" s="397" t="str">
        <f ca="1">平均!E41</f>
        <v/>
      </c>
      <c r="I51" s="398"/>
      <c r="J51" s="399" t="str">
        <f>IFERROR(HLOOKUP(解答設定!H48,解答設定!$F$6:$AS$13,5),"")</f>
        <v/>
      </c>
      <c r="K51" s="400"/>
      <c r="L51" s="400"/>
      <c r="M51" s="400"/>
      <c r="N51" s="401"/>
      <c r="O51" s="393" t="str">
        <f>IF(ISBLANK(解答設定!R48),"",解答設定!R48)</f>
        <v/>
      </c>
      <c r="P51" s="402"/>
      <c r="Q51" s="70" t="str">
        <f>IF(ISBLANK(解答設定!B83),"",解答設定!B83)</f>
        <v/>
      </c>
      <c r="R51" s="393" t="str">
        <f t="shared" si="2"/>
        <v/>
      </c>
      <c r="S51" s="394"/>
      <c r="T51" s="395" t="str">
        <f>IF(ISBLANK(解答設定!E83),"",解答設定!E83)</f>
        <v/>
      </c>
      <c r="U51" s="396"/>
      <c r="V51" s="129" t="str">
        <f t="shared" si="3"/>
        <v/>
      </c>
      <c r="W51" s="397" t="str">
        <f ca="1">平均!S16</f>
        <v/>
      </c>
      <c r="X51" s="398"/>
      <c r="Y51" s="399" t="str">
        <f>IFERROR(HLOOKUP(解答設定!H83,解答設定!$F$6:$AS$13,5),"")</f>
        <v/>
      </c>
      <c r="Z51" s="400"/>
      <c r="AA51" s="400"/>
      <c r="AB51" s="400"/>
      <c r="AC51" s="401"/>
      <c r="AD51" s="393" t="str">
        <f>IF(ISBLANK(解答設定!R83),"",解答設定!R83)</f>
        <v/>
      </c>
      <c r="AE51" s="402"/>
    </row>
    <row r="52" spans="2:32" ht="16" customHeight="1">
      <c r="B52" s="70" t="str">
        <f>IF(ISBLANK(解答設定!B49),"",解答設定!B49)</f>
        <v/>
      </c>
      <c r="C52" s="393" t="str">
        <f t="shared" si="0"/>
        <v/>
      </c>
      <c r="D52" s="394"/>
      <c r="E52" s="395" t="str">
        <f>IF(ISBLANK(解答設定!E49),"",解答設定!E49)</f>
        <v/>
      </c>
      <c r="F52" s="396"/>
      <c r="G52" s="129" t="str">
        <f t="shared" si="1"/>
        <v/>
      </c>
      <c r="H52" s="397" t="str">
        <f ca="1">平均!E42</f>
        <v/>
      </c>
      <c r="I52" s="398"/>
      <c r="J52" s="399" t="str">
        <f>IFERROR(HLOOKUP(解答設定!H49,解答設定!$F$6:$AS$13,5),"")</f>
        <v/>
      </c>
      <c r="K52" s="400"/>
      <c r="L52" s="400"/>
      <c r="M52" s="400"/>
      <c r="N52" s="401"/>
      <c r="O52" s="393" t="str">
        <f>IF(ISBLANK(解答設定!R49),"",解答設定!R49)</f>
        <v/>
      </c>
      <c r="P52" s="402"/>
      <c r="Q52" s="70" t="str">
        <f>IF(ISBLANK(解答設定!B84),"",解答設定!B84)</f>
        <v/>
      </c>
      <c r="R52" s="393" t="str">
        <f t="shared" si="2"/>
        <v/>
      </c>
      <c r="S52" s="394"/>
      <c r="T52" s="395" t="str">
        <f>IF(ISBLANK(解答設定!E84),"",解答設定!E84)</f>
        <v/>
      </c>
      <c r="U52" s="396"/>
      <c r="V52" s="129" t="str">
        <f t="shared" si="3"/>
        <v/>
      </c>
      <c r="W52" s="397" t="str">
        <f ca="1">平均!S17</f>
        <v/>
      </c>
      <c r="X52" s="398"/>
      <c r="Y52" s="399" t="str">
        <f>IFERROR(HLOOKUP(解答設定!H84,解答設定!$F$6:$AS$13,5),"")</f>
        <v/>
      </c>
      <c r="Z52" s="400"/>
      <c r="AA52" s="400"/>
      <c r="AB52" s="400"/>
      <c r="AC52" s="401"/>
      <c r="AD52" s="393" t="str">
        <f>IF(ISBLANK(解答設定!R84),"",解答設定!R84)</f>
        <v/>
      </c>
      <c r="AE52" s="402"/>
    </row>
    <row r="53" spans="2:32" ht="16" customHeight="1">
      <c r="B53" s="70" t="str">
        <f>IF(ISBLANK(解答設定!B50),"",解答設定!B50)</f>
        <v/>
      </c>
      <c r="C53" s="393" t="str">
        <f t="shared" si="0"/>
        <v/>
      </c>
      <c r="D53" s="394"/>
      <c r="E53" s="395" t="str">
        <f>IF(ISBLANK(解答設定!E50),"",解答設定!E50)</f>
        <v/>
      </c>
      <c r="F53" s="396"/>
      <c r="G53" s="129" t="str">
        <f t="shared" si="1"/>
        <v/>
      </c>
      <c r="H53" s="429" t="str">
        <f ca="1">平均!L13</f>
        <v/>
      </c>
      <c r="I53" s="429"/>
      <c r="J53" s="399" t="str">
        <f>IFERROR(HLOOKUP(解答設定!H50,解答設定!$F$6:$AS$13,5),"")</f>
        <v/>
      </c>
      <c r="K53" s="400"/>
      <c r="L53" s="400"/>
      <c r="M53" s="400"/>
      <c r="N53" s="401"/>
      <c r="O53" s="393" t="str">
        <f>IF(ISBLANK(解答設定!R50),"",解答設定!R50)</f>
        <v/>
      </c>
      <c r="P53" s="402"/>
      <c r="Q53" s="70" t="str">
        <f>IF(ISBLANK(解答設定!B85),"",解答設定!B85)</f>
        <v/>
      </c>
      <c r="R53" s="393" t="str">
        <f t="shared" si="2"/>
        <v/>
      </c>
      <c r="S53" s="394"/>
      <c r="T53" s="395" t="str">
        <f>IF(ISBLANK(解答設定!E85),"",解答設定!E85)</f>
        <v/>
      </c>
      <c r="U53" s="396"/>
      <c r="V53" s="129" t="str">
        <f t="shared" si="3"/>
        <v/>
      </c>
      <c r="W53" s="397" t="str">
        <f ca="1">平均!S18</f>
        <v/>
      </c>
      <c r="X53" s="398"/>
      <c r="Y53" s="399" t="str">
        <f>IFERROR(HLOOKUP(解答設定!H85,解答設定!$F$6:$AS$13,5),"")</f>
        <v/>
      </c>
      <c r="Z53" s="400"/>
      <c r="AA53" s="400"/>
      <c r="AB53" s="400"/>
      <c r="AC53" s="401"/>
      <c r="AD53" s="393" t="str">
        <f>IF(ISBLANK(解答設定!R85),"",解答設定!R85)</f>
        <v/>
      </c>
      <c r="AE53" s="402"/>
    </row>
    <row r="54" spans="2:32" ht="16" customHeight="1">
      <c r="B54" s="70" t="str">
        <f>IF(ISBLANK(解答設定!B51),"",解答設定!B51)</f>
        <v/>
      </c>
      <c r="C54" s="393" t="str">
        <f t="shared" si="0"/>
        <v/>
      </c>
      <c r="D54" s="394"/>
      <c r="E54" s="395" t="str">
        <f>IF(ISBLANK(解答設定!E51),"",解答設定!E51)</f>
        <v/>
      </c>
      <c r="F54" s="396"/>
      <c r="G54" s="129" t="str">
        <f t="shared" si="1"/>
        <v/>
      </c>
      <c r="H54" s="397" t="str">
        <f ca="1">平均!L14</f>
        <v/>
      </c>
      <c r="I54" s="398"/>
      <c r="J54" s="399" t="str">
        <f>IFERROR(HLOOKUP(解答設定!H51,解答設定!$F$6:$AS$13,5),"")</f>
        <v/>
      </c>
      <c r="K54" s="400"/>
      <c r="L54" s="400"/>
      <c r="M54" s="400"/>
      <c r="N54" s="401"/>
      <c r="O54" s="393" t="str">
        <f>IF(ISBLANK(解答設定!R51),"",解答設定!R51)</f>
        <v/>
      </c>
      <c r="P54" s="402"/>
      <c r="Q54" s="70" t="str">
        <f>IF(ISBLANK(解答設定!B86),"",解答設定!B86)</f>
        <v/>
      </c>
      <c r="R54" s="393" t="str">
        <f t="shared" si="2"/>
        <v/>
      </c>
      <c r="S54" s="394"/>
      <c r="T54" s="395" t="str">
        <f>IF(ISBLANK(解答設定!E86),"",解答設定!E86)</f>
        <v/>
      </c>
      <c r="U54" s="396"/>
      <c r="V54" s="129" t="str">
        <f t="shared" si="3"/>
        <v/>
      </c>
      <c r="W54" s="397" t="str">
        <f ca="1">平均!S19</f>
        <v/>
      </c>
      <c r="X54" s="398"/>
      <c r="Y54" s="399" t="str">
        <f>IFERROR(HLOOKUP(解答設定!H86,解答設定!$F$6:$AS$13,5),"")</f>
        <v/>
      </c>
      <c r="Z54" s="400"/>
      <c r="AA54" s="400"/>
      <c r="AB54" s="400"/>
      <c r="AC54" s="401"/>
      <c r="AD54" s="393" t="str">
        <f>IF(ISBLANK(解答設定!R86),"",解答設定!R86)</f>
        <v/>
      </c>
      <c r="AE54" s="402"/>
    </row>
    <row r="55" spans="2:32" ht="16" customHeight="1">
      <c r="B55" s="70" t="str">
        <f>IF(ISBLANK(解答設定!B52),"",解答設定!B52)</f>
        <v/>
      </c>
      <c r="C55" s="393" t="str">
        <f t="shared" si="0"/>
        <v/>
      </c>
      <c r="D55" s="394"/>
      <c r="E55" s="395" t="str">
        <f>IF(ISBLANK(解答設定!E52),"",解答設定!E52)</f>
        <v/>
      </c>
      <c r="F55" s="396"/>
      <c r="G55" s="129" t="str">
        <f t="shared" si="1"/>
        <v/>
      </c>
      <c r="H55" s="397" t="str">
        <f ca="1">平均!L15</f>
        <v/>
      </c>
      <c r="I55" s="398"/>
      <c r="J55" s="399" t="str">
        <f>IFERROR(HLOOKUP(解答設定!H52,解答設定!$F$6:$AS$13,5),"")</f>
        <v/>
      </c>
      <c r="K55" s="400"/>
      <c r="L55" s="400"/>
      <c r="M55" s="400"/>
      <c r="N55" s="401"/>
      <c r="O55" s="393" t="str">
        <f>IF(ISBLANK(解答設定!R52),"",解答設定!R52)</f>
        <v/>
      </c>
      <c r="P55" s="402"/>
      <c r="Q55" s="70" t="str">
        <f>IF(ISBLANK(解答設定!B87),"",解答設定!B87)</f>
        <v/>
      </c>
      <c r="R55" s="393" t="str">
        <f t="shared" si="2"/>
        <v/>
      </c>
      <c r="S55" s="394"/>
      <c r="T55" s="395" t="str">
        <f>IF(ISBLANK(解答設定!E87),"",解答設定!E87)</f>
        <v/>
      </c>
      <c r="U55" s="396"/>
      <c r="V55" s="129" t="str">
        <f t="shared" si="3"/>
        <v/>
      </c>
      <c r="W55" s="397" t="str">
        <f ca="1">平均!S20</f>
        <v/>
      </c>
      <c r="X55" s="398"/>
      <c r="Y55" s="399" t="str">
        <f>IFERROR(HLOOKUP(解答設定!H87,解答設定!$F$6:$AS$13,5),"")</f>
        <v/>
      </c>
      <c r="Z55" s="400"/>
      <c r="AA55" s="400"/>
      <c r="AB55" s="400"/>
      <c r="AC55" s="401"/>
      <c r="AD55" s="393" t="str">
        <f>IF(ISBLANK(解答設定!R87),"",解答設定!R87)</f>
        <v/>
      </c>
      <c r="AE55" s="402"/>
    </row>
    <row r="56" spans="2:32" ht="16" customHeight="1">
      <c r="B56" s="70" t="str">
        <f>IF(ISBLANK(解答設定!B53),"",解答設定!B53)</f>
        <v/>
      </c>
      <c r="C56" s="393" t="str">
        <f t="shared" si="0"/>
        <v/>
      </c>
      <c r="D56" s="394"/>
      <c r="E56" s="395" t="str">
        <f>IF(ISBLANK(解答設定!E53),"",解答設定!E53)</f>
        <v/>
      </c>
      <c r="F56" s="396"/>
      <c r="G56" s="129" t="str">
        <f t="shared" si="1"/>
        <v/>
      </c>
      <c r="H56" s="397" t="str">
        <f ca="1">平均!L16</f>
        <v/>
      </c>
      <c r="I56" s="398"/>
      <c r="J56" s="399" t="str">
        <f>IFERROR(HLOOKUP(解答設定!H53,解答設定!$F$6:$AS$13,5),"")</f>
        <v/>
      </c>
      <c r="K56" s="400"/>
      <c r="L56" s="400"/>
      <c r="M56" s="400"/>
      <c r="N56" s="401"/>
      <c r="O56" s="393" t="str">
        <f>IF(ISBLANK(解答設定!R53),"",解答設定!R53)</f>
        <v/>
      </c>
      <c r="P56" s="402"/>
      <c r="Q56" s="70" t="str">
        <f>IF(ISBLANK(解答設定!B88),"",解答設定!B88)</f>
        <v/>
      </c>
      <c r="R56" s="393" t="str">
        <f t="shared" si="2"/>
        <v/>
      </c>
      <c r="S56" s="394"/>
      <c r="T56" s="395" t="str">
        <f>IF(ISBLANK(解答設定!E88),"",解答設定!E88)</f>
        <v/>
      </c>
      <c r="U56" s="396"/>
      <c r="V56" s="129" t="str">
        <f t="shared" si="3"/>
        <v/>
      </c>
      <c r="W56" s="397" t="str">
        <f ca="1">平均!S21</f>
        <v/>
      </c>
      <c r="X56" s="398"/>
      <c r="Y56" s="399" t="str">
        <f>IFERROR(HLOOKUP(解答設定!H88,解答設定!$F$6:$AS$13,5),"")</f>
        <v/>
      </c>
      <c r="Z56" s="400"/>
      <c r="AA56" s="400"/>
      <c r="AB56" s="400"/>
      <c r="AC56" s="401"/>
      <c r="AD56" s="393" t="str">
        <f>IF(ISBLANK(解答設定!R88),"",解答設定!R88)</f>
        <v/>
      </c>
      <c r="AE56" s="402"/>
    </row>
    <row r="57" spans="2:32" ht="16" customHeight="1" thickBot="1">
      <c r="B57" s="71" t="str">
        <f>IF(ISBLANK(解答設定!B54),"",解答設定!B54)</f>
        <v/>
      </c>
      <c r="C57" s="425" t="str">
        <f t="shared" si="0"/>
        <v/>
      </c>
      <c r="D57" s="430"/>
      <c r="E57" s="431" t="str">
        <f>IF(ISBLANK(解答設定!E54),"",解答設定!E54)</f>
        <v/>
      </c>
      <c r="F57" s="432"/>
      <c r="G57" s="131" t="str">
        <f>IF(E57="","",checkAnswer(E57,C57))</f>
        <v/>
      </c>
      <c r="H57" s="433" t="str">
        <f ca="1">平均!L17</f>
        <v/>
      </c>
      <c r="I57" s="434"/>
      <c r="J57" s="435" t="str">
        <f>IFERROR(HLOOKUP(解答設定!H54,解答設定!$F$6:$AS$13,5),"")</f>
        <v/>
      </c>
      <c r="K57" s="436"/>
      <c r="L57" s="436"/>
      <c r="M57" s="436"/>
      <c r="N57" s="437"/>
      <c r="O57" s="425" t="str">
        <f>IF(ISBLANK(解答設定!R54),"",解答設定!R54)</f>
        <v/>
      </c>
      <c r="P57" s="426"/>
      <c r="Q57" s="71" t="str">
        <f>IF(ISBLANK(解答設定!B89),"",解答設定!B89)</f>
        <v/>
      </c>
      <c r="R57" s="425" t="str">
        <f t="shared" si="2"/>
        <v/>
      </c>
      <c r="S57" s="430"/>
      <c r="T57" s="431" t="str">
        <f>IF(ISBLANK(解答設定!E89),"",解答設定!E89)</f>
        <v/>
      </c>
      <c r="U57" s="432"/>
      <c r="V57" s="131" t="str">
        <f t="shared" si="3"/>
        <v/>
      </c>
      <c r="W57" s="433" t="str">
        <f ca="1">平均!S22</f>
        <v/>
      </c>
      <c r="X57" s="434"/>
      <c r="Y57" s="435" t="str">
        <f>IFERROR(HLOOKUP(解答設定!H89,解答設定!$F$6:$AS$13,5),"")</f>
        <v/>
      </c>
      <c r="Z57" s="436"/>
      <c r="AA57" s="436"/>
      <c r="AB57" s="436"/>
      <c r="AC57" s="437"/>
      <c r="AD57" s="425" t="str">
        <f>IF(ISBLANK(解答設定!R89),"",解答設定!R89)</f>
        <v/>
      </c>
      <c r="AE57" s="426"/>
    </row>
    <row r="58" spans="2:32" ht="14" customHeight="1" thickTop="1">
      <c r="B58" s="79"/>
      <c r="C58" s="422"/>
      <c r="D58" s="422"/>
      <c r="E58" s="422"/>
      <c r="F58" s="422"/>
      <c r="G58" s="78"/>
      <c r="H58" s="420"/>
      <c r="I58" s="420"/>
      <c r="J58" s="421"/>
      <c r="K58" s="421"/>
      <c r="L58" s="421"/>
      <c r="M58" s="421"/>
      <c r="N58" s="421"/>
      <c r="O58" s="422"/>
      <c r="P58" s="422"/>
      <c r="Q58" s="79"/>
      <c r="R58" s="422"/>
      <c r="S58" s="422"/>
      <c r="T58" s="422"/>
      <c r="U58" s="422"/>
      <c r="V58" s="68"/>
      <c r="W58" s="420"/>
      <c r="X58" s="420"/>
      <c r="Y58" s="421"/>
      <c r="Z58" s="421"/>
      <c r="AA58" s="421"/>
      <c r="AB58" s="421"/>
      <c r="AC58" s="421"/>
      <c r="AD58" s="422"/>
      <c r="AE58" s="422"/>
    </row>
    <row r="59" spans="2:32" ht="14" customHeight="1">
      <c r="B59" s="79"/>
      <c r="C59" s="422"/>
      <c r="D59" s="422"/>
      <c r="E59" s="422"/>
      <c r="F59" s="422"/>
      <c r="G59" s="78"/>
      <c r="H59" s="420"/>
      <c r="I59" s="420"/>
      <c r="J59" s="421"/>
      <c r="K59" s="421"/>
      <c r="L59" s="421"/>
      <c r="M59" s="421"/>
      <c r="N59" s="421"/>
      <c r="O59" s="422"/>
      <c r="P59" s="422"/>
      <c r="Q59" s="79"/>
      <c r="R59" s="422"/>
      <c r="S59" s="422"/>
      <c r="T59" s="422"/>
      <c r="U59" s="422"/>
      <c r="V59" s="68"/>
      <c r="W59" s="420"/>
      <c r="X59" s="420"/>
      <c r="Y59" s="421"/>
      <c r="Z59" s="421"/>
      <c r="AA59" s="421"/>
      <c r="AB59" s="421"/>
      <c r="AC59" s="421"/>
      <c r="AD59" s="422"/>
      <c r="AE59" s="422"/>
    </row>
    <row r="60" spans="2:32" ht="14" customHeight="1">
      <c r="B60" s="79"/>
      <c r="C60" s="422"/>
      <c r="D60" s="422"/>
      <c r="E60" s="422"/>
      <c r="F60" s="422"/>
      <c r="G60" s="78"/>
      <c r="H60" s="420"/>
      <c r="I60" s="420"/>
      <c r="J60" s="421"/>
      <c r="K60" s="421"/>
      <c r="L60" s="421"/>
      <c r="M60" s="421"/>
      <c r="N60" s="421"/>
      <c r="O60" s="422"/>
      <c r="P60" s="422"/>
      <c r="Q60" s="79"/>
      <c r="R60" s="422"/>
      <c r="S60" s="422"/>
      <c r="T60" s="422"/>
      <c r="U60" s="422"/>
      <c r="V60" s="68"/>
      <c r="W60" s="420"/>
      <c r="X60" s="420"/>
      <c r="Y60" s="421"/>
      <c r="Z60" s="421"/>
      <c r="AA60" s="421"/>
      <c r="AB60" s="421"/>
      <c r="AC60" s="421"/>
      <c r="AD60" s="422"/>
      <c r="AE60" s="422"/>
    </row>
    <row r="61" spans="2:32" ht="14" customHeight="1" thickBot="1">
      <c r="B61" s="67"/>
      <c r="C61" s="406"/>
      <c r="D61" s="406"/>
      <c r="E61" s="406"/>
      <c r="F61" s="406"/>
      <c r="G61" s="68"/>
      <c r="H61" s="406"/>
      <c r="I61" s="406"/>
      <c r="J61" s="406"/>
      <c r="K61" s="406"/>
      <c r="L61" s="406"/>
      <c r="M61" s="406"/>
      <c r="N61" s="406"/>
      <c r="O61" s="406"/>
      <c r="P61" s="406"/>
      <c r="Q61" s="67"/>
      <c r="R61" s="423"/>
      <c r="S61" s="423"/>
      <c r="T61" s="423"/>
      <c r="U61" s="423"/>
      <c r="V61" s="68"/>
      <c r="W61" s="423"/>
      <c r="X61" s="423"/>
      <c r="Y61" s="423"/>
      <c r="Z61" s="423"/>
      <c r="AA61" s="423"/>
      <c r="AB61" s="423"/>
      <c r="AC61" s="423"/>
      <c r="AD61" s="423"/>
      <c r="AE61" s="423"/>
    </row>
    <row r="62" spans="2:32" ht="21" customHeight="1" thickTop="1" thickBot="1">
      <c r="B62" s="81" t="s">
        <v>44</v>
      </c>
      <c r="C62" s="407" t="s">
        <v>32</v>
      </c>
      <c r="D62" s="408"/>
      <c r="E62" s="407" t="s">
        <v>33</v>
      </c>
      <c r="F62" s="408"/>
      <c r="G62" s="82" t="s">
        <v>66</v>
      </c>
      <c r="H62" s="438" t="s">
        <v>55</v>
      </c>
      <c r="I62" s="439"/>
      <c r="J62" s="440" t="s">
        <v>22</v>
      </c>
      <c r="K62" s="441"/>
      <c r="L62" s="441"/>
      <c r="M62" s="441"/>
      <c r="N62" s="442"/>
      <c r="O62" s="407" t="s">
        <v>35</v>
      </c>
      <c r="P62" s="443"/>
      <c r="Q62" s="79"/>
      <c r="R62" s="422"/>
      <c r="S62" s="422"/>
      <c r="T62" s="422"/>
      <c r="U62" s="422"/>
      <c r="V62" s="78"/>
      <c r="W62" s="420"/>
      <c r="X62" s="420"/>
      <c r="Y62" s="421"/>
      <c r="Z62" s="421"/>
      <c r="AA62" s="421"/>
      <c r="AB62" s="421"/>
      <c r="AC62" s="421"/>
      <c r="AD62" s="422"/>
      <c r="AE62" s="422"/>
      <c r="AF62" s="83"/>
    </row>
    <row r="63" spans="2:32" ht="16" customHeight="1" thickTop="1">
      <c r="B63" s="80" t="str">
        <f>IF(ISBLANK(解答設定!B90),"",解答設定!B90)</f>
        <v/>
      </c>
      <c r="C63" s="444" t="str">
        <f t="shared" ref="C63:C65" si="4">getOwnAnswer(B63,$B$1)</f>
        <v/>
      </c>
      <c r="D63" s="357"/>
      <c r="E63" s="445" t="str">
        <f>IF(ISBLANK(解答設定!E90),"",解答設定!E90)</f>
        <v/>
      </c>
      <c r="F63" s="446"/>
      <c r="G63" s="132" t="str">
        <f>IF(E63="","",checkAnswer(E63,C63))</f>
        <v/>
      </c>
      <c r="H63" s="447" t="str">
        <f ca="1">平均!S23</f>
        <v/>
      </c>
      <c r="I63" s="448"/>
      <c r="J63" s="449" t="str">
        <f>IFERROR(HLOOKUP(解答設定!H90,解答設定!$F$6:$AS$13,5),"")</f>
        <v/>
      </c>
      <c r="K63" s="450"/>
      <c r="L63" s="450"/>
      <c r="M63" s="450"/>
      <c r="N63" s="451"/>
      <c r="O63" s="444" t="str">
        <f>IF(ISBLANK(解答設定!R90),"",解答設定!R90)</f>
        <v/>
      </c>
      <c r="P63" s="452"/>
      <c r="Q63" s="79"/>
      <c r="R63" s="422"/>
      <c r="S63" s="422"/>
      <c r="T63" s="422"/>
      <c r="U63" s="422"/>
      <c r="V63" s="68"/>
      <c r="W63" s="420"/>
      <c r="X63" s="420"/>
      <c r="Y63" s="421"/>
      <c r="Z63" s="421"/>
      <c r="AA63" s="421"/>
      <c r="AB63" s="421"/>
      <c r="AC63" s="421"/>
      <c r="AD63" s="422"/>
      <c r="AE63" s="422"/>
      <c r="AF63" s="83"/>
    </row>
    <row r="64" spans="2:32" ht="16" customHeight="1">
      <c r="B64" s="70" t="str">
        <f>IF(ISBLANK(解答設定!B91),"",解答設定!B91)</f>
        <v/>
      </c>
      <c r="C64" s="393" t="str">
        <f t="shared" si="4"/>
        <v/>
      </c>
      <c r="D64" s="394"/>
      <c r="E64" s="395" t="str">
        <f>IF(ISBLANK(解答設定!E91),"",解答設定!E91)</f>
        <v/>
      </c>
      <c r="F64" s="396"/>
      <c r="G64" s="129" t="str">
        <f t="shared" ref="G64:G92" si="5">IF(E64="","",checkAnswer(E64,C64))</f>
        <v/>
      </c>
      <c r="H64" s="397" t="str">
        <f ca="1">平均!S24</f>
        <v/>
      </c>
      <c r="I64" s="398"/>
      <c r="J64" s="399" t="str">
        <f>IFERROR(HLOOKUP(解答設定!H91,解答設定!$F$6:$AS$13,5),"")</f>
        <v/>
      </c>
      <c r="K64" s="400"/>
      <c r="L64" s="400"/>
      <c r="M64" s="400"/>
      <c r="N64" s="401"/>
      <c r="O64" s="393" t="str">
        <f>IF(ISBLANK(解答設定!R91),"",解答設定!R91)</f>
        <v/>
      </c>
      <c r="P64" s="402"/>
      <c r="Q64" s="79"/>
      <c r="R64" s="422"/>
      <c r="S64" s="422"/>
      <c r="T64" s="422"/>
      <c r="U64" s="422"/>
      <c r="V64" s="68"/>
      <c r="W64" s="420"/>
      <c r="X64" s="420"/>
      <c r="Y64" s="421"/>
      <c r="Z64" s="421"/>
      <c r="AA64" s="421"/>
      <c r="AB64" s="421"/>
      <c r="AC64" s="421"/>
      <c r="AD64" s="422"/>
      <c r="AE64" s="422"/>
      <c r="AF64" s="83"/>
    </row>
    <row r="65" spans="2:32" ht="16" customHeight="1">
      <c r="B65" s="70" t="str">
        <f>IF(ISBLANK(解答設定!B92),"",解答設定!B92)</f>
        <v/>
      </c>
      <c r="C65" s="393" t="str">
        <f t="shared" si="4"/>
        <v/>
      </c>
      <c r="D65" s="394"/>
      <c r="E65" s="395" t="str">
        <f>IF(ISBLANK(解答設定!E92),"",解答設定!E92)</f>
        <v/>
      </c>
      <c r="F65" s="396"/>
      <c r="G65" s="129" t="str">
        <f t="shared" si="5"/>
        <v/>
      </c>
      <c r="H65" s="397" t="str">
        <f ca="1">平均!S25</f>
        <v/>
      </c>
      <c r="I65" s="398"/>
      <c r="J65" s="399" t="str">
        <f>IFERROR(HLOOKUP(解答設定!H92,解答設定!$F$6:$AS$13,5),"")</f>
        <v/>
      </c>
      <c r="K65" s="400"/>
      <c r="L65" s="400"/>
      <c r="M65" s="400"/>
      <c r="N65" s="401"/>
      <c r="O65" s="393" t="str">
        <f>IF(ISBLANK(解答設定!R92),"",解答設定!R92)</f>
        <v/>
      </c>
      <c r="P65" s="402"/>
      <c r="Q65" s="79"/>
      <c r="R65" s="422"/>
      <c r="S65" s="422"/>
      <c r="T65" s="422"/>
      <c r="U65" s="422"/>
      <c r="V65" s="68"/>
      <c r="W65" s="420"/>
      <c r="X65" s="420"/>
      <c r="Y65" s="421"/>
      <c r="Z65" s="421"/>
      <c r="AA65" s="421"/>
      <c r="AB65" s="421"/>
      <c r="AC65" s="421"/>
      <c r="AD65" s="422"/>
      <c r="AE65" s="422"/>
      <c r="AF65" s="83"/>
    </row>
    <row r="66" spans="2:32" ht="16" customHeight="1">
      <c r="B66" s="70" t="str">
        <f>IF(ISBLANK(解答設定!B93),"",解答設定!B93)</f>
        <v/>
      </c>
      <c r="C66" s="393" t="str">
        <f t="shared" ref="C66:C92" si="6">getOwnAnswer(B66,$B$1)</f>
        <v/>
      </c>
      <c r="D66" s="394"/>
      <c r="E66" s="395" t="str">
        <f>IF(ISBLANK(解答設定!E93),"",解答設定!E93)</f>
        <v/>
      </c>
      <c r="F66" s="396"/>
      <c r="G66" s="129" t="str">
        <f t="shared" si="5"/>
        <v/>
      </c>
      <c r="H66" s="397" t="str">
        <f ca="1">平均!S26</f>
        <v/>
      </c>
      <c r="I66" s="398"/>
      <c r="J66" s="399" t="str">
        <f>IFERROR(HLOOKUP(解答設定!H93,解答設定!$F$6:$AS$13,5),"")</f>
        <v/>
      </c>
      <c r="K66" s="400"/>
      <c r="L66" s="400"/>
      <c r="M66" s="400"/>
      <c r="N66" s="401"/>
      <c r="O66" s="393" t="str">
        <f>IF(ISBLANK(解答設定!R93),"",解答設定!R93)</f>
        <v/>
      </c>
      <c r="P66" s="402"/>
      <c r="Q66" s="79"/>
      <c r="R66" s="422"/>
      <c r="S66" s="422"/>
      <c r="T66" s="422"/>
      <c r="U66" s="422"/>
      <c r="V66" s="68"/>
      <c r="W66" s="420"/>
      <c r="X66" s="420"/>
      <c r="Y66" s="421"/>
      <c r="Z66" s="421"/>
      <c r="AA66" s="421"/>
      <c r="AB66" s="421"/>
      <c r="AC66" s="421"/>
      <c r="AD66" s="422"/>
      <c r="AE66" s="422"/>
      <c r="AF66" s="83"/>
    </row>
    <row r="67" spans="2:32" ht="16" customHeight="1">
      <c r="B67" s="70" t="str">
        <f>IF(ISBLANK(解答設定!B94),"",解答設定!B94)</f>
        <v/>
      </c>
      <c r="C67" s="393" t="str">
        <f t="shared" si="6"/>
        <v/>
      </c>
      <c r="D67" s="394"/>
      <c r="E67" s="395" t="str">
        <f>IF(ISBLANK(解答設定!E94),"",解答設定!E94)</f>
        <v/>
      </c>
      <c r="F67" s="396"/>
      <c r="G67" s="129" t="str">
        <f t="shared" si="5"/>
        <v/>
      </c>
      <c r="H67" s="397" t="str">
        <f ca="1">平均!S27</f>
        <v/>
      </c>
      <c r="I67" s="398"/>
      <c r="J67" s="399" t="str">
        <f>IFERROR(HLOOKUP(解答設定!H94,解答設定!$F$6:$AS$13,5),"")</f>
        <v/>
      </c>
      <c r="K67" s="400"/>
      <c r="L67" s="400"/>
      <c r="M67" s="400"/>
      <c r="N67" s="401"/>
      <c r="O67" s="393" t="str">
        <f>IF(ISBLANK(解答設定!R94),"",解答設定!R94)</f>
        <v/>
      </c>
      <c r="P67" s="402"/>
      <c r="Q67" s="79"/>
      <c r="R67" s="422"/>
      <c r="S67" s="422"/>
      <c r="T67" s="422"/>
      <c r="U67" s="422"/>
      <c r="V67" s="68"/>
      <c r="W67" s="420"/>
      <c r="X67" s="420"/>
      <c r="Y67" s="421"/>
      <c r="Z67" s="421"/>
      <c r="AA67" s="421"/>
      <c r="AB67" s="421"/>
      <c r="AC67" s="421"/>
      <c r="AD67" s="422"/>
      <c r="AE67" s="422"/>
      <c r="AF67" s="83"/>
    </row>
    <row r="68" spans="2:32" ht="16" customHeight="1">
      <c r="B68" s="70" t="str">
        <f>IF(ISBLANK(解答設定!B95),"",解答設定!B95)</f>
        <v/>
      </c>
      <c r="C68" s="393" t="str">
        <f t="shared" si="6"/>
        <v/>
      </c>
      <c r="D68" s="394"/>
      <c r="E68" s="395" t="str">
        <f>IF(ISBLANK(解答設定!E95),"",解答設定!E95)</f>
        <v/>
      </c>
      <c r="F68" s="396"/>
      <c r="G68" s="129" t="str">
        <f t="shared" si="5"/>
        <v/>
      </c>
      <c r="H68" s="397" t="str">
        <f ca="1">平均!S28</f>
        <v/>
      </c>
      <c r="I68" s="398"/>
      <c r="J68" s="399" t="str">
        <f>IFERROR(HLOOKUP(解答設定!H95,解答設定!$F$6:$AS$13,5),"")</f>
        <v/>
      </c>
      <c r="K68" s="400"/>
      <c r="L68" s="400"/>
      <c r="M68" s="400"/>
      <c r="N68" s="401"/>
      <c r="O68" s="393" t="str">
        <f>IF(ISBLANK(解答設定!R95),"",解答設定!R95)</f>
        <v/>
      </c>
      <c r="P68" s="402"/>
      <c r="Q68" s="79"/>
      <c r="R68" s="422"/>
      <c r="S68" s="422"/>
      <c r="T68" s="422"/>
      <c r="U68" s="422"/>
      <c r="V68" s="68"/>
      <c r="W68" s="420"/>
      <c r="X68" s="420"/>
      <c r="Y68" s="421"/>
      <c r="Z68" s="421"/>
      <c r="AA68" s="421"/>
      <c r="AB68" s="421"/>
      <c r="AC68" s="421"/>
      <c r="AD68" s="422"/>
      <c r="AE68" s="422"/>
      <c r="AF68" s="83"/>
    </row>
    <row r="69" spans="2:32" ht="16" customHeight="1">
      <c r="B69" s="70" t="str">
        <f>IF(ISBLANK(解答設定!B96),"",解答設定!B96)</f>
        <v/>
      </c>
      <c r="C69" s="393" t="str">
        <f t="shared" si="6"/>
        <v/>
      </c>
      <c r="D69" s="394"/>
      <c r="E69" s="395" t="str">
        <f>IF(ISBLANK(解答設定!E96),"",解答設定!E96)</f>
        <v/>
      </c>
      <c r="F69" s="396"/>
      <c r="G69" s="129" t="str">
        <f t="shared" si="5"/>
        <v/>
      </c>
      <c r="H69" s="397" t="str">
        <f ca="1">平均!S29</f>
        <v/>
      </c>
      <c r="I69" s="398"/>
      <c r="J69" s="399" t="str">
        <f>IFERROR(HLOOKUP(解答設定!H96,解答設定!$F$6:$AS$13,5),"")</f>
        <v/>
      </c>
      <c r="K69" s="400"/>
      <c r="L69" s="400"/>
      <c r="M69" s="400"/>
      <c r="N69" s="401"/>
      <c r="O69" s="393" t="str">
        <f>IF(ISBLANK(解答設定!R96),"",解答設定!R96)</f>
        <v/>
      </c>
      <c r="P69" s="402"/>
      <c r="Q69" s="79"/>
      <c r="R69" s="422"/>
      <c r="S69" s="422"/>
      <c r="T69" s="422"/>
      <c r="U69" s="422"/>
      <c r="V69" s="68"/>
      <c r="W69" s="420"/>
      <c r="X69" s="420"/>
      <c r="Y69" s="421"/>
      <c r="Z69" s="421"/>
      <c r="AA69" s="421"/>
      <c r="AB69" s="421"/>
      <c r="AC69" s="421"/>
      <c r="AD69" s="422"/>
      <c r="AE69" s="422"/>
      <c r="AF69" s="83"/>
    </row>
    <row r="70" spans="2:32" ht="16" customHeight="1">
      <c r="B70" s="70" t="str">
        <f>IF(ISBLANK(解答設定!B97),"",解答設定!B97)</f>
        <v/>
      </c>
      <c r="C70" s="393" t="str">
        <f t="shared" si="6"/>
        <v/>
      </c>
      <c r="D70" s="394"/>
      <c r="E70" s="395" t="str">
        <f>IF(ISBLANK(解答設定!E97),"",解答設定!E97)</f>
        <v/>
      </c>
      <c r="F70" s="396"/>
      <c r="G70" s="129" t="str">
        <f t="shared" si="5"/>
        <v/>
      </c>
      <c r="H70" s="397" t="str">
        <f ca="1">平均!S30</f>
        <v/>
      </c>
      <c r="I70" s="398"/>
      <c r="J70" s="399" t="str">
        <f>IFERROR(HLOOKUP(解答設定!H97,解答設定!$F$6:$AS$13,5),"")</f>
        <v/>
      </c>
      <c r="K70" s="400"/>
      <c r="L70" s="400"/>
      <c r="M70" s="400"/>
      <c r="N70" s="401"/>
      <c r="O70" s="393" t="str">
        <f>IF(ISBLANK(解答設定!R97),"",解答設定!R97)</f>
        <v/>
      </c>
      <c r="P70" s="402"/>
      <c r="Q70" s="79"/>
      <c r="R70" s="422"/>
      <c r="S70" s="422"/>
      <c r="T70" s="422"/>
      <c r="U70" s="422"/>
      <c r="V70" s="68"/>
      <c r="W70" s="420"/>
      <c r="X70" s="420"/>
      <c r="Y70" s="421"/>
      <c r="Z70" s="421"/>
      <c r="AA70" s="421"/>
      <c r="AB70" s="421"/>
      <c r="AC70" s="421"/>
      <c r="AD70" s="422"/>
      <c r="AE70" s="422"/>
      <c r="AF70" s="83"/>
    </row>
    <row r="71" spans="2:32" ht="16" customHeight="1">
      <c r="B71" s="70" t="str">
        <f>IF(ISBLANK(解答設定!B98),"",解答設定!B98)</f>
        <v/>
      </c>
      <c r="C71" s="393" t="str">
        <f t="shared" si="6"/>
        <v/>
      </c>
      <c r="D71" s="394"/>
      <c r="E71" s="395" t="str">
        <f>IF(ISBLANK(解答設定!E98),"",解答設定!E98)</f>
        <v/>
      </c>
      <c r="F71" s="396"/>
      <c r="G71" s="129" t="str">
        <f t="shared" si="5"/>
        <v/>
      </c>
      <c r="H71" s="397" t="str">
        <f ca="1">平均!S31</f>
        <v/>
      </c>
      <c r="I71" s="398"/>
      <c r="J71" s="399" t="str">
        <f>IFERROR(HLOOKUP(解答設定!H98,解答設定!$F$6:$AS$13,5),"")</f>
        <v/>
      </c>
      <c r="K71" s="400"/>
      <c r="L71" s="400"/>
      <c r="M71" s="400"/>
      <c r="N71" s="401"/>
      <c r="O71" s="393" t="str">
        <f>IF(ISBLANK(解答設定!R98),"",解答設定!R98)</f>
        <v/>
      </c>
      <c r="P71" s="402"/>
      <c r="Q71" s="79"/>
      <c r="R71" s="422"/>
      <c r="S71" s="422"/>
      <c r="T71" s="422"/>
      <c r="U71" s="422"/>
      <c r="V71" s="68"/>
      <c r="W71" s="420"/>
      <c r="X71" s="420"/>
      <c r="Y71" s="421"/>
      <c r="Z71" s="421"/>
      <c r="AA71" s="421"/>
      <c r="AB71" s="421"/>
      <c r="AC71" s="421"/>
      <c r="AD71" s="422"/>
      <c r="AE71" s="422"/>
      <c r="AF71" s="83"/>
    </row>
    <row r="72" spans="2:32" ht="16" customHeight="1">
      <c r="B72" s="70" t="str">
        <f>IF(ISBLANK(解答設定!B99),"",解答設定!B99)</f>
        <v/>
      </c>
      <c r="C72" s="393" t="str">
        <f t="shared" si="6"/>
        <v/>
      </c>
      <c r="D72" s="394"/>
      <c r="E72" s="395" t="str">
        <f>IF(ISBLANK(解答設定!E99),"",解答設定!E99)</f>
        <v/>
      </c>
      <c r="F72" s="396"/>
      <c r="G72" s="129" t="str">
        <f t="shared" si="5"/>
        <v/>
      </c>
      <c r="H72" s="397" t="str">
        <f ca="1">平均!S32</f>
        <v/>
      </c>
      <c r="I72" s="398"/>
      <c r="J72" s="399" t="str">
        <f>IFERROR(HLOOKUP(解答設定!H99,解答設定!$F$6:$AS$13,5),"")</f>
        <v/>
      </c>
      <c r="K72" s="400"/>
      <c r="L72" s="400"/>
      <c r="M72" s="400"/>
      <c r="N72" s="401"/>
      <c r="O72" s="393" t="str">
        <f>IF(ISBLANK(解答設定!R99),"",解答設定!R99)</f>
        <v/>
      </c>
      <c r="P72" s="402"/>
      <c r="Q72" s="79"/>
      <c r="R72" s="422"/>
      <c r="S72" s="422"/>
      <c r="T72" s="422"/>
      <c r="U72" s="422"/>
      <c r="V72" s="68"/>
      <c r="W72" s="420"/>
      <c r="X72" s="420"/>
      <c r="Y72" s="421"/>
      <c r="Z72" s="421"/>
      <c r="AA72" s="421"/>
      <c r="AB72" s="421"/>
      <c r="AC72" s="421"/>
      <c r="AD72" s="422"/>
      <c r="AE72" s="422"/>
      <c r="AF72" s="83"/>
    </row>
    <row r="73" spans="2:32" ht="16" customHeight="1">
      <c r="B73" s="70" t="str">
        <f>IF(ISBLANK(解答設定!B100),"",解答設定!B100)</f>
        <v/>
      </c>
      <c r="C73" s="393" t="str">
        <f t="shared" si="6"/>
        <v/>
      </c>
      <c r="D73" s="394"/>
      <c r="E73" s="395" t="str">
        <f>IF(ISBLANK(解答設定!E100),"",解答設定!E100)</f>
        <v/>
      </c>
      <c r="F73" s="396"/>
      <c r="G73" s="129" t="str">
        <f t="shared" si="5"/>
        <v/>
      </c>
      <c r="H73" s="397" t="str">
        <f ca="1">平均!S33</f>
        <v/>
      </c>
      <c r="I73" s="398"/>
      <c r="J73" s="399" t="str">
        <f>IFERROR(HLOOKUP(解答設定!H100,解答設定!$F$6:$AS$13,5),"")</f>
        <v/>
      </c>
      <c r="K73" s="400"/>
      <c r="L73" s="400"/>
      <c r="M73" s="400"/>
      <c r="N73" s="401"/>
      <c r="O73" s="393" t="str">
        <f>IF(ISBLANK(解答設定!R100),"",解答設定!R100)</f>
        <v/>
      </c>
      <c r="P73" s="402"/>
      <c r="Q73" s="79"/>
      <c r="R73" s="422"/>
      <c r="S73" s="422"/>
      <c r="T73" s="422"/>
      <c r="U73" s="422"/>
      <c r="V73" s="68"/>
      <c r="W73" s="420"/>
      <c r="X73" s="420"/>
      <c r="Y73" s="421"/>
      <c r="Z73" s="421"/>
      <c r="AA73" s="421"/>
      <c r="AB73" s="421"/>
      <c r="AC73" s="421"/>
      <c r="AD73" s="422"/>
      <c r="AE73" s="422"/>
      <c r="AF73" s="83"/>
    </row>
    <row r="74" spans="2:32" ht="16" customHeight="1">
      <c r="B74" s="70" t="str">
        <f>IF(ISBLANK(解答設定!B101),"",解答設定!B101)</f>
        <v/>
      </c>
      <c r="C74" s="393" t="str">
        <f t="shared" si="6"/>
        <v/>
      </c>
      <c r="D74" s="394"/>
      <c r="E74" s="395" t="str">
        <f>IF(ISBLANK(解答設定!E101),"",解答設定!E101)</f>
        <v/>
      </c>
      <c r="F74" s="396"/>
      <c r="G74" s="129" t="str">
        <f t="shared" si="5"/>
        <v/>
      </c>
      <c r="H74" s="397" t="str">
        <f ca="1">平均!S34</f>
        <v/>
      </c>
      <c r="I74" s="398"/>
      <c r="J74" s="399" t="str">
        <f>IFERROR(HLOOKUP(解答設定!H101,解答設定!$F$6:$AS$13,5),"")</f>
        <v/>
      </c>
      <c r="K74" s="400"/>
      <c r="L74" s="400"/>
      <c r="M74" s="400"/>
      <c r="N74" s="401"/>
      <c r="O74" s="393" t="str">
        <f>IF(ISBLANK(解答設定!R101),"",解答設定!R101)</f>
        <v/>
      </c>
      <c r="P74" s="402"/>
      <c r="Q74" s="79"/>
      <c r="R74" s="422"/>
      <c r="S74" s="422"/>
      <c r="T74" s="422"/>
      <c r="U74" s="422"/>
      <c r="V74" s="68"/>
      <c r="W74" s="420"/>
      <c r="X74" s="420"/>
      <c r="Y74" s="421"/>
      <c r="Z74" s="421"/>
      <c r="AA74" s="421"/>
      <c r="AB74" s="421"/>
      <c r="AC74" s="421"/>
      <c r="AD74" s="422"/>
      <c r="AE74" s="422"/>
      <c r="AF74" s="83"/>
    </row>
    <row r="75" spans="2:32" ht="16" customHeight="1">
      <c r="B75" s="70" t="str">
        <f>IF(ISBLANK(解答設定!B102),"",解答設定!B102)</f>
        <v/>
      </c>
      <c r="C75" s="393" t="str">
        <f t="shared" si="6"/>
        <v/>
      </c>
      <c r="D75" s="394"/>
      <c r="E75" s="395" t="str">
        <f>IF(ISBLANK(解答設定!E102),"",解答設定!E102)</f>
        <v/>
      </c>
      <c r="F75" s="396"/>
      <c r="G75" s="129" t="str">
        <f t="shared" si="5"/>
        <v/>
      </c>
      <c r="H75" s="397" t="str">
        <f ca="1">平均!S35</f>
        <v/>
      </c>
      <c r="I75" s="398"/>
      <c r="J75" s="399" t="str">
        <f>IFERROR(HLOOKUP(解答設定!H102,解答設定!$F$6:$AS$13,5),"")</f>
        <v/>
      </c>
      <c r="K75" s="400"/>
      <c r="L75" s="400"/>
      <c r="M75" s="400"/>
      <c r="N75" s="401"/>
      <c r="O75" s="393" t="str">
        <f>IF(ISBLANK(解答設定!R102),"",解答設定!R102)</f>
        <v/>
      </c>
      <c r="P75" s="402"/>
      <c r="Q75" s="79"/>
      <c r="R75" s="422"/>
      <c r="S75" s="422"/>
      <c r="T75" s="422"/>
      <c r="U75" s="422"/>
      <c r="V75" s="68"/>
      <c r="W75" s="420"/>
      <c r="X75" s="420"/>
      <c r="Y75" s="421"/>
      <c r="Z75" s="421"/>
      <c r="AA75" s="421"/>
      <c r="AB75" s="421"/>
      <c r="AC75" s="421"/>
      <c r="AD75" s="422"/>
      <c r="AE75" s="422"/>
      <c r="AF75" s="83"/>
    </row>
    <row r="76" spans="2:32" ht="16" customHeight="1">
      <c r="B76" s="70" t="str">
        <f>IF(ISBLANK(解答設定!B103),"",解答設定!B103)</f>
        <v/>
      </c>
      <c r="C76" s="393" t="str">
        <f t="shared" si="6"/>
        <v/>
      </c>
      <c r="D76" s="394"/>
      <c r="E76" s="395" t="str">
        <f>IF(ISBLANK(解答設定!E103),"",解答設定!E103)</f>
        <v/>
      </c>
      <c r="F76" s="396"/>
      <c r="G76" s="129" t="str">
        <f t="shared" si="5"/>
        <v/>
      </c>
      <c r="H76" s="397" t="str">
        <f ca="1">平均!S36</f>
        <v/>
      </c>
      <c r="I76" s="398"/>
      <c r="J76" s="399" t="str">
        <f>IFERROR(HLOOKUP(解答設定!H103,解答設定!$F$6:$AS$13,5),"")</f>
        <v/>
      </c>
      <c r="K76" s="400"/>
      <c r="L76" s="400"/>
      <c r="M76" s="400"/>
      <c r="N76" s="401"/>
      <c r="O76" s="393" t="str">
        <f>IF(ISBLANK(解答設定!R103),"",解答設定!R103)</f>
        <v/>
      </c>
      <c r="P76" s="402"/>
      <c r="Q76" s="79"/>
      <c r="R76" s="422"/>
      <c r="S76" s="422"/>
      <c r="T76" s="422"/>
      <c r="U76" s="422"/>
      <c r="V76" s="68"/>
      <c r="W76" s="420"/>
      <c r="X76" s="420"/>
      <c r="Y76" s="421"/>
      <c r="Z76" s="421"/>
      <c r="AA76" s="421"/>
      <c r="AB76" s="421"/>
      <c r="AC76" s="421"/>
      <c r="AD76" s="422"/>
      <c r="AE76" s="422"/>
      <c r="AF76" s="83"/>
    </row>
    <row r="77" spans="2:32" ht="16" customHeight="1">
      <c r="B77" s="70" t="str">
        <f>IF(ISBLANK(解答設定!B104),"",解答設定!B104)</f>
        <v/>
      </c>
      <c r="C77" s="393" t="str">
        <f t="shared" si="6"/>
        <v/>
      </c>
      <c r="D77" s="394"/>
      <c r="E77" s="395" t="str">
        <f>IF(ISBLANK(解答設定!E104),"",解答設定!E104)</f>
        <v/>
      </c>
      <c r="F77" s="396"/>
      <c r="G77" s="129" t="str">
        <f t="shared" si="5"/>
        <v/>
      </c>
      <c r="H77" s="397" t="str">
        <f ca="1">平均!S37</f>
        <v/>
      </c>
      <c r="I77" s="398"/>
      <c r="J77" s="399" t="str">
        <f>IFERROR(HLOOKUP(解答設定!H104,解答設定!$F$6:$AS$13,5),"")</f>
        <v/>
      </c>
      <c r="K77" s="400"/>
      <c r="L77" s="400"/>
      <c r="M77" s="400"/>
      <c r="N77" s="401"/>
      <c r="O77" s="393" t="str">
        <f>IF(ISBLANK(解答設定!R104),"",解答設定!R104)</f>
        <v/>
      </c>
      <c r="P77" s="402"/>
    </row>
    <row r="78" spans="2:32" ht="16" customHeight="1">
      <c r="B78" s="70" t="str">
        <f>IF(ISBLANK(解答設定!B105),"",解答設定!B105)</f>
        <v/>
      </c>
      <c r="C78" s="393" t="str">
        <f t="shared" si="6"/>
        <v/>
      </c>
      <c r="D78" s="394"/>
      <c r="E78" s="395" t="str">
        <f>IF(ISBLANK(解答設定!E105),"",解答設定!E105)</f>
        <v/>
      </c>
      <c r="F78" s="396"/>
      <c r="G78" s="129" t="str">
        <f t="shared" si="5"/>
        <v/>
      </c>
      <c r="H78" s="397" t="str">
        <f ca="1">平均!S38</f>
        <v/>
      </c>
      <c r="I78" s="398"/>
      <c r="J78" s="399" t="str">
        <f>IFERROR(HLOOKUP(解答設定!H105,解答設定!$F$6:$AS$13,5),"")</f>
        <v/>
      </c>
      <c r="K78" s="400"/>
      <c r="L78" s="400"/>
      <c r="M78" s="400"/>
      <c r="N78" s="401"/>
      <c r="O78" s="393" t="str">
        <f>IF(ISBLANK(解答設定!R105),"",解答設定!R105)</f>
        <v/>
      </c>
      <c r="P78" s="402"/>
    </row>
    <row r="79" spans="2:32" ht="16" customHeight="1">
      <c r="B79" s="70" t="str">
        <f>IF(ISBLANK(解答設定!B106),"",解答設定!B106)</f>
        <v/>
      </c>
      <c r="C79" s="393" t="str">
        <f t="shared" si="6"/>
        <v/>
      </c>
      <c r="D79" s="394"/>
      <c r="E79" s="395" t="str">
        <f>IF(ISBLANK(解答設定!E106),"",解答設定!E106)</f>
        <v/>
      </c>
      <c r="F79" s="396"/>
      <c r="G79" s="129" t="str">
        <f t="shared" si="5"/>
        <v/>
      </c>
      <c r="H79" s="397" t="str">
        <f ca="1">平均!S39</f>
        <v/>
      </c>
      <c r="I79" s="398"/>
      <c r="J79" s="399" t="str">
        <f>IFERROR(HLOOKUP(解答設定!H106,解答設定!$F$6:$AS$13,5),"")</f>
        <v/>
      </c>
      <c r="K79" s="400"/>
      <c r="L79" s="400"/>
      <c r="M79" s="400"/>
      <c r="N79" s="401"/>
      <c r="O79" s="393" t="str">
        <f>IF(ISBLANK(解答設定!R106),"",解答設定!R106)</f>
        <v/>
      </c>
      <c r="P79" s="402"/>
    </row>
    <row r="80" spans="2:32" ht="16" customHeight="1">
      <c r="B80" s="70" t="str">
        <f>IF(ISBLANK(解答設定!B107),"",解答設定!B107)</f>
        <v/>
      </c>
      <c r="C80" s="393" t="str">
        <f t="shared" si="6"/>
        <v/>
      </c>
      <c r="D80" s="394"/>
      <c r="E80" s="395" t="str">
        <f>IF(ISBLANK(解答設定!E107),"",解答設定!E107)</f>
        <v/>
      </c>
      <c r="F80" s="396"/>
      <c r="G80" s="129" t="str">
        <f t="shared" si="5"/>
        <v/>
      </c>
      <c r="H80" s="397" t="str">
        <f ca="1">平均!S40</f>
        <v/>
      </c>
      <c r="I80" s="398"/>
      <c r="J80" s="399" t="str">
        <f>IFERROR(HLOOKUP(解答設定!H107,解答設定!$F$6:$AS$13,5),"")</f>
        <v/>
      </c>
      <c r="K80" s="400"/>
      <c r="L80" s="400"/>
      <c r="M80" s="400"/>
      <c r="N80" s="401"/>
      <c r="O80" s="393" t="str">
        <f>IF(ISBLANK(解答設定!R107),"",解答設定!R107)</f>
        <v/>
      </c>
      <c r="P80" s="402"/>
    </row>
    <row r="81" spans="2:16" ht="16" customHeight="1">
      <c r="B81" s="70" t="str">
        <f>IF(ISBLANK(解答設定!B108),"",解答設定!B108)</f>
        <v/>
      </c>
      <c r="C81" s="393" t="str">
        <f t="shared" si="6"/>
        <v/>
      </c>
      <c r="D81" s="394"/>
      <c r="E81" s="395" t="str">
        <f>IF(ISBLANK(解答設定!E108),"",解答設定!E108)</f>
        <v/>
      </c>
      <c r="F81" s="396"/>
      <c r="G81" s="129" t="str">
        <f t="shared" si="5"/>
        <v/>
      </c>
      <c r="H81" s="397" t="str">
        <f ca="1">平均!S41</f>
        <v/>
      </c>
      <c r="I81" s="398"/>
      <c r="J81" s="399" t="str">
        <f>IFERROR(HLOOKUP(解答設定!H108,解答設定!$F$6:$AS$13,5),"")</f>
        <v/>
      </c>
      <c r="K81" s="400"/>
      <c r="L81" s="400"/>
      <c r="M81" s="400"/>
      <c r="N81" s="401"/>
      <c r="O81" s="393" t="str">
        <f>IF(ISBLANK(解答設定!R108),"",解答設定!R108)</f>
        <v/>
      </c>
      <c r="P81" s="402"/>
    </row>
    <row r="82" spans="2:16" ht="16" customHeight="1">
      <c r="B82" s="70" t="str">
        <f>IF(ISBLANK(解答設定!B109),"",解答設定!B109)</f>
        <v/>
      </c>
      <c r="C82" s="393" t="str">
        <f t="shared" si="6"/>
        <v/>
      </c>
      <c r="D82" s="394"/>
      <c r="E82" s="395" t="str">
        <f>IF(ISBLANK(解答設定!E109),"",解答設定!E109)</f>
        <v/>
      </c>
      <c r="F82" s="396"/>
      <c r="G82" s="129" t="str">
        <f t="shared" si="5"/>
        <v/>
      </c>
      <c r="H82" s="397" t="str">
        <f ca="1">平均!S42</f>
        <v/>
      </c>
      <c r="I82" s="398"/>
      <c r="J82" s="399" t="str">
        <f>IFERROR(HLOOKUP(解答設定!H109,解答設定!$F$6:$AS$13,5),"")</f>
        <v/>
      </c>
      <c r="K82" s="400"/>
      <c r="L82" s="400"/>
      <c r="M82" s="400"/>
      <c r="N82" s="401"/>
      <c r="O82" s="393" t="str">
        <f>IF(ISBLANK(解答設定!R109),"",解答設定!R109)</f>
        <v/>
      </c>
      <c r="P82" s="402"/>
    </row>
    <row r="83" spans="2:16" ht="16" customHeight="1">
      <c r="B83" s="70" t="str">
        <f>IF(ISBLANK(解答設定!B110),"",解答設定!B110)</f>
        <v/>
      </c>
      <c r="C83" s="393" t="str">
        <f t="shared" si="6"/>
        <v/>
      </c>
      <c r="D83" s="394"/>
      <c r="E83" s="395" t="str">
        <f>IF(ISBLANK(解答設定!E110),"",解答設定!E110)</f>
        <v/>
      </c>
      <c r="F83" s="396"/>
      <c r="G83" s="129" t="str">
        <f t="shared" si="5"/>
        <v/>
      </c>
      <c r="H83" s="397" t="str">
        <f ca="1">平均!Z13</f>
        <v/>
      </c>
      <c r="I83" s="398"/>
      <c r="J83" s="399" t="str">
        <f>IFERROR(HLOOKUP(解答設定!H110,解答設定!$F$6:$AS$13,5),"")</f>
        <v/>
      </c>
      <c r="K83" s="400"/>
      <c r="L83" s="400"/>
      <c r="M83" s="400"/>
      <c r="N83" s="401"/>
      <c r="O83" s="393" t="str">
        <f>IF(ISBLANK(解答設定!R110),"",解答設定!R110)</f>
        <v/>
      </c>
      <c r="P83" s="402"/>
    </row>
    <row r="84" spans="2:16" ht="16" customHeight="1">
      <c r="B84" s="70" t="str">
        <f>IF(ISBLANK(解答設定!B111),"",解答設定!B111)</f>
        <v/>
      </c>
      <c r="C84" s="393" t="str">
        <f t="shared" si="6"/>
        <v/>
      </c>
      <c r="D84" s="394"/>
      <c r="E84" s="395" t="str">
        <f>IF(ISBLANK(解答設定!E111),"",解答設定!E111)</f>
        <v/>
      </c>
      <c r="F84" s="396"/>
      <c r="G84" s="129" t="str">
        <f t="shared" si="5"/>
        <v/>
      </c>
      <c r="H84" s="397" t="str">
        <f ca="1">平均!Z14</f>
        <v/>
      </c>
      <c r="I84" s="398"/>
      <c r="J84" s="399" t="str">
        <f>IFERROR(HLOOKUP(解答設定!H111,解答設定!$F$6:$AS$13,5),"")</f>
        <v/>
      </c>
      <c r="K84" s="400"/>
      <c r="L84" s="400"/>
      <c r="M84" s="400"/>
      <c r="N84" s="401"/>
      <c r="O84" s="393" t="str">
        <f>IF(ISBLANK(解答設定!R111),"",解答設定!R111)</f>
        <v/>
      </c>
      <c r="P84" s="402"/>
    </row>
    <row r="85" spans="2:16" ht="16" customHeight="1">
      <c r="B85" s="70" t="str">
        <f>IF(ISBLANK(解答設定!B112),"",解答設定!B112)</f>
        <v/>
      </c>
      <c r="C85" s="393" t="str">
        <f t="shared" si="6"/>
        <v/>
      </c>
      <c r="D85" s="394"/>
      <c r="E85" s="395" t="str">
        <f>IF(ISBLANK(解答設定!E112),"",解答設定!E112)</f>
        <v/>
      </c>
      <c r="F85" s="396"/>
      <c r="G85" s="129" t="str">
        <f t="shared" si="5"/>
        <v/>
      </c>
      <c r="H85" s="397" t="str">
        <f ca="1">平均!Z15</f>
        <v/>
      </c>
      <c r="I85" s="398"/>
      <c r="J85" s="399" t="str">
        <f>IFERROR(HLOOKUP(解答設定!H112,解答設定!$F$6:$AS$13,5),"")</f>
        <v/>
      </c>
      <c r="K85" s="400"/>
      <c r="L85" s="400"/>
      <c r="M85" s="400"/>
      <c r="N85" s="401"/>
      <c r="O85" s="393" t="str">
        <f>IF(ISBLANK(解答設定!R112),"",解答設定!R112)</f>
        <v/>
      </c>
      <c r="P85" s="402"/>
    </row>
    <row r="86" spans="2:16" ht="16" customHeight="1">
      <c r="B86" s="70" t="str">
        <f>IF(ISBLANK(解答設定!B113),"",解答設定!B113)</f>
        <v/>
      </c>
      <c r="C86" s="393" t="str">
        <f t="shared" si="6"/>
        <v/>
      </c>
      <c r="D86" s="394"/>
      <c r="E86" s="395" t="str">
        <f>IF(ISBLANK(解答設定!E113),"",解答設定!E113)</f>
        <v/>
      </c>
      <c r="F86" s="396"/>
      <c r="G86" s="129" t="str">
        <f t="shared" si="5"/>
        <v/>
      </c>
      <c r="H86" s="397" t="str">
        <f ca="1">平均!Z16</f>
        <v/>
      </c>
      <c r="I86" s="398"/>
      <c r="J86" s="399" t="str">
        <f>IFERROR(HLOOKUP(解答設定!H113,解答設定!$F$6:$AS$13,5),"")</f>
        <v/>
      </c>
      <c r="K86" s="400"/>
      <c r="L86" s="400"/>
      <c r="M86" s="400"/>
      <c r="N86" s="401"/>
      <c r="O86" s="393" t="str">
        <f>IF(ISBLANK(解答設定!R113),"",解答設定!R113)</f>
        <v/>
      </c>
      <c r="P86" s="402"/>
    </row>
    <row r="87" spans="2:16" ht="16" customHeight="1">
      <c r="B87" s="70" t="str">
        <f>IF(ISBLANK(解答設定!B114),"",解答設定!B114)</f>
        <v/>
      </c>
      <c r="C87" s="393" t="str">
        <f t="shared" si="6"/>
        <v/>
      </c>
      <c r="D87" s="394"/>
      <c r="E87" s="395" t="str">
        <f>IF(ISBLANK(解答設定!E114),"",解答設定!E114)</f>
        <v/>
      </c>
      <c r="F87" s="396"/>
      <c r="G87" s="129" t="str">
        <f t="shared" si="5"/>
        <v/>
      </c>
      <c r="H87" s="397" t="str">
        <f ca="1">平均!Z17</f>
        <v/>
      </c>
      <c r="I87" s="398"/>
      <c r="J87" s="399" t="str">
        <f>IFERROR(HLOOKUP(解答設定!H114,解答設定!$F$6:$AS$13,5),"")</f>
        <v/>
      </c>
      <c r="K87" s="400"/>
      <c r="L87" s="400"/>
      <c r="M87" s="400"/>
      <c r="N87" s="401"/>
      <c r="O87" s="393" t="str">
        <f>IF(ISBLANK(解答設定!R114),"",解答設定!R114)</f>
        <v/>
      </c>
      <c r="P87" s="402"/>
    </row>
    <row r="88" spans="2:16" ht="16" customHeight="1">
      <c r="B88" s="70" t="str">
        <f>IF(ISBLANK(解答設定!B115),"",解答設定!B115)</f>
        <v/>
      </c>
      <c r="C88" s="393" t="str">
        <f t="shared" si="6"/>
        <v/>
      </c>
      <c r="D88" s="394"/>
      <c r="E88" s="395" t="str">
        <f>IF(ISBLANK(解答設定!E115),"",解答設定!E115)</f>
        <v/>
      </c>
      <c r="F88" s="396"/>
      <c r="G88" s="129" t="str">
        <f t="shared" si="5"/>
        <v/>
      </c>
      <c r="H88" s="397" t="str">
        <f ca="1">平均!Z18</f>
        <v/>
      </c>
      <c r="I88" s="398"/>
      <c r="J88" s="399" t="str">
        <f>IFERROR(HLOOKUP(解答設定!H115,解答設定!$F$6:$AS$13,5),"")</f>
        <v/>
      </c>
      <c r="K88" s="400"/>
      <c r="L88" s="400"/>
      <c r="M88" s="400"/>
      <c r="N88" s="401"/>
      <c r="O88" s="393" t="str">
        <f>IF(ISBLANK(解答設定!R115),"",解答設定!R115)</f>
        <v/>
      </c>
      <c r="P88" s="402"/>
    </row>
    <row r="89" spans="2:16" ht="16" customHeight="1">
      <c r="B89" s="70" t="str">
        <f>IF(ISBLANK(解答設定!B116),"",解答設定!B116)</f>
        <v/>
      </c>
      <c r="C89" s="393" t="str">
        <f t="shared" si="6"/>
        <v/>
      </c>
      <c r="D89" s="394"/>
      <c r="E89" s="395" t="str">
        <f>IF(ISBLANK(解答設定!E116),"",解答設定!E116)</f>
        <v/>
      </c>
      <c r="F89" s="396"/>
      <c r="G89" s="129" t="str">
        <f t="shared" si="5"/>
        <v/>
      </c>
      <c r="H89" s="397" t="str">
        <f ca="1">平均!Z19</f>
        <v/>
      </c>
      <c r="I89" s="398"/>
      <c r="J89" s="399" t="str">
        <f>IFERROR(HLOOKUP(解答設定!H116,解答設定!$F$6:$AS$13,5),"")</f>
        <v/>
      </c>
      <c r="K89" s="400"/>
      <c r="L89" s="400"/>
      <c r="M89" s="400"/>
      <c r="N89" s="401"/>
      <c r="O89" s="393" t="str">
        <f>IF(ISBLANK(解答設定!R116),"",解答設定!R116)</f>
        <v/>
      </c>
      <c r="P89" s="402"/>
    </row>
    <row r="90" spans="2:16" ht="16" customHeight="1">
      <c r="B90" s="70" t="str">
        <f>IF(ISBLANK(解答設定!B117),"",解答設定!B117)</f>
        <v/>
      </c>
      <c r="C90" s="393" t="str">
        <f t="shared" si="6"/>
        <v/>
      </c>
      <c r="D90" s="394"/>
      <c r="E90" s="395" t="str">
        <f>IF(ISBLANK(解答設定!E117),"",解答設定!E117)</f>
        <v/>
      </c>
      <c r="F90" s="396"/>
      <c r="G90" s="129" t="str">
        <f t="shared" si="5"/>
        <v/>
      </c>
      <c r="H90" s="397" t="str">
        <f ca="1">平均!Z20</f>
        <v/>
      </c>
      <c r="I90" s="398"/>
      <c r="J90" s="399" t="str">
        <f>IFERROR(HLOOKUP(解答設定!H117,解答設定!$F$6:$AS$13,5),"")</f>
        <v/>
      </c>
      <c r="K90" s="400"/>
      <c r="L90" s="400"/>
      <c r="M90" s="400"/>
      <c r="N90" s="401"/>
      <c r="O90" s="393" t="str">
        <f>IF(ISBLANK(解答設定!R117),"",解答設定!R117)</f>
        <v/>
      </c>
      <c r="P90" s="402"/>
    </row>
    <row r="91" spans="2:16" ht="16" customHeight="1">
      <c r="B91" s="70" t="str">
        <f>IF(ISBLANK(解答設定!B118),"",解答設定!B118)</f>
        <v/>
      </c>
      <c r="C91" s="393" t="str">
        <f t="shared" si="6"/>
        <v/>
      </c>
      <c r="D91" s="394"/>
      <c r="E91" s="395" t="str">
        <f>IF(ISBLANK(解答設定!E118),"",解答設定!E118)</f>
        <v/>
      </c>
      <c r="F91" s="396"/>
      <c r="G91" s="129" t="str">
        <f t="shared" si="5"/>
        <v/>
      </c>
      <c r="H91" s="397" t="str">
        <f ca="1">平均!Z21</f>
        <v/>
      </c>
      <c r="I91" s="398"/>
      <c r="J91" s="399" t="str">
        <f>IFERROR(HLOOKUP(解答設定!H118,解答設定!$F$6:$AS$13,5),"")</f>
        <v/>
      </c>
      <c r="K91" s="400"/>
      <c r="L91" s="400"/>
      <c r="M91" s="400"/>
      <c r="N91" s="401"/>
      <c r="O91" s="393" t="str">
        <f>IF(ISBLANK(解答設定!R118),"",解答設定!R118)</f>
        <v/>
      </c>
      <c r="P91" s="402"/>
    </row>
    <row r="92" spans="2:16" ht="16" customHeight="1" thickBot="1">
      <c r="B92" s="71" t="str">
        <f>IF(ISBLANK(解答設定!B119),"",解答設定!B119)</f>
        <v/>
      </c>
      <c r="C92" s="425" t="str">
        <f t="shared" si="6"/>
        <v/>
      </c>
      <c r="D92" s="430"/>
      <c r="E92" s="431" t="str">
        <f>IF(ISBLANK(解答設定!E119),"",解答設定!E119)</f>
        <v/>
      </c>
      <c r="F92" s="432"/>
      <c r="G92" s="131" t="str">
        <f t="shared" si="5"/>
        <v/>
      </c>
      <c r="H92" s="433" t="str">
        <f ca="1">平均!Z22</f>
        <v/>
      </c>
      <c r="I92" s="434"/>
      <c r="J92" s="435" t="str">
        <f>IFERROR(HLOOKUP(解答設定!H119,解答設定!$F$6:$AS$13,5),"")</f>
        <v/>
      </c>
      <c r="K92" s="436"/>
      <c r="L92" s="436"/>
      <c r="M92" s="436"/>
      <c r="N92" s="437"/>
      <c r="O92" s="425" t="str">
        <f>IF(ISBLANK(解答設定!R119),"",解答設定!R119)</f>
        <v/>
      </c>
      <c r="P92" s="426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</mergeCells>
  <phoneticPr fontId="14"/>
  <conditionalFormatting sqref="G23:G60">
    <cfRule type="cellIs" dxfId="11" priority="5" operator="equal">
      <formula>"x"</formula>
    </cfRule>
  </conditionalFormatting>
  <conditionalFormatting sqref="V23:V60">
    <cfRule type="cellIs" dxfId="10" priority="4" operator="equal">
      <formula>"x"</formula>
    </cfRule>
  </conditionalFormatting>
  <conditionalFormatting sqref="G62:G92">
    <cfRule type="cellIs" dxfId="9" priority="3" operator="equal">
      <formula>"x"</formula>
    </cfRule>
  </conditionalFormatting>
  <conditionalFormatting sqref="V63:V76">
    <cfRule type="cellIs" dxfId="8" priority="2" operator="equal">
      <formula>"✕"</formula>
    </cfRule>
  </conditionalFormatting>
  <conditionalFormatting sqref="V62">
    <cfRule type="cellIs" dxfId="7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B11" sqref="B11:D13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62</v>
      </c>
      <c r="B1" s="59">
        <f>FindStudent(B7,G7)</f>
        <v>123</v>
      </c>
    </row>
    <row r="2" spans="1:52" ht="6" customHeight="1">
      <c r="B2" s="59"/>
      <c r="C2" s="59"/>
    </row>
    <row r="3" spans="1:52" ht="7" customHeight="1">
      <c r="AH3" s="472"/>
      <c r="AI3" s="472"/>
      <c r="AJ3" s="472"/>
      <c r="AK3" s="472"/>
      <c r="AL3" s="472"/>
      <c r="AM3" s="472"/>
      <c r="AN3" s="472"/>
      <c r="AO3" s="472"/>
      <c r="AP3" s="472"/>
      <c r="AQ3" s="472"/>
    </row>
    <row r="4" spans="1:52" ht="7" customHeight="1">
      <c r="B4" s="409" t="str">
        <f>生徒個票!$B$4</f>
        <v>○期　○学年　○学期　○○試験　採点結果</v>
      </c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09"/>
      <c r="O4" s="409"/>
      <c r="P4" s="409"/>
      <c r="Q4" s="409"/>
      <c r="R4" s="409"/>
      <c r="S4" s="409"/>
      <c r="T4" s="409"/>
      <c r="U4" s="409"/>
      <c r="V4" s="409"/>
      <c r="W4" s="409"/>
      <c r="X4" s="409"/>
      <c r="Y4" s="409"/>
      <c r="Z4" s="409"/>
      <c r="AA4" s="409"/>
      <c r="AB4" s="409"/>
      <c r="AC4" s="409"/>
      <c r="AD4" s="409"/>
      <c r="AE4" s="409"/>
      <c r="AH4" s="472"/>
      <c r="AI4" s="472"/>
      <c r="AJ4" s="472"/>
      <c r="AK4" s="472"/>
      <c r="AL4" s="472"/>
      <c r="AM4" s="472"/>
      <c r="AN4" s="472"/>
      <c r="AO4" s="472"/>
      <c r="AP4" s="472"/>
      <c r="AQ4" s="472"/>
    </row>
    <row r="5" spans="1:52" ht="10" customHeight="1">
      <c r="B5" s="409"/>
      <c r="C5" s="409"/>
      <c r="D5" s="409"/>
      <c r="E5" s="409"/>
      <c r="F5" s="409"/>
      <c r="G5" s="409"/>
      <c r="H5" s="409"/>
      <c r="I5" s="409"/>
      <c r="J5" s="409"/>
      <c r="K5" s="409"/>
      <c r="L5" s="409"/>
      <c r="M5" s="409"/>
      <c r="N5" s="409"/>
      <c r="O5" s="409"/>
      <c r="P5" s="409"/>
      <c r="Q5" s="409"/>
      <c r="R5" s="409"/>
      <c r="S5" s="409"/>
      <c r="T5" s="409"/>
      <c r="U5" s="409"/>
      <c r="V5" s="409"/>
      <c r="W5" s="409"/>
      <c r="X5" s="409"/>
      <c r="Y5" s="409"/>
      <c r="Z5" s="409"/>
      <c r="AA5" s="409"/>
      <c r="AB5" s="409"/>
      <c r="AC5" s="409"/>
      <c r="AD5" s="409"/>
      <c r="AE5" s="409"/>
      <c r="AH5" s="472"/>
      <c r="AI5" s="472"/>
      <c r="AJ5" s="472"/>
      <c r="AK5" s="472"/>
      <c r="AL5" s="472"/>
      <c r="AM5" s="472"/>
      <c r="AN5" s="472"/>
      <c r="AO5" s="472"/>
      <c r="AP5" s="472"/>
      <c r="AQ5" s="472"/>
    </row>
    <row r="6" spans="1:52" ht="5" customHeight="1">
      <c r="AH6" s="472"/>
      <c r="AI6" s="472"/>
      <c r="AJ6" s="472"/>
      <c r="AK6" s="472"/>
      <c r="AL6" s="472"/>
      <c r="AM6" s="472"/>
      <c r="AN6" s="472"/>
      <c r="AO6" s="472"/>
      <c r="AP6" s="472"/>
      <c r="AQ6" s="472"/>
    </row>
    <row r="7" spans="1:52" ht="7" customHeight="1">
      <c r="B7" s="412"/>
      <c r="C7" s="412"/>
      <c r="D7" s="412"/>
      <c r="E7" s="353" t="s">
        <v>25</v>
      </c>
      <c r="F7" s="353"/>
      <c r="G7" s="412"/>
      <c r="H7" s="412"/>
      <c r="I7" s="412"/>
      <c r="J7" s="353" t="s">
        <v>28</v>
      </c>
      <c r="K7" s="353"/>
      <c r="M7" s="353" t="s">
        <v>23</v>
      </c>
      <c r="N7" s="353"/>
      <c r="O7" s="353"/>
      <c r="P7" s="353" t="s">
        <v>68</v>
      </c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  <c r="AC7" s="353"/>
      <c r="AD7" s="353"/>
      <c r="AE7" s="353"/>
      <c r="AH7" s="473"/>
      <c r="AI7" s="473"/>
      <c r="AJ7" s="473"/>
      <c r="AK7" s="472"/>
      <c r="AL7" s="472"/>
      <c r="AM7" s="473"/>
      <c r="AN7" s="473"/>
      <c r="AO7" s="473"/>
      <c r="AP7" s="472"/>
      <c r="AQ7" s="472"/>
    </row>
    <row r="8" spans="1:52" ht="7" customHeight="1">
      <c r="B8" s="412"/>
      <c r="C8" s="412"/>
      <c r="D8" s="412"/>
      <c r="E8" s="353"/>
      <c r="F8" s="353"/>
      <c r="G8" s="412"/>
      <c r="H8" s="412"/>
      <c r="I8" s="412"/>
      <c r="J8" s="353"/>
      <c r="K8" s="353"/>
      <c r="M8" s="353"/>
      <c r="N8" s="353"/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/>
      <c r="AA8" s="353"/>
      <c r="AB8" s="353"/>
      <c r="AC8" s="353"/>
      <c r="AD8" s="353"/>
      <c r="AE8" s="353"/>
      <c r="AH8" s="473"/>
      <c r="AI8" s="473"/>
      <c r="AJ8" s="473"/>
      <c r="AK8" s="472"/>
      <c r="AL8" s="472"/>
      <c r="AM8" s="473"/>
      <c r="AN8" s="473"/>
      <c r="AO8" s="473"/>
      <c r="AP8" s="472"/>
      <c r="AQ8" s="472"/>
    </row>
    <row r="9" spans="1:52" ht="7" customHeight="1">
      <c r="B9" s="412"/>
      <c r="C9" s="412"/>
      <c r="D9" s="412"/>
      <c r="E9" s="353"/>
      <c r="F9" s="353"/>
      <c r="G9" s="412"/>
      <c r="H9" s="412"/>
      <c r="I9" s="412"/>
      <c r="J9" s="353"/>
      <c r="K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H9" s="473"/>
      <c r="AI9" s="473"/>
      <c r="AJ9" s="473"/>
      <c r="AK9" s="472"/>
      <c r="AL9" s="472"/>
      <c r="AM9" s="473"/>
      <c r="AN9" s="473"/>
      <c r="AO9" s="473"/>
      <c r="AP9" s="472"/>
      <c r="AQ9" s="472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465"/>
      <c r="AL10" s="465"/>
      <c r="AM10" s="465"/>
      <c r="AN10" s="465"/>
      <c r="AO10" s="64"/>
      <c r="AP10" s="64"/>
      <c r="AQ10" s="64"/>
    </row>
    <row r="11" spans="1:52" ht="9" customHeight="1">
      <c r="B11" s="411" t="str">
        <f>IF(ISBLANK(初期設定!C38),"",初期設定!C38)</f>
        <v/>
      </c>
      <c r="C11" s="411"/>
      <c r="D11" s="411"/>
      <c r="E11" s="391" t="s">
        <v>32</v>
      </c>
      <c r="F11" s="353">
        <f ca="1">SUMIF(J23:P57,"*"&amp;初期設定!C38&amp;"*",O23:P57)+SUMIF(Y23:AE57,"*"&amp;初期設定!C38&amp;"*",AD23:AE57)+SUMIF(J63:P92,"*"&amp;初期設定!C38&amp;"*",O63:P92)</f>
        <v>0</v>
      </c>
      <c r="G11" s="353"/>
      <c r="H11" s="365" t="s">
        <v>48</v>
      </c>
      <c r="I11" s="353"/>
      <c r="J11" s="352"/>
      <c r="K11" s="64"/>
      <c r="L11" s="411" t="str">
        <f>IF(ISBLANK(初期設定!K38),"",初期設定!K38)</f>
        <v/>
      </c>
      <c r="M11" s="411"/>
      <c r="N11" s="411"/>
      <c r="O11" s="389" t="s">
        <v>32</v>
      </c>
      <c r="P11" s="352">
        <f ca="1">SUMIF(J23:P57,"*"&amp;初期設定!K38&amp;"*",O23:P57)+SUMIF(Y23:AE57,"*"&amp;初期設定!K38&amp;"*",AD23:AE57)+SUMIF(J63:P92,"*"&amp;初期設定!K38&amp;"*",O63:P92)</f>
        <v>0</v>
      </c>
      <c r="Q11" s="352"/>
      <c r="R11" s="364" t="s">
        <v>48</v>
      </c>
      <c r="S11" s="352"/>
      <c r="T11" s="352"/>
      <c r="U11" s="64"/>
      <c r="V11" s="352" t="s">
        <v>24</v>
      </c>
      <c r="W11" s="352"/>
      <c r="X11" s="352"/>
      <c r="Y11" s="358">
        <f ca="1">SUM(F11,P11)</f>
        <v>0</v>
      </c>
      <c r="Z11" s="359"/>
      <c r="AA11" s="359"/>
      <c r="AB11" s="359"/>
      <c r="AC11" s="359"/>
      <c r="AD11" s="355" t="s">
        <v>29</v>
      </c>
      <c r="AE11" s="64"/>
      <c r="AH11" s="64"/>
      <c r="AI11" s="64"/>
      <c r="AJ11" s="64"/>
      <c r="AK11" s="465"/>
      <c r="AL11" s="465"/>
      <c r="AM11" s="465"/>
      <c r="AN11" s="465"/>
      <c r="AO11" s="64"/>
      <c r="AP11" s="64"/>
      <c r="AQ11" s="64"/>
    </row>
    <row r="12" spans="1:52" ht="9" customHeight="1">
      <c r="B12" s="411"/>
      <c r="C12" s="411"/>
      <c r="D12" s="411"/>
      <c r="E12" s="391"/>
      <c r="F12" s="353"/>
      <c r="G12" s="353"/>
      <c r="H12" s="365"/>
      <c r="I12" s="353"/>
      <c r="J12" s="353"/>
      <c r="K12" s="64"/>
      <c r="L12" s="411"/>
      <c r="M12" s="411"/>
      <c r="N12" s="411"/>
      <c r="O12" s="389"/>
      <c r="P12" s="353"/>
      <c r="Q12" s="353"/>
      <c r="R12" s="365"/>
      <c r="S12" s="353"/>
      <c r="T12" s="353"/>
      <c r="U12" s="64"/>
      <c r="V12" s="353"/>
      <c r="W12" s="353"/>
      <c r="X12" s="353"/>
      <c r="Y12" s="360"/>
      <c r="Z12" s="361"/>
      <c r="AA12" s="361"/>
      <c r="AB12" s="361"/>
      <c r="AC12" s="361"/>
      <c r="AD12" s="356"/>
      <c r="AE12" s="64"/>
      <c r="AH12" s="64"/>
      <c r="AI12" s="64"/>
      <c r="AJ12" s="64"/>
      <c r="AK12" s="465"/>
      <c r="AL12" s="465"/>
      <c r="AM12" s="465"/>
      <c r="AN12" s="465"/>
      <c r="AO12" s="64"/>
      <c r="AP12" s="64"/>
      <c r="AQ12" s="64"/>
    </row>
    <row r="13" spans="1:52" ht="9" customHeight="1">
      <c r="B13" s="411"/>
      <c r="C13" s="411"/>
      <c r="D13" s="411"/>
      <c r="E13" s="392"/>
      <c r="F13" s="354"/>
      <c r="G13" s="354"/>
      <c r="H13" s="366"/>
      <c r="I13" s="354"/>
      <c r="J13" s="354"/>
      <c r="K13" s="64"/>
      <c r="L13" s="411"/>
      <c r="M13" s="411"/>
      <c r="N13" s="411"/>
      <c r="O13" s="390"/>
      <c r="P13" s="354"/>
      <c r="Q13" s="354"/>
      <c r="R13" s="366"/>
      <c r="S13" s="354"/>
      <c r="T13" s="354"/>
      <c r="U13" s="64"/>
      <c r="V13" s="353"/>
      <c r="W13" s="353"/>
      <c r="X13" s="353"/>
      <c r="Y13" s="362"/>
      <c r="Z13" s="363"/>
      <c r="AA13" s="363"/>
      <c r="AB13" s="363"/>
      <c r="AC13" s="363"/>
      <c r="AD13" s="357"/>
      <c r="AE13" s="64"/>
      <c r="AH13" s="473"/>
      <c r="AI13" s="473"/>
      <c r="AJ13" s="473"/>
      <c r="AK13" s="472"/>
      <c r="AL13" s="472"/>
      <c r="AM13" s="473"/>
      <c r="AN13" s="473"/>
      <c r="AO13" s="473"/>
      <c r="AP13" s="472"/>
      <c r="AQ13" s="472"/>
      <c r="AR13" s="472" t="str">
        <f>IF(OR($AH$7&gt;$AH$13,AND($AH$7=$AH$13,$AM$7&gt;$AM$13)),"←開始地点よりも後に設定してください","")</f>
        <v/>
      </c>
      <c r="AS13" s="454"/>
      <c r="AT13" s="454"/>
      <c r="AU13" s="454"/>
      <c r="AV13" s="454"/>
      <c r="AW13" s="454"/>
      <c r="AX13" s="454"/>
      <c r="AY13" s="454"/>
      <c r="AZ13" s="454"/>
    </row>
    <row r="14" spans="1:52" ht="9" customHeight="1">
      <c r="B14" s="353" t="s">
        <v>61</v>
      </c>
      <c r="C14" s="353"/>
      <c r="D14" s="410"/>
      <c r="E14" s="413"/>
      <c r="F14" s="414"/>
      <c r="G14" s="414"/>
      <c r="H14" s="414"/>
      <c r="I14" s="414"/>
      <c r="J14" s="355" t="s">
        <v>29</v>
      </c>
      <c r="K14" s="64"/>
      <c r="L14" s="353" t="s">
        <v>30</v>
      </c>
      <c r="M14" s="353"/>
      <c r="N14" s="353"/>
      <c r="O14" s="358"/>
      <c r="P14" s="359"/>
      <c r="Q14" s="359"/>
      <c r="R14" s="359"/>
      <c r="S14" s="359"/>
      <c r="T14" s="355" t="s">
        <v>29</v>
      </c>
      <c r="U14" s="64"/>
      <c r="V14" s="353" t="s">
        <v>26</v>
      </c>
      <c r="W14" s="353"/>
      <c r="X14" s="353"/>
      <c r="Y14" s="358"/>
      <c r="Z14" s="359"/>
      <c r="AA14" s="359"/>
      <c r="AB14" s="359"/>
      <c r="AC14" s="359"/>
      <c r="AD14" s="355" t="s">
        <v>63</v>
      </c>
      <c r="AE14" s="64"/>
      <c r="AH14" s="473"/>
      <c r="AI14" s="473"/>
      <c r="AJ14" s="473"/>
      <c r="AK14" s="472"/>
      <c r="AL14" s="472"/>
      <c r="AM14" s="473"/>
      <c r="AN14" s="473"/>
      <c r="AO14" s="473"/>
      <c r="AP14" s="472"/>
      <c r="AQ14" s="472"/>
      <c r="AR14" s="472"/>
      <c r="AS14" s="454"/>
      <c r="AT14" s="454"/>
      <c r="AU14" s="454"/>
      <c r="AV14" s="454"/>
      <c r="AW14" s="454"/>
      <c r="AX14" s="454"/>
      <c r="AY14" s="454"/>
      <c r="AZ14" s="454"/>
    </row>
    <row r="15" spans="1:52" ht="9" customHeight="1">
      <c r="B15" s="353"/>
      <c r="C15" s="353"/>
      <c r="D15" s="410"/>
      <c r="E15" s="415"/>
      <c r="F15" s="416"/>
      <c r="G15" s="416"/>
      <c r="H15" s="416"/>
      <c r="I15" s="416"/>
      <c r="J15" s="356"/>
      <c r="K15" s="64"/>
      <c r="L15" s="353"/>
      <c r="M15" s="353"/>
      <c r="N15" s="353"/>
      <c r="O15" s="360"/>
      <c r="P15" s="361"/>
      <c r="Q15" s="361"/>
      <c r="R15" s="361"/>
      <c r="S15" s="361"/>
      <c r="T15" s="356"/>
      <c r="U15" s="64"/>
      <c r="V15" s="353"/>
      <c r="W15" s="353"/>
      <c r="X15" s="353"/>
      <c r="Y15" s="360"/>
      <c r="Z15" s="361"/>
      <c r="AA15" s="361"/>
      <c r="AB15" s="361"/>
      <c r="AC15" s="361"/>
      <c r="AD15" s="356"/>
      <c r="AE15" s="64"/>
      <c r="AH15" s="473"/>
      <c r="AI15" s="473"/>
      <c r="AJ15" s="473"/>
      <c r="AK15" s="472"/>
      <c r="AL15" s="472"/>
      <c r="AM15" s="473"/>
      <c r="AN15" s="473"/>
      <c r="AO15" s="473"/>
      <c r="AP15" s="472"/>
      <c r="AQ15" s="472"/>
      <c r="AR15" s="472"/>
      <c r="AS15" s="454"/>
      <c r="AT15" s="454"/>
      <c r="AU15" s="454"/>
      <c r="AV15" s="454"/>
      <c r="AW15" s="454"/>
      <c r="AX15" s="454"/>
      <c r="AY15" s="454"/>
      <c r="AZ15" s="454"/>
    </row>
    <row r="16" spans="1:52" ht="9" customHeight="1">
      <c r="B16" s="353"/>
      <c r="C16" s="353"/>
      <c r="D16" s="410"/>
      <c r="E16" s="417"/>
      <c r="F16" s="418"/>
      <c r="G16" s="418"/>
      <c r="H16" s="418"/>
      <c r="I16" s="418"/>
      <c r="J16" s="357"/>
      <c r="K16" s="64"/>
      <c r="L16" s="353"/>
      <c r="M16" s="353"/>
      <c r="N16" s="353"/>
      <c r="O16" s="362"/>
      <c r="P16" s="363"/>
      <c r="Q16" s="363"/>
      <c r="R16" s="363"/>
      <c r="S16" s="363"/>
      <c r="T16" s="357"/>
      <c r="U16" s="64"/>
      <c r="V16" s="353"/>
      <c r="W16" s="353"/>
      <c r="X16" s="353"/>
      <c r="Y16" s="362"/>
      <c r="Z16" s="363"/>
      <c r="AA16" s="363"/>
      <c r="AB16" s="363"/>
      <c r="AC16" s="363"/>
      <c r="AD16" s="357"/>
      <c r="AE16" s="64"/>
    </row>
    <row r="18" spans="2:31" ht="7" customHeight="1">
      <c r="B18" s="382" t="s">
        <v>27</v>
      </c>
      <c r="C18" s="382"/>
      <c r="D18" s="382"/>
      <c r="E18" s="382"/>
      <c r="F18" s="382"/>
      <c r="G18" s="382"/>
      <c r="H18" s="382"/>
      <c r="I18" s="382"/>
      <c r="J18" s="382"/>
      <c r="K18" s="382"/>
    </row>
    <row r="19" spans="2:31" ht="7" customHeight="1" thickBot="1">
      <c r="B19" s="382"/>
      <c r="C19" s="382"/>
      <c r="D19" s="382"/>
      <c r="E19" s="382"/>
      <c r="F19" s="382"/>
      <c r="G19" s="382"/>
      <c r="H19" s="382"/>
      <c r="I19" s="382"/>
      <c r="J19" s="382"/>
      <c r="K19" s="382"/>
    </row>
    <row r="20" spans="2:31" ht="7" customHeight="1" thickTop="1">
      <c r="B20" s="383" t="s">
        <v>31</v>
      </c>
      <c r="C20" s="370" t="s">
        <v>32</v>
      </c>
      <c r="D20" s="372"/>
      <c r="E20" s="370" t="s">
        <v>33</v>
      </c>
      <c r="F20" s="372"/>
      <c r="G20" s="387" t="s">
        <v>34</v>
      </c>
      <c r="H20" s="367" t="s">
        <v>55</v>
      </c>
      <c r="I20" s="367"/>
      <c r="J20" s="370" t="s">
        <v>22</v>
      </c>
      <c r="K20" s="371"/>
      <c r="L20" s="371"/>
      <c r="M20" s="371"/>
      <c r="N20" s="372"/>
      <c r="O20" s="376" t="s">
        <v>35</v>
      </c>
      <c r="P20" s="377"/>
      <c r="Q20" s="385" t="s">
        <v>31</v>
      </c>
      <c r="R20" s="370" t="s">
        <v>32</v>
      </c>
      <c r="S20" s="372"/>
      <c r="T20" s="370" t="s">
        <v>33</v>
      </c>
      <c r="U20" s="372"/>
      <c r="V20" s="387" t="s">
        <v>34</v>
      </c>
      <c r="W20" s="367" t="s">
        <v>55</v>
      </c>
      <c r="X20" s="367"/>
      <c r="Y20" s="370" t="s">
        <v>22</v>
      </c>
      <c r="Z20" s="371"/>
      <c r="AA20" s="371"/>
      <c r="AB20" s="371"/>
      <c r="AC20" s="372"/>
      <c r="AD20" s="376" t="s">
        <v>35</v>
      </c>
      <c r="AE20" s="377"/>
    </row>
    <row r="21" spans="2:31" ht="7" customHeight="1">
      <c r="B21" s="384"/>
      <c r="C21" s="373"/>
      <c r="D21" s="375"/>
      <c r="E21" s="373"/>
      <c r="F21" s="375"/>
      <c r="G21" s="388"/>
      <c r="H21" s="368"/>
      <c r="I21" s="368"/>
      <c r="J21" s="373"/>
      <c r="K21" s="374"/>
      <c r="L21" s="374"/>
      <c r="M21" s="374"/>
      <c r="N21" s="375"/>
      <c r="O21" s="378"/>
      <c r="P21" s="379"/>
      <c r="Q21" s="386"/>
      <c r="R21" s="373"/>
      <c r="S21" s="375"/>
      <c r="T21" s="373"/>
      <c r="U21" s="375"/>
      <c r="V21" s="388"/>
      <c r="W21" s="368"/>
      <c r="X21" s="368"/>
      <c r="Y21" s="373"/>
      <c r="Z21" s="374"/>
      <c r="AA21" s="374"/>
      <c r="AB21" s="374"/>
      <c r="AC21" s="375"/>
      <c r="AD21" s="378"/>
      <c r="AE21" s="379"/>
    </row>
    <row r="22" spans="2:31" ht="7" customHeight="1" thickBot="1">
      <c r="B22" s="384"/>
      <c r="C22" s="373"/>
      <c r="D22" s="375"/>
      <c r="E22" s="373"/>
      <c r="F22" s="375"/>
      <c r="G22" s="388"/>
      <c r="H22" s="369"/>
      <c r="I22" s="369"/>
      <c r="J22" s="373"/>
      <c r="K22" s="374"/>
      <c r="L22" s="374"/>
      <c r="M22" s="374"/>
      <c r="N22" s="375"/>
      <c r="O22" s="380"/>
      <c r="P22" s="381"/>
      <c r="Q22" s="386"/>
      <c r="R22" s="373"/>
      <c r="S22" s="375"/>
      <c r="T22" s="373"/>
      <c r="U22" s="375"/>
      <c r="V22" s="388"/>
      <c r="W22" s="369"/>
      <c r="X22" s="369"/>
      <c r="Y22" s="373"/>
      <c r="Z22" s="374"/>
      <c r="AA22" s="374"/>
      <c r="AB22" s="374"/>
      <c r="AC22" s="375"/>
      <c r="AD22" s="380"/>
      <c r="AE22" s="381"/>
    </row>
    <row r="23" spans="2:31" ht="16" customHeight="1" thickTop="1">
      <c r="B23" s="69" t="str">
        <f>IF(ISBLANK(解答設定!B20),"",解答設定!B20)</f>
        <v/>
      </c>
      <c r="C23" s="419" t="str">
        <f>E23</f>
        <v/>
      </c>
      <c r="D23" s="419"/>
      <c r="E23" s="403" t="str">
        <f>IF(ISBLANK(解答設定!E20),"",解答設定!E20)</f>
        <v/>
      </c>
      <c r="F23" s="403"/>
      <c r="G23" s="130" t="str">
        <f>IF(C23="","",IF(C23=E23,"o","x"))</f>
        <v/>
      </c>
      <c r="H23" s="404"/>
      <c r="I23" s="404"/>
      <c r="J23" s="405" t="str">
        <f>IFERROR(HLOOKUP(解答設定!H20,解答設定!$F$6:$AS$13,5),"")</f>
        <v/>
      </c>
      <c r="K23" s="405"/>
      <c r="L23" s="405"/>
      <c r="M23" s="405"/>
      <c r="N23" s="405"/>
      <c r="O23" s="419" t="str">
        <f>IF(ISBLANK(解答設定!R20),"",解答設定!R20)</f>
        <v/>
      </c>
      <c r="P23" s="424"/>
      <c r="Q23" s="69" t="str">
        <f>IF(ISBLANK(解答設定!B55),"",解答設定!B55)</f>
        <v/>
      </c>
      <c r="R23" s="419" t="str">
        <f>T23</f>
        <v/>
      </c>
      <c r="S23" s="419"/>
      <c r="T23" s="403" t="str">
        <f>IF(ISBLANK(解答設定!E55),"",解答設定!E55)</f>
        <v/>
      </c>
      <c r="U23" s="403"/>
      <c r="V23" s="130" t="str">
        <f>IF(R23="","",IF(R23=T23,"o","x"))</f>
        <v/>
      </c>
      <c r="W23" s="404"/>
      <c r="X23" s="404"/>
      <c r="Y23" s="405" t="str">
        <f>IFERROR(HLOOKUP(解答設定!H55,解答設定!$F$6:$AS$13,5),"")</f>
        <v/>
      </c>
      <c r="Z23" s="405"/>
      <c r="AA23" s="405"/>
      <c r="AB23" s="405"/>
      <c r="AC23" s="405"/>
      <c r="AD23" s="427" t="str">
        <f>IF(ISBLANK(解答設定!R55),"",解答設定!R55)</f>
        <v/>
      </c>
      <c r="AE23" s="428"/>
    </row>
    <row r="24" spans="2:31" ht="16" customHeight="1">
      <c r="B24" s="70" t="str">
        <f>IF(ISBLANK(解答設定!B21),"",解答設定!B21)</f>
        <v/>
      </c>
      <c r="C24" s="393" t="str">
        <f t="shared" ref="C24:C57" si="0">E24</f>
        <v/>
      </c>
      <c r="D24" s="394"/>
      <c r="E24" s="395" t="str">
        <f>IF(ISBLANK(解答設定!E21),"",解答設定!E21)</f>
        <v/>
      </c>
      <c r="F24" s="396"/>
      <c r="G24" s="133" t="str">
        <f t="shared" ref="G24:G57" si="1">IF(C24="","",IF(C24=E24,"o","x"))</f>
        <v/>
      </c>
      <c r="H24" s="397"/>
      <c r="I24" s="398"/>
      <c r="J24" s="399" t="str">
        <f>IFERROR(HLOOKUP(解答設定!H21,解答設定!$F$6:$AS$13,5),"")</f>
        <v/>
      </c>
      <c r="K24" s="400"/>
      <c r="L24" s="400"/>
      <c r="M24" s="400"/>
      <c r="N24" s="401"/>
      <c r="O24" s="393" t="str">
        <f>IF(ISBLANK(解答設定!R21),"",解答設定!R21)</f>
        <v/>
      </c>
      <c r="P24" s="402"/>
      <c r="Q24" s="70" t="str">
        <f>IF(ISBLANK(解答設定!B56),"",解答設定!B56)</f>
        <v/>
      </c>
      <c r="R24" s="393" t="str">
        <f t="shared" ref="R24:R57" si="2">T24</f>
        <v/>
      </c>
      <c r="S24" s="394"/>
      <c r="T24" s="395" t="str">
        <f>IF(ISBLANK(解答設定!E56),"",解答設定!E56)</f>
        <v/>
      </c>
      <c r="U24" s="396"/>
      <c r="V24" s="133" t="str">
        <f t="shared" ref="V24:V57" si="3">IF(R24="","",IF(R24=T24,"o","x"))</f>
        <v/>
      </c>
      <c r="W24" s="397"/>
      <c r="X24" s="398"/>
      <c r="Y24" s="399" t="str">
        <f>IFERROR(HLOOKUP(解答設定!H56,解答設定!$F$6:$AS$13,5),"")</f>
        <v/>
      </c>
      <c r="Z24" s="400"/>
      <c r="AA24" s="400"/>
      <c r="AB24" s="400"/>
      <c r="AC24" s="401"/>
      <c r="AD24" s="393" t="str">
        <f>IF(ISBLANK(解答設定!R56),"",解答設定!R56)</f>
        <v/>
      </c>
      <c r="AE24" s="402"/>
    </row>
    <row r="25" spans="2:31" ht="16" customHeight="1">
      <c r="B25" s="70" t="str">
        <f>IF(ISBLANK(解答設定!B22),"",解答設定!B22)</f>
        <v/>
      </c>
      <c r="C25" s="393" t="str">
        <f t="shared" si="0"/>
        <v/>
      </c>
      <c r="D25" s="394"/>
      <c r="E25" s="395" t="str">
        <f>IF(ISBLANK(解答設定!E22),"",解答設定!E22)</f>
        <v/>
      </c>
      <c r="F25" s="396"/>
      <c r="G25" s="133" t="str">
        <f t="shared" si="1"/>
        <v/>
      </c>
      <c r="H25" s="397"/>
      <c r="I25" s="398"/>
      <c r="J25" s="399" t="str">
        <f>IFERROR(HLOOKUP(解答設定!H22,解答設定!$F$6:$AS$13,5),"")</f>
        <v/>
      </c>
      <c r="K25" s="400"/>
      <c r="L25" s="400"/>
      <c r="M25" s="400"/>
      <c r="N25" s="401"/>
      <c r="O25" s="393" t="str">
        <f>IF(ISBLANK(解答設定!R22),"",解答設定!R22)</f>
        <v/>
      </c>
      <c r="P25" s="402"/>
      <c r="Q25" s="70" t="str">
        <f>IF(ISBLANK(解答設定!B57),"",解答設定!B57)</f>
        <v/>
      </c>
      <c r="R25" s="393" t="str">
        <f t="shared" si="2"/>
        <v/>
      </c>
      <c r="S25" s="394"/>
      <c r="T25" s="395" t="str">
        <f>IF(ISBLANK(解答設定!E57),"",解答設定!E57)</f>
        <v/>
      </c>
      <c r="U25" s="396"/>
      <c r="V25" s="133" t="str">
        <f t="shared" si="3"/>
        <v/>
      </c>
      <c r="W25" s="397"/>
      <c r="X25" s="398"/>
      <c r="Y25" s="399" t="str">
        <f>IFERROR(HLOOKUP(解答設定!H57,解答設定!$F$6:$AS$13,5),"")</f>
        <v/>
      </c>
      <c r="Z25" s="400"/>
      <c r="AA25" s="400"/>
      <c r="AB25" s="400"/>
      <c r="AC25" s="401"/>
      <c r="AD25" s="393" t="str">
        <f>IF(ISBLANK(解答設定!R57),"",解答設定!R57)</f>
        <v/>
      </c>
      <c r="AE25" s="402"/>
    </row>
    <row r="26" spans="2:31" ht="16" customHeight="1">
      <c r="B26" s="70" t="str">
        <f>IF(ISBLANK(解答設定!B23),"",解答設定!B23)</f>
        <v/>
      </c>
      <c r="C26" s="393" t="str">
        <f t="shared" si="0"/>
        <v/>
      </c>
      <c r="D26" s="394"/>
      <c r="E26" s="395" t="str">
        <f>IF(ISBLANK(解答設定!E23),"",解答設定!E23)</f>
        <v/>
      </c>
      <c r="F26" s="396"/>
      <c r="G26" s="133" t="str">
        <f t="shared" si="1"/>
        <v/>
      </c>
      <c r="H26" s="397"/>
      <c r="I26" s="398"/>
      <c r="J26" s="399" t="str">
        <f>IFERROR(HLOOKUP(解答設定!H23,解答設定!$F$6:$AS$13,5),"")</f>
        <v/>
      </c>
      <c r="K26" s="400"/>
      <c r="L26" s="400"/>
      <c r="M26" s="400"/>
      <c r="N26" s="401"/>
      <c r="O26" s="393" t="str">
        <f>IF(ISBLANK(解答設定!R23),"",解答設定!R23)</f>
        <v/>
      </c>
      <c r="P26" s="402"/>
      <c r="Q26" s="70" t="str">
        <f>IF(ISBLANK(解答設定!B58),"",解答設定!B58)</f>
        <v/>
      </c>
      <c r="R26" s="393" t="str">
        <f t="shared" si="2"/>
        <v/>
      </c>
      <c r="S26" s="394"/>
      <c r="T26" s="395" t="str">
        <f>IF(ISBLANK(解答設定!E58),"",解答設定!E58)</f>
        <v/>
      </c>
      <c r="U26" s="396"/>
      <c r="V26" s="133" t="str">
        <f t="shared" si="3"/>
        <v/>
      </c>
      <c r="W26" s="397"/>
      <c r="X26" s="398"/>
      <c r="Y26" s="399" t="str">
        <f>IFERROR(HLOOKUP(解答設定!H58,解答設定!$F$6:$AS$13,5),"")</f>
        <v/>
      </c>
      <c r="Z26" s="400"/>
      <c r="AA26" s="400"/>
      <c r="AB26" s="400"/>
      <c r="AC26" s="401"/>
      <c r="AD26" s="393" t="str">
        <f>IF(ISBLANK(解答設定!R58),"",解答設定!R58)</f>
        <v/>
      </c>
      <c r="AE26" s="402"/>
    </row>
    <row r="27" spans="2:31" ht="16" customHeight="1">
      <c r="B27" s="70" t="str">
        <f>IF(ISBLANK(解答設定!B24),"",解答設定!B24)</f>
        <v/>
      </c>
      <c r="C27" s="393" t="str">
        <f t="shared" si="0"/>
        <v/>
      </c>
      <c r="D27" s="394"/>
      <c r="E27" s="395" t="str">
        <f>IF(ISBLANK(解答設定!E24),"",解答設定!E24)</f>
        <v/>
      </c>
      <c r="F27" s="396"/>
      <c r="G27" s="133" t="str">
        <f t="shared" si="1"/>
        <v/>
      </c>
      <c r="H27" s="397"/>
      <c r="I27" s="398"/>
      <c r="J27" s="399" t="str">
        <f>IFERROR(HLOOKUP(解答設定!H24,解答設定!$F$6:$AS$13,5),"")</f>
        <v/>
      </c>
      <c r="K27" s="400"/>
      <c r="L27" s="400"/>
      <c r="M27" s="400"/>
      <c r="N27" s="401"/>
      <c r="O27" s="393" t="str">
        <f>IF(ISBLANK(解答設定!R24),"",解答設定!R24)</f>
        <v/>
      </c>
      <c r="P27" s="402"/>
      <c r="Q27" s="70" t="str">
        <f>IF(ISBLANK(解答設定!B59),"",解答設定!B59)</f>
        <v/>
      </c>
      <c r="R27" s="393" t="str">
        <f t="shared" si="2"/>
        <v/>
      </c>
      <c r="S27" s="394"/>
      <c r="T27" s="395" t="str">
        <f>IF(ISBLANK(解答設定!E59),"",解答設定!E59)</f>
        <v/>
      </c>
      <c r="U27" s="396"/>
      <c r="V27" s="133" t="str">
        <f t="shared" si="3"/>
        <v/>
      </c>
      <c r="W27" s="397"/>
      <c r="X27" s="398"/>
      <c r="Y27" s="399" t="str">
        <f>IFERROR(HLOOKUP(解答設定!H59,解答設定!$F$6:$AS$13,5),"")</f>
        <v/>
      </c>
      <c r="Z27" s="400"/>
      <c r="AA27" s="400"/>
      <c r="AB27" s="400"/>
      <c r="AC27" s="401"/>
      <c r="AD27" s="393" t="str">
        <f>IF(ISBLANK(解答設定!R59),"",解答設定!R59)</f>
        <v/>
      </c>
      <c r="AE27" s="402"/>
    </row>
    <row r="28" spans="2:31" ht="16" customHeight="1">
      <c r="B28" s="70" t="str">
        <f>IF(ISBLANK(解答設定!B25),"",解答設定!B25)</f>
        <v/>
      </c>
      <c r="C28" s="393" t="str">
        <f t="shared" si="0"/>
        <v/>
      </c>
      <c r="D28" s="394"/>
      <c r="E28" s="395" t="str">
        <f>IF(ISBLANK(解答設定!E25),"",解答設定!E25)</f>
        <v/>
      </c>
      <c r="F28" s="396"/>
      <c r="G28" s="133" t="str">
        <f t="shared" si="1"/>
        <v/>
      </c>
      <c r="H28" s="397"/>
      <c r="I28" s="398"/>
      <c r="J28" s="399" t="str">
        <f>IFERROR(HLOOKUP(解答設定!H25,解答設定!$F$6:$AS$13,5),"")</f>
        <v/>
      </c>
      <c r="K28" s="400"/>
      <c r="L28" s="400"/>
      <c r="M28" s="400"/>
      <c r="N28" s="401"/>
      <c r="O28" s="393" t="str">
        <f>IF(ISBLANK(解答設定!R25),"",解答設定!R25)</f>
        <v/>
      </c>
      <c r="P28" s="402"/>
      <c r="Q28" s="70" t="str">
        <f>IF(ISBLANK(解答設定!B60),"",解答設定!B60)</f>
        <v/>
      </c>
      <c r="R28" s="393" t="str">
        <f t="shared" si="2"/>
        <v/>
      </c>
      <c r="S28" s="394"/>
      <c r="T28" s="395" t="str">
        <f>IF(ISBLANK(解答設定!E60),"",解答設定!E60)</f>
        <v/>
      </c>
      <c r="U28" s="396"/>
      <c r="V28" s="133" t="str">
        <f t="shared" si="3"/>
        <v/>
      </c>
      <c r="W28" s="397"/>
      <c r="X28" s="398"/>
      <c r="Y28" s="399" t="str">
        <f>IFERROR(HLOOKUP(解答設定!H60,解答設定!$F$6:$AS$13,5),"")</f>
        <v/>
      </c>
      <c r="Z28" s="400"/>
      <c r="AA28" s="400"/>
      <c r="AB28" s="400"/>
      <c r="AC28" s="401"/>
      <c r="AD28" s="393" t="str">
        <f>IF(ISBLANK(解答設定!R60),"",解答設定!R60)</f>
        <v/>
      </c>
      <c r="AE28" s="402"/>
    </row>
    <row r="29" spans="2:31" ht="16" customHeight="1">
      <c r="B29" s="70" t="str">
        <f>IF(ISBLANK(解答設定!B26),"",解答設定!B26)</f>
        <v/>
      </c>
      <c r="C29" s="393" t="str">
        <f t="shared" si="0"/>
        <v/>
      </c>
      <c r="D29" s="394"/>
      <c r="E29" s="395" t="str">
        <f>IF(ISBLANK(解答設定!E26),"",解答設定!E26)</f>
        <v/>
      </c>
      <c r="F29" s="396"/>
      <c r="G29" s="133" t="str">
        <f t="shared" si="1"/>
        <v/>
      </c>
      <c r="H29" s="397"/>
      <c r="I29" s="398"/>
      <c r="J29" s="399" t="str">
        <f>IFERROR(HLOOKUP(解答設定!H26,解答設定!$F$6:$AS$13,5),"")</f>
        <v/>
      </c>
      <c r="K29" s="400"/>
      <c r="L29" s="400"/>
      <c r="M29" s="400"/>
      <c r="N29" s="401"/>
      <c r="O29" s="393" t="str">
        <f>IF(ISBLANK(解答設定!R26),"",解答設定!R26)</f>
        <v/>
      </c>
      <c r="P29" s="402"/>
      <c r="Q29" s="70" t="str">
        <f>IF(ISBLANK(解答設定!B61),"",解答設定!B61)</f>
        <v/>
      </c>
      <c r="R29" s="393" t="str">
        <f t="shared" si="2"/>
        <v/>
      </c>
      <c r="S29" s="394"/>
      <c r="T29" s="395" t="str">
        <f>IF(ISBLANK(解答設定!E61),"",解答設定!E61)</f>
        <v/>
      </c>
      <c r="U29" s="396"/>
      <c r="V29" s="133" t="str">
        <f t="shared" si="3"/>
        <v/>
      </c>
      <c r="W29" s="397"/>
      <c r="X29" s="398"/>
      <c r="Y29" s="399" t="str">
        <f>IFERROR(HLOOKUP(解答設定!H61,解答設定!$F$6:$AS$13,5),"")</f>
        <v/>
      </c>
      <c r="Z29" s="400"/>
      <c r="AA29" s="400"/>
      <c r="AB29" s="400"/>
      <c r="AC29" s="401"/>
      <c r="AD29" s="393" t="str">
        <f>IF(ISBLANK(解答設定!R61),"",解答設定!R61)</f>
        <v/>
      </c>
      <c r="AE29" s="402"/>
    </row>
    <row r="30" spans="2:31" ht="16" customHeight="1">
      <c r="B30" s="70" t="str">
        <f>IF(ISBLANK(解答設定!B27),"",解答設定!B27)</f>
        <v/>
      </c>
      <c r="C30" s="393" t="str">
        <f t="shared" si="0"/>
        <v/>
      </c>
      <c r="D30" s="394"/>
      <c r="E30" s="395" t="str">
        <f>IF(ISBLANK(解答設定!E27),"",解答設定!E27)</f>
        <v/>
      </c>
      <c r="F30" s="396"/>
      <c r="G30" s="133" t="str">
        <f t="shared" si="1"/>
        <v/>
      </c>
      <c r="H30" s="397"/>
      <c r="I30" s="398"/>
      <c r="J30" s="399" t="str">
        <f>IFERROR(HLOOKUP(解答設定!H27,解答設定!$F$6:$AS$13,5),"")</f>
        <v/>
      </c>
      <c r="K30" s="400"/>
      <c r="L30" s="400"/>
      <c r="M30" s="400"/>
      <c r="N30" s="401"/>
      <c r="O30" s="393" t="str">
        <f>IF(ISBLANK(解答設定!R27),"",解答設定!R27)</f>
        <v/>
      </c>
      <c r="P30" s="402"/>
      <c r="Q30" s="70" t="str">
        <f>IF(ISBLANK(解答設定!B62),"",解答設定!B62)</f>
        <v/>
      </c>
      <c r="R30" s="393" t="str">
        <f t="shared" si="2"/>
        <v/>
      </c>
      <c r="S30" s="394"/>
      <c r="T30" s="395" t="str">
        <f>IF(ISBLANK(解答設定!E62),"",解答設定!E62)</f>
        <v/>
      </c>
      <c r="U30" s="396"/>
      <c r="V30" s="133" t="str">
        <f t="shared" si="3"/>
        <v/>
      </c>
      <c r="W30" s="397"/>
      <c r="X30" s="398"/>
      <c r="Y30" s="399" t="str">
        <f>IFERROR(HLOOKUP(解答設定!H62,解答設定!$F$6:$AS$13,5),"")</f>
        <v/>
      </c>
      <c r="Z30" s="400"/>
      <c r="AA30" s="400"/>
      <c r="AB30" s="400"/>
      <c r="AC30" s="401"/>
      <c r="AD30" s="393" t="str">
        <f>IF(ISBLANK(解答設定!R62),"",解答設定!R62)</f>
        <v/>
      </c>
      <c r="AE30" s="402"/>
    </row>
    <row r="31" spans="2:31" ht="16" customHeight="1">
      <c r="B31" s="70" t="str">
        <f>IF(ISBLANK(解答設定!B28),"",解答設定!B28)</f>
        <v/>
      </c>
      <c r="C31" s="393" t="str">
        <f t="shared" si="0"/>
        <v/>
      </c>
      <c r="D31" s="394"/>
      <c r="E31" s="395" t="str">
        <f>IF(ISBLANK(解答設定!E28),"",解答設定!E28)</f>
        <v/>
      </c>
      <c r="F31" s="396"/>
      <c r="G31" s="133" t="str">
        <f t="shared" si="1"/>
        <v/>
      </c>
      <c r="H31" s="397"/>
      <c r="I31" s="398"/>
      <c r="J31" s="399" t="str">
        <f>IFERROR(HLOOKUP(解答設定!H28,解答設定!$F$6:$AS$13,5),"")</f>
        <v/>
      </c>
      <c r="K31" s="400"/>
      <c r="L31" s="400"/>
      <c r="M31" s="400"/>
      <c r="N31" s="401"/>
      <c r="O31" s="393" t="str">
        <f>IF(ISBLANK(解答設定!R28),"",解答設定!R28)</f>
        <v/>
      </c>
      <c r="P31" s="402"/>
      <c r="Q31" s="70" t="str">
        <f>IF(ISBLANK(解答設定!B63),"",解答設定!B63)</f>
        <v/>
      </c>
      <c r="R31" s="393" t="str">
        <f t="shared" si="2"/>
        <v/>
      </c>
      <c r="S31" s="394"/>
      <c r="T31" s="395" t="str">
        <f>IF(ISBLANK(解答設定!E63),"",解答設定!E63)</f>
        <v/>
      </c>
      <c r="U31" s="396"/>
      <c r="V31" s="133" t="str">
        <f t="shared" si="3"/>
        <v/>
      </c>
      <c r="W31" s="397"/>
      <c r="X31" s="398"/>
      <c r="Y31" s="399" t="str">
        <f>IFERROR(HLOOKUP(解答設定!H63,解答設定!$F$6:$AS$13,5),"")</f>
        <v/>
      </c>
      <c r="Z31" s="400"/>
      <c r="AA31" s="400"/>
      <c r="AB31" s="400"/>
      <c r="AC31" s="401"/>
      <c r="AD31" s="393" t="str">
        <f>IF(ISBLANK(解答設定!R63),"",解答設定!R63)</f>
        <v/>
      </c>
      <c r="AE31" s="402"/>
    </row>
    <row r="32" spans="2:31" ht="16" customHeight="1">
      <c r="B32" s="70" t="str">
        <f>IF(ISBLANK(解答設定!B29),"",解答設定!B29)</f>
        <v/>
      </c>
      <c r="C32" s="393" t="str">
        <f t="shared" si="0"/>
        <v/>
      </c>
      <c r="D32" s="394"/>
      <c r="E32" s="395" t="str">
        <f>IF(ISBLANK(解答設定!E29),"",解答設定!E29)</f>
        <v/>
      </c>
      <c r="F32" s="396"/>
      <c r="G32" s="133" t="str">
        <f t="shared" si="1"/>
        <v/>
      </c>
      <c r="H32" s="397"/>
      <c r="I32" s="398"/>
      <c r="J32" s="399" t="str">
        <f>IFERROR(HLOOKUP(解答設定!H29,解答設定!$F$6:$AS$13,5),"")</f>
        <v/>
      </c>
      <c r="K32" s="400"/>
      <c r="L32" s="400"/>
      <c r="M32" s="400"/>
      <c r="N32" s="401"/>
      <c r="O32" s="393" t="str">
        <f>IF(ISBLANK(解答設定!R29),"",解答設定!R29)</f>
        <v/>
      </c>
      <c r="P32" s="402"/>
      <c r="Q32" s="70" t="str">
        <f>IF(ISBLANK(解答設定!B64),"",解答設定!B64)</f>
        <v/>
      </c>
      <c r="R32" s="393" t="str">
        <f t="shared" si="2"/>
        <v/>
      </c>
      <c r="S32" s="394"/>
      <c r="T32" s="395" t="str">
        <f>IF(ISBLANK(解答設定!E64),"",解答設定!E64)</f>
        <v/>
      </c>
      <c r="U32" s="396"/>
      <c r="V32" s="133" t="str">
        <f t="shared" si="3"/>
        <v/>
      </c>
      <c r="W32" s="397"/>
      <c r="X32" s="398"/>
      <c r="Y32" s="399" t="str">
        <f>IFERROR(HLOOKUP(解答設定!H64,解答設定!$F$6:$AS$13,5),"")</f>
        <v/>
      </c>
      <c r="Z32" s="400"/>
      <c r="AA32" s="400"/>
      <c r="AB32" s="400"/>
      <c r="AC32" s="401"/>
      <c r="AD32" s="393" t="str">
        <f>IF(ISBLANK(解答設定!R64),"",解答設定!R64)</f>
        <v/>
      </c>
      <c r="AE32" s="402"/>
    </row>
    <row r="33" spans="2:31" ht="16" customHeight="1">
      <c r="B33" s="70" t="str">
        <f>IF(ISBLANK(解答設定!B30),"",解答設定!B30)</f>
        <v/>
      </c>
      <c r="C33" s="393" t="str">
        <f t="shared" si="0"/>
        <v/>
      </c>
      <c r="D33" s="394"/>
      <c r="E33" s="395" t="str">
        <f>IF(ISBLANK(解答設定!E30),"",解答設定!E30)</f>
        <v/>
      </c>
      <c r="F33" s="396"/>
      <c r="G33" s="133" t="str">
        <f t="shared" si="1"/>
        <v/>
      </c>
      <c r="H33" s="397"/>
      <c r="I33" s="398"/>
      <c r="J33" s="399" t="str">
        <f>IFERROR(HLOOKUP(解答設定!H30,解答設定!$F$6:$AS$13,5),"")</f>
        <v/>
      </c>
      <c r="K33" s="400"/>
      <c r="L33" s="400"/>
      <c r="M33" s="400"/>
      <c r="N33" s="401"/>
      <c r="O33" s="393" t="str">
        <f>IF(ISBLANK(解答設定!R30),"",解答設定!R30)</f>
        <v/>
      </c>
      <c r="P33" s="402"/>
      <c r="Q33" s="70" t="str">
        <f>IF(ISBLANK(解答設定!B65),"",解答設定!B65)</f>
        <v/>
      </c>
      <c r="R33" s="393" t="str">
        <f t="shared" si="2"/>
        <v/>
      </c>
      <c r="S33" s="394"/>
      <c r="T33" s="395" t="str">
        <f>IF(ISBLANK(解答設定!E65),"",解答設定!E65)</f>
        <v/>
      </c>
      <c r="U33" s="396"/>
      <c r="V33" s="133" t="str">
        <f t="shared" si="3"/>
        <v/>
      </c>
      <c r="W33" s="397"/>
      <c r="X33" s="398"/>
      <c r="Y33" s="399" t="str">
        <f>IFERROR(HLOOKUP(解答設定!H65,解答設定!$F$6:$AS$13,5),"")</f>
        <v/>
      </c>
      <c r="Z33" s="400"/>
      <c r="AA33" s="400"/>
      <c r="AB33" s="400"/>
      <c r="AC33" s="401"/>
      <c r="AD33" s="393" t="str">
        <f>IF(ISBLANK(解答設定!R65),"",解答設定!R65)</f>
        <v/>
      </c>
      <c r="AE33" s="402"/>
    </row>
    <row r="34" spans="2:31" ht="16" customHeight="1">
      <c r="B34" s="70" t="str">
        <f>IF(ISBLANK(解答設定!B31),"",解答設定!B31)</f>
        <v/>
      </c>
      <c r="C34" s="393" t="str">
        <f t="shared" si="0"/>
        <v/>
      </c>
      <c r="D34" s="394"/>
      <c r="E34" s="395" t="str">
        <f>IF(ISBLANK(解答設定!E31),"",解答設定!E31)</f>
        <v/>
      </c>
      <c r="F34" s="396"/>
      <c r="G34" s="133" t="str">
        <f t="shared" si="1"/>
        <v/>
      </c>
      <c r="H34" s="397"/>
      <c r="I34" s="398"/>
      <c r="J34" s="399" t="str">
        <f>IFERROR(HLOOKUP(解答設定!H31,解答設定!$F$6:$AS$13,5),"")</f>
        <v/>
      </c>
      <c r="K34" s="400"/>
      <c r="L34" s="400"/>
      <c r="M34" s="400"/>
      <c r="N34" s="401"/>
      <c r="O34" s="393" t="str">
        <f>IF(ISBLANK(解答設定!R31),"",解答設定!R31)</f>
        <v/>
      </c>
      <c r="P34" s="402"/>
      <c r="Q34" s="70" t="str">
        <f>IF(ISBLANK(解答設定!B66),"",解答設定!B66)</f>
        <v/>
      </c>
      <c r="R34" s="393" t="str">
        <f t="shared" si="2"/>
        <v/>
      </c>
      <c r="S34" s="394"/>
      <c r="T34" s="395" t="str">
        <f>IF(ISBLANK(解答設定!E66),"",解答設定!E66)</f>
        <v/>
      </c>
      <c r="U34" s="396"/>
      <c r="V34" s="133" t="str">
        <f t="shared" si="3"/>
        <v/>
      </c>
      <c r="W34" s="397"/>
      <c r="X34" s="398"/>
      <c r="Y34" s="399" t="str">
        <f>IFERROR(HLOOKUP(解答設定!H66,解答設定!$F$6:$AS$13,5),"")</f>
        <v/>
      </c>
      <c r="Z34" s="400"/>
      <c r="AA34" s="400"/>
      <c r="AB34" s="400"/>
      <c r="AC34" s="401"/>
      <c r="AD34" s="393" t="str">
        <f>IF(ISBLANK(解答設定!R66),"",解答設定!R66)</f>
        <v/>
      </c>
      <c r="AE34" s="402"/>
    </row>
    <row r="35" spans="2:31" ht="16" customHeight="1">
      <c r="B35" s="70" t="str">
        <f>IF(ISBLANK(解答設定!B32),"",解答設定!B32)</f>
        <v/>
      </c>
      <c r="C35" s="393" t="str">
        <f t="shared" si="0"/>
        <v/>
      </c>
      <c r="D35" s="394"/>
      <c r="E35" s="395" t="str">
        <f>IF(ISBLANK(解答設定!E32),"",解答設定!E32)</f>
        <v/>
      </c>
      <c r="F35" s="396"/>
      <c r="G35" s="133" t="str">
        <f t="shared" si="1"/>
        <v/>
      </c>
      <c r="H35" s="397"/>
      <c r="I35" s="398"/>
      <c r="J35" s="399" t="str">
        <f>IFERROR(HLOOKUP(解答設定!H32,解答設定!$F$6:$AS$13,5),"")</f>
        <v/>
      </c>
      <c r="K35" s="400"/>
      <c r="L35" s="400"/>
      <c r="M35" s="400"/>
      <c r="N35" s="401"/>
      <c r="O35" s="393" t="str">
        <f>IF(ISBLANK(解答設定!R32),"",解答設定!R32)</f>
        <v/>
      </c>
      <c r="P35" s="402"/>
      <c r="Q35" s="70" t="str">
        <f>IF(ISBLANK(解答設定!B67),"",解答設定!B67)</f>
        <v/>
      </c>
      <c r="R35" s="393" t="str">
        <f t="shared" si="2"/>
        <v/>
      </c>
      <c r="S35" s="394"/>
      <c r="T35" s="395" t="str">
        <f>IF(ISBLANK(解答設定!E67),"",解答設定!E67)</f>
        <v/>
      </c>
      <c r="U35" s="396"/>
      <c r="V35" s="133" t="str">
        <f t="shared" si="3"/>
        <v/>
      </c>
      <c r="W35" s="397"/>
      <c r="X35" s="398"/>
      <c r="Y35" s="399" t="str">
        <f>IFERROR(HLOOKUP(解答設定!H67,解答設定!$F$6:$AS$13,5),"")</f>
        <v/>
      </c>
      <c r="Z35" s="400"/>
      <c r="AA35" s="400"/>
      <c r="AB35" s="400"/>
      <c r="AC35" s="401"/>
      <c r="AD35" s="393" t="str">
        <f>IF(ISBLANK(解答設定!R67),"",解答設定!R67)</f>
        <v/>
      </c>
      <c r="AE35" s="402"/>
    </row>
    <row r="36" spans="2:31" ht="16" customHeight="1">
      <c r="B36" s="70" t="str">
        <f>IF(ISBLANK(解答設定!B33),"",解答設定!B33)</f>
        <v/>
      </c>
      <c r="C36" s="393" t="str">
        <f t="shared" si="0"/>
        <v/>
      </c>
      <c r="D36" s="394"/>
      <c r="E36" s="395" t="str">
        <f>IF(ISBLANK(解答設定!E33),"",解答設定!E33)</f>
        <v/>
      </c>
      <c r="F36" s="396"/>
      <c r="G36" s="133" t="str">
        <f t="shared" si="1"/>
        <v/>
      </c>
      <c r="H36" s="397"/>
      <c r="I36" s="398"/>
      <c r="J36" s="399" t="str">
        <f>IFERROR(HLOOKUP(解答設定!H33,解答設定!$F$6:$AS$13,5),"")</f>
        <v/>
      </c>
      <c r="K36" s="400"/>
      <c r="L36" s="400"/>
      <c r="M36" s="400"/>
      <c r="N36" s="401"/>
      <c r="O36" s="393" t="str">
        <f>IF(ISBLANK(解答設定!R33),"",解答設定!R33)</f>
        <v/>
      </c>
      <c r="P36" s="402"/>
      <c r="Q36" s="70" t="str">
        <f>IF(ISBLANK(解答設定!B68),"",解答設定!B68)</f>
        <v/>
      </c>
      <c r="R36" s="393" t="str">
        <f t="shared" si="2"/>
        <v/>
      </c>
      <c r="S36" s="394"/>
      <c r="T36" s="395" t="str">
        <f>IF(ISBLANK(解答設定!E68),"",解答設定!E68)</f>
        <v/>
      </c>
      <c r="U36" s="396"/>
      <c r="V36" s="133" t="str">
        <f t="shared" si="3"/>
        <v/>
      </c>
      <c r="W36" s="397"/>
      <c r="X36" s="398"/>
      <c r="Y36" s="399" t="str">
        <f>IFERROR(HLOOKUP(解答設定!H68,解答設定!$F$6:$AS$13,5),"")</f>
        <v/>
      </c>
      <c r="Z36" s="400"/>
      <c r="AA36" s="400"/>
      <c r="AB36" s="400"/>
      <c r="AC36" s="401"/>
      <c r="AD36" s="393" t="str">
        <f>IF(ISBLANK(解答設定!R68),"",解答設定!R68)</f>
        <v/>
      </c>
      <c r="AE36" s="402"/>
    </row>
    <row r="37" spans="2:31" ht="16" customHeight="1">
      <c r="B37" s="70" t="str">
        <f>IF(ISBLANK(解答設定!B34),"",解答設定!B34)</f>
        <v/>
      </c>
      <c r="C37" s="393" t="str">
        <f t="shared" si="0"/>
        <v/>
      </c>
      <c r="D37" s="394"/>
      <c r="E37" s="395" t="str">
        <f>IF(ISBLANK(解答設定!E34),"",解答設定!E34)</f>
        <v/>
      </c>
      <c r="F37" s="396"/>
      <c r="G37" s="133" t="str">
        <f t="shared" si="1"/>
        <v/>
      </c>
      <c r="H37" s="397"/>
      <c r="I37" s="398"/>
      <c r="J37" s="399" t="str">
        <f>IFERROR(HLOOKUP(解答設定!H34,解答設定!$F$6:$AS$13,5),"")</f>
        <v/>
      </c>
      <c r="K37" s="400"/>
      <c r="L37" s="400"/>
      <c r="M37" s="400"/>
      <c r="N37" s="401"/>
      <c r="O37" s="393" t="str">
        <f>IF(ISBLANK(解答設定!R34),"",解答設定!R34)</f>
        <v/>
      </c>
      <c r="P37" s="402"/>
      <c r="Q37" s="70" t="str">
        <f>IF(ISBLANK(解答設定!B69),"",解答設定!B69)</f>
        <v/>
      </c>
      <c r="R37" s="393" t="str">
        <f t="shared" si="2"/>
        <v/>
      </c>
      <c r="S37" s="394"/>
      <c r="T37" s="395" t="str">
        <f>IF(ISBLANK(解答設定!E69),"",解答設定!E69)</f>
        <v/>
      </c>
      <c r="U37" s="396"/>
      <c r="V37" s="133" t="str">
        <f t="shared" si="3"/>
        <v/>
      </c>
      <c r="W37" s="397"/>
      <c r="X37" s="398"/>
      <c r="Y37" s="399" t="str">
        <f>IFERROR(HLOOKUP(解答設定!H69,解答設定!$F$6:$AS$13,5),"")</f>
        <v/>
      </c>
      <c r="Z37" s="400"/>
      <c r="AA37" s="400"/>
      <c r="AB37" s="400"/>
      <c r="AC37" s="401"/>
      <c r="AD37" s="393" t="str">
        <f>IF(ISBLANK(解答設定!R69),"",解答設定!R69)</f>
        <v/>
      </c>
      <c r="AE37" s="402"/>
    </row>
    <row r="38" spans="2:31" ht="16" customHeight="1">
      <c r="B38" s="70" t="str">
        <f>IF(ISBLANK(解答設定!B35),"",解答設定!B35)</f>
        <v/>
      </c>
      <c r="C38" s="393" t="str">
        <f t="shared" si="0"/>
        <v/>
      </c>
      <c r="D38" s="394"/>
      <c r="E38" s="395" t="str">
        <f>IF(ISBLANK(解答設定!E35),"",解答設定!E35)</f>
        <v/>
      </c>
      <c r="F38" s="396"/>
      <c r="G38" s="133" t="str">
        <f t="shared" si="1"/>
        <v/>
      </c>
      <c r="H38" s="397"/>
      <c r="I38" s="398"/>
      <c r="J38" s="399" t="str">
        <f>IFERROR(HLOOKUP(解答設定!H35,解答設定!$F$6:$AS$13,5),"")</f>
        <v/>
      </c>
      <c r="K38" s="400"/>
      <c r="L38" s="400"/>
      <c r="M38" s="400"/>
      <c r="N38" s="401"/>
      <c r="O38" s="393" t="str">
        <f>IF(ISBLANK(解答設定!R35),"",解答設定!R35)</f>
        <v/>
      </c>
      <c r="P38" s="402"/>
      <c r="Q38" s="70" t="str">
        <f>IF(ISBLANK(解答設定!B70),"",解答設定!B70)</f>
        <v/>
      </c>
      <c r="R38" s="393" t="str">
        <f t="shared" si="2"/>
        <v/>
      </c>
      <c r="S38" s="394"/>
      <c r="T38" s="395" t="str">
        <f>IF(ISBLANK(解答設定!E70),"",解答設定!E70)</f>
        <v/>
      </c>
      <c r="U38" s="396"/>
      <c r="V38" s="133" t="str">
        <f t="shared" si="3"/>
        <v/>
      </c>
      <c r="W38" s="397"/>
      <c r="X38" s="398"/>
      <c r="Y38" s="399" t="str">
        <f>IFERROR(HLOOKUP(解答設定!H70,解答設定!$F$6:$AS$13,5),"")</f>
        <v/>
      </c>
      <c r="Z38" s="400"/>
      <c r="AA38" s="400"/>
      <c r="AB38" s="400"/>
      <c r="AC38" s="401"/>
      <c r="AD38" s="393" t="str">
        <f>IF(ISBLANK(解答設定!R70),"",解答設定!R70)</f>
        <v/>
      </c>
      <c r="AE38" s="402"/>
    </row>
    <row r="39" spans="2:31" ht="16" customHeight="1">
      <c r="B39" s="70" t="str">
        <f>IF(ISBLANK(解答設定!B36),"",解答設定!B36)</f>
        <v/>
      </c>
      <c r="C39" s="393" t="str">
        <f t="shared" si="0"/>
        <v/>
      </c>
      <c r="D39" s="394"/>
      <c r="E39" s="395" t="str">
        <f>IF(ISBLANK(解答設定!E36),"",解答設定!E36)</f>
        <v/>
      </c>
      <c r="F39" s="396"/>
      <c r="G39" s="133" t="str">
        <f t="shared" si="1"/>
        <v/>
      </c>
      <c r="H39" s="397"/>
      <c r="I39" s="398"/>
      <c r="J39" s="399" t="str">
        <f>IFERROR(HLOOKUP(解答設定!H36,解答設定!$F$6:$AS$13,5),"")</f>
        <v/>
      </c>
      <c r="K39" s="400"/>
      <c r="L39" s="400"/>
      <c r="M39" s="400"/>
      <c r="N39" s="401"/>
      <c r="O39" s="393" t="str">
        <f>IF(ISBLANK(解答設定!R36),"",解答設定!R36)</f>
        <v/>
      </c>
      <c r="P39" s="402"/>
      <c r="Q39" s="70" t="str">
        <f>IF(ISBLANK(解答設定!B71),"",解答設定!B71)</f>
        <v/>
      </c>
      <c r="R39" s="393" t="str">
        <f t="shared" si="2"/>
        <v/>
      </c>
      <c r="S39" s="394"/>
      <c r="T39" s="395" t="str">
        <f>IF(ISBLANK(解答設定!E71),"",解答設定!E71)</f>
        <v/>
      </c>
      <c r="U39" s="396"/>
      <c r="V39" s="133" t="str">
        <f t="shared" si="3"/>
        <v/>
      </c>
      <c r="W39" s="397"/>
      <c r="X39" s="398"/>
      <c r="Y39" s="399" t="str">
        <f>IFERROR(HLOOKUP(解答設定!H71,解答設定!$F$6:$AS$13,5),"")</f>
        <v/>
      </c>
      <c r="Z39" s="400"/>
      <c r="AA39" s="400"/>
      <c r="AB39" s="400"/>
      <c r="AC39" s="401"/>
      <c r="AD39" s="393" t="str">
        <f>IF(ISBLANK(解答設定!R71),"",解答設定!R71)</f>
        <v/>
      </c>
      <c r="AE39" s="402"/>
    </row>
    <row r="40" spans="2:31" ht="16" customHeight="1">
      <c r="B40" s="70" t="str">
        <f>IF(ISBLANK(解答設定!B37),"",解答設定!B37)</f>
        <v/>
      </c>
      <c r="C40" s="393" t="str">
        <f t="shared" si="0"/>
        <v/>
      </c>
      <c r="D40" s="394"/>
      <c r="E40" s="395" t="str">
        <f>IF(ISBLANK(解答設定!E37),"",解答設定!E37)</f>
        <v/>
      </c>
      <c r="F40" s="396"/>
      <c r="G40" s="133" t="str">
        <f t="shared" si="1"/>
        <v/>
      </c>
      <c r="H40" s="397"/>
      <c r="I40" s="398"/>
      <c r="J40" s="399" t="str">
        <f>IFERROR(HLOOKUP(解答設定!H37,解答設定!$F$6:$AS$13,5),"")</f>
        <v/>
      </c>
      <c r="K40" s="400"/>
      <c r="L40" s="400"/>
      <c r="M40" s="400"/>
      <c r="N40" s="401"/>
      <c r="O40" s="393" t="str">
        <f>IF(ISBLANK(解答設定!R37),"",解答設定!R37)</f>
        <v/>
      </c>
      <c r="P40" s="402"/>
      <c r="Q40" s="70" t="str">
        <f>IF(ISBLANK(解答設定!B72),"",解答設定!B72)</f>
        <v/>
      </c>
      <c r="R40" s="393" t="str">
        <f t="shared" si="2"/>
        <v/>
      </c>
      <c r="S40" s="394"/>
      <c r="T40" s="395" t="str">
        <f>IF(ISBLANK(解答設定!E72),"",解答設定!E72)</f>
        <v/>
      </c>
      <c r="U40" s="396"/>
      <c r="V40" s="133" t="str">
        <f t="shared" si="3"/>
        <v/>
      </c>
      <c r="W40" s="397"/>
      <c r="X40" s="398"/>
      <c r="Y40" s="399" t="str">
        <f>IFERROR(HLOOKUP(解答設定!H72,解答設定!$F$6:$AS$13,5),"")</f>
        <v/>
      </c>
      <c r="Z40" s="400"/>
      <c r="AA40" s="400"/>
      <c r="AB40" s="400"/>
      <c r="AC40" s="401"/>
      <c r="AD40" s="393" t="str">
        <f>IF(ISBLANK(解答設定!R72),"",解答設定!R72)</f>
        <v/>
      </c>
      <c r="AE40" s="402"/>
    </row>
    <row r="41" spans="2:31" ht="16" customHeight="1">
      <c r="B41" s="70" t="str">
        <f>IF(ISBLANK(解答設定!B38),"",解答設定!B38)</f>
        <v/>
      </c>
      <c r="C41" s="393" t="str">
        <f t="shared" si="0"/>
        <v/>
      </c>
      <c r="D41" s="394"/>
      <c r="E41" s="395" t="str">
        <f>IF(ISBLANK(解答設定!E38),"",解答設定!E38)</f>
        <v/>
      </c>
      <c r="F41" s="396"/>
      <c r="G41" s="133" t="str">
        <f t="shared" si="1"/>
        <v/>
      </c>
      <c r="H41" s="397"/>
      <c r="I41" s="398"/>
      <c r="J41" s="399" t="str">
        <f>IFERROR(HLOOKUP(解答設定!H38,解答設定!$F$6:$AS$13,5),"")</f>
        <v/>
      </c>
      <c r="K41" s="400"/>
      <c r="L41" s="400"/>
      <c r="M41" s="400"/>
      <c r="N41" s="401"/>
      <c r="O41" s="393" t="str">
        <f>IF(ISBLANK(解答設定!R38),"",解答設定!R38)</f>
        <v/>
      </c>
      <c r="P41" s="402"/>
      <c r="Q41" s="70" t="str">
        <f>IF(ISBLANK(解答設定!B73),"",解答設定!B73)</f>
        <v/>
      </c>
      <c r="R41" s="393" t="str">
        <f t="shared" si="2"/>
        <v/>
      </c>
      <c r="S41" s="394"/>
      <c r="T41" s="395" t="str">
        <f>IF(ISBLANK(解答設定!E73),"",解答設定!E73)</f>
        <v/>
      </c>
      <c r="U41" s="396"/>
      <c r="V41" s="133" t="str">
        <f t="shared" si="3"/>
        <v/>
      </c>
      <c r="W41" s="397"/>
      <c r="X41" s="398"/>
      <c r="Y41" s="399" t="str">
        <f>IFERROR(HLOOKUP(解答設定!H73,解答設定!$F$6:$AS$13,5),"")</f>
        <v/>
      </c>
      <c r="Z41" s="400"/>
      <c r="AA41" s="400"/>
      <c r="AB41" s="400"/>
      <c r="AC41" s="401"/>
      <c r="AD41" s="393" t="str">
        <f>IF(ISBLANK(解答設定!R73),"",解答設定!R73)</f>
        <v/>
      </c>
      <c r="AE41" s="402"/>
    </row>
    <row r="42" spans="2:31" ht="16" customHeight="1">
      <c r="B42" s="70" t="str">
        <f>IF(ISBLANK(解答設定!B39),"",解答設定!B39)</f>
        <v/>
      </c>
      <c r="C42" s="393" t="str">
        <f t="shared" si="0"/>
        <v/>
      </c>
      <c r="D42" s="394"/>
      <c r="E42" s="395" t="str">
        <f>IF(ISBLANK(解答設定!E39),"",解答設定!E39)</f>
        <v/>
      </c>
      <c r="F42" s="396"/>
      <c r="G42" s="133" t="str">
        <f t="shared" si="1"/>
        <v/>
      </c>
      <c r="H42" s="397"/>
      <c r="I42" s="398"/>
      <c r="J42" s="399" t="str">
        <f>IFERROR(HLOOKUP(解答設定!H39,解答設定!$F$6:$AS$13,5),"")</f>
        <v/>
      </c>
      <c r="K42" s="400"/>
      <c r="L42" s="400"/>
      <c r="M42" s="400"/>
      <c r="N42" s="401"/>
      <c r="O42" s="393" t="str">
        <f>IF(ISBLANK(解答設定!R39),"",解答設定!R39)</f>
        <v/>
      </c>
      <c r="P42" s="402"/>
      <c r="Q42" s="70" t="str">
        <f>IF(ISBLANK(解答設定!B74),"",解答設定!B74)</f>
        <v/>
      </c>
      <c r="R42" s="393" t="str">
        <f t="shared" si="2"/>
        <v/>
      </c>
      <c r="S42" s="394"/>
      <c r="T42" s="395" t="str">
        <f>IF(ISBLANK(解答設定!E74),"",解答設定!E74)</f>
        <v/>
      </c>
      <c r="U42" s="396"/>
      <c r="V42" s="133" t="str">
        <f t="shared" si="3"/>
        <v/>
      </c>
      <c r="W42" s="397"/>
      <c r="X42" s="398"/>
      <c r="Y42" s="399" t="str">
        <f>IFERROR(HLOOKUP(解答設定!H74,解答設定!$F$6:$AS$13,5),"")</f>
        <v/>
      </c>
      <c r="Z42" s="400"/>
      <c r="AA42" s="400"/>
      <c r="AB42" s="400"/>
      <c r="AC42" s="401"/>
      <c r="AD42" s="393" t="str">
        <f>IF(ISBLANK(解答設定!R74),"",解答設定!R74)</f>
        <v/>
      </c>
      <c r="AE42" s="402"/>
    </row>
    <row r="43" spans="2:31" ht="16" customHeight="1">
      <c r="B43" s="70" t="str">
        <f>IF(ISBLANK(解答設定!B40),"",解答設定!B40)</f>
        <v/>
      </c>
      <c r="C43" s="393" t="str">
        <f t="shared" si="0"/>
        <v/>
      </c>
      <c r="D43" s="394"/>
      <c r="E43" s="395" t="str">
        <f>IF(ISBLANK(解答設定!E40),"",解答設定!E40)</f>
        <v/>
      </c>
      <c r="F43" s="396"/>
      <c r="G43" s="133" t="str">
        <f t="shared" si="1"/>
        <v/>
      </c>
      <c r="H43" s="397"/>
      <c r="I43" s="398"/>
      <c r="J43" s="399" t="str">
        <f>IFERROR(HLOOKUP(解答設定!H40,解答設定!$F$6:$AS$13,5),"")</f>
        <v/>
      </c>
      <c r="K43" s="400"/>
      <c r="L43" s="400"/>
      <c r="M43" s="400"/>
      <c r="N43" s="401"/>
      <c r="O43" s="393" t="str">
        <f>IF(ISBLANK(解答設定!R40),"",解答設定!R40)</f>
        <v/>
      </c>
      <c r="P43" s="402"/>
      <c r="Q43" s="70" t="str">
        <f>IF(ISBLANK(解答設定!B75),"",解答設定!B75)</f>
        <v/>
      </c>
      <c r="R43" s="393" t="str">
        <f t="shared" si="2"/>
        <v/>
      </c>
      <c r="S43" s="394"/>
      <c r="T43" s="395" t="str">
        <f>IF(ISBLANK(解答設定!E75),"",解答設定!E75)</f>
        <v/>
      </c>
      <c r="U43" s="396"/>
      <c r="V43" s="133" t="str">
        <f t="shared" si="3"/>
        <v/>
      </c>
      <c r="W43" s="397"/>
      <c r="X43" s="398"/>
      <c r="Y43" s="399" t="str">
        <f>IFERROR(HLOOKUP(解答設定!H75,解答設定!$F$6:$AS$13,5),"")</f>
        <v/>
      </c>
      <c r="Z43" s="400"/>
      <c r="AA43" s="400"/>
      <c r="AB43" s="400"/>
      <c r="AC43" s="401"/>
      <c r="AD43" s="393" t="str">
        <f>IF(ISBLANK(解答設定!R75),"",解答設定!R75)</f>
        <v/>
      </c>
      <c r="AE43" s="402"/>
    </row>
    <row r="44" spans="2:31" ht="16" customHeight="1">
      <c r="B44" s="70" t="str">
        <f>IF(ISBLANK(解答設定!B41),"",解答設定!B41)</f>
        <v/>
      </c>
      <c r="C44" s="393" t="str">
        <f t="shared" si="0"/>
        <v/>
      </c>
      <c r="D44" s="394"/>
      <c r="E44" s="395" t="str">
        <f>IF(ISBLANK(解答設定!E41),"",解答設定!E41)</f>
        <v/>
      </c>
      <c r="F44" s="396"/>
      <c r="G44" s="133" t="str">
        <f t="shared" si="1"/>
        <v/>
      </c>
      <c r="H44" s="397"/>
      <c r="I44" s="398"/>
      <c r="J44" s="399" t="str">
        <f>IFERROR(HLOOKUP(解答設定!H41,解答設定!$F$6:$AS$13,5),"")</f>
        <v/>
      </c>
      <c r="K44" s="400"/>
      <c r="L44" s="400"/>
      <c r="M44" s="400"/>
      <c r="N44" s="401"/>
      <c r="O44" s="393" t="str">
        <f>IF(ISBLANK(解答設定!R41),"",解答設定!R41)</f>
        <v/>
      </c>
      <c r="P44" s="402"/>
      <c r="Q44" s="70" t="str">
        <f>IF(ISBLANK(解答設定!B76),"",解答設定!B76)</f>
        <v/>
      </c>
      <c r="R44" s="393" t="str">
        <f t="shared" si="2"/>
        <v/>
      </c>
      <c r="S44" s="394"/>
      <c r="T44" s="395" t="str">
        <f>IF(ISBLANK(解答設定!E76),"",解答設定!E76)</f>
        <v/>
      </c>
      <c r="U44" s="396"/>
      <c r="V44" s="133" t="str">
        <f t="shared" si="3"/>
        <v/>
      </c>
      <c r="W44" s="397"/>
      <c r="X44" s="398"/>
      <c r="Y44" s="399" t="str">
        <f>IFERROR(HLOOKUP(解答設定!H76,解答設定!$F$6:$AS$13,5),"")</f>
        <v/>
      </c>
      <c r="Z44" s="400"/>
      <c r="AA44" s="400"/>
      <c r="AB44" s="400"/>
      <c r="AC44" s="401"/>
      <c r="AD44" s="393" t="str">
        <f>IF(ISBLANK(解答設定!R76),"",解答設定!R76)</f>
        <v/>
      </c>
      <c r="AE44" s="402"/>
    </row>
    <row r="45" spans="2:31" ht="16" customHeight="1">
      <c r="B45" s="70" t="str">
        <f>IF(ISBLANK(解答設定!B42),"",解答設定!B42)</f>
        <v/>
      </c>
      <c r="C45" s="393" t="str">
        <f t="shared" si="0"/>
        <v/>
      </c>
      <c r="D45" s="394"/>
      <c r="E45" s="395" t="str">
        <f>IF(ISBLANK(解答設定!E42),"",解答設定!E42)</f>
        <v/>
      </c>
      <c r="F45" s="396"/>
      <c r="G45" s="133" t="str">
        <f t="shared" si="1"/>
        <v/>
      </c>
      <c r="H45" s="397"/>
      <c r="I45" s="398"/>
      <c r="J45" s="399" t="str">
        <f>IFERROR(HLOOKUP(解答設定!H42,解答設定!$F$6:$AS$13,5),"")</f>
        <v/>
      </c>
      <c r="K45" s="400"/>
      <c r="L45" s="400"/>
      <c r="M45" s="400"/>
      <c r="N45" s="401"/>
      <c r="O45" s="393" t="str">
        <f>IF(ISBLANK(解答設定!R42),"",解答設定!R42)</f>
        <v/>
      </c>
      <c r="P45" s="402"/>
      <c r="Q45" s="70" t="str">
        <f>IF(ISBLANK(解答設定!B77),"",解答設定!B77)</f>
        <v/>
      </c>
      <c r="R45" s="393" t="str">
        <f t="shared" si="2"/>
        <v/>
      </c>
      <c r="S45" s="394"/>
      <c r="T45" s="395" t="str">
        <f>IF(ISBLANK(解答設定!E77),"",解答設定!E77)</f>
        <v/>
      </c>
      <c r="U45" s="396"/>
      <c r="V45" s="133" t="str">
        <f t="shared" si="3"/>
        <v/>
      </c>
      <c r="W45" s="397"/>
      <c r="X45" s="398"/>
      <c r="Y45" s="399" t="str">
        <f>IFERROR(HLOOKUP(解答設定!H77,解答設定!$F$6:$AS$13,5),"")</f>
        <v/>
      </c>
      <c r="Z45" s="400"/>
      <c r="AA45" s="400"/>
      <c r="AB45" s="400"/>
      <c r="AC45" s="401"/>
      <c r="AD45" s="393" t="str">
        <f>IF(ISBLANK(解答設定!R77),"",解答設定!R77)</f>
        <v/>
      </c>
      <c r="AE45" s="402"/>
    </row>
    <row r="46" spans="2:31" ht="16" customHeight="1">
      <c r="B46" s="70" t="str">
        <f>IF(ISBLANK(解答設定!B43),"",解答設定!B43)</f>
        <v/>
      </c>
      <c r="C46" s="393" t="str">
        <f t="shared" si="0"/>
        <v/>
      </c>
      <c r="D46" s="394"/>
      <c r="E46" s="395" t="str">
        <f>IF(ISBLANK(解答設定!E43),"",解答設定!E43)</f>
        <v/>
      </c>
      <c r="F46" s="396"/>
      <c r="G46" s="133" t="str">
        <f t="shared" si="1"/>
        <v/>
      </c>
      <c r="H46" s="397"/>
      <c r="I46" s="398"/>
      <c r="J46" s="399" t="str">
        <f>IFERROR(HLOOKUP(解答設定!H43,解答設定!$F$6:$AS$13,5),"")</f>
        <v/>
      </c>
      <c r="K46" s="400"/>
      <c r="L46" s="400"/>
      <c r="M46" s="400"/>
      <c r="N46" s="401"/>
      <c r="O46" s="393" t="str">
        <f>IF(ISBLANK(解答設定!R43),"",解答設定!R43)</f>
        <v/>
      </c>
      <c r="P46" s="402"/>
      <c r="Q46" s="70" t="str">
        <f>IF(ISBLANK(解答設定!B78),"",解答設定!B78)</f>
        <v/>
      </c>
      <c r="R46" s="393" t="str">
        <f t="shared" si="2"/>
        <v/>
      </c>
      <c r="S46" s="394"/>
      <c r="T46" s="395" t="str">
        <f>IF(ISBLANK(解答設定!E78),"",解答設定!E78)</f>
        <v/>
      </c>
      <c r="U46" s="396"/>
      <c r="V46" s="133" t="str">
        <f t="shared" si="3"/>
        <v/>
      </c>
      <c r="W46" s="397"/>
      <c r="X46" s="398"/>
      <c r="Y46" s="399" t="str">
        <f>IFERROR(HLOOKUP(解答設定!H78,解答設定!$F$6:$AS$13,5),"")</f>
        <v/>
      </c>
      <c r="Z46" s="400"/>
      <c r="AA46" s="400"/>
      <c r="AB46" s="400"/>
      <c r="AC46" s="401"/>
      <c r="AD46" s="393" t="str">
        <f>IF(ISBLANK(解答設定!R78),"",解答設定!R78)</f>
        <v/>
      </c>
      <c r="AE46" s="402"/>
    </row>
    <row r="47" spans="2:31" ht="16" customHeight="1">
      <c r="B47" s="70" t="str">
        <f>IF(ISBLANK(解答設定!B44),"",解答設定!B44)</f>
        <v/>
      </c>
      <c r="C47" s="393" t="str">
        <f t="shared" si="0"/>
        <v/>
      </c>
      <c r="D47" s="394"/>
      <c r="E47" s="395" t="str">
        <f>IF(ISBLANK(解答設定!E44),"",解答設定!E44)</f>
        <v/>
      </c>
      <c r="F47" s="396"/>
      <c r="G47" s="133" t="str">
        <f t="shared" si="1"/>
        <v/>
      </c>
      <c r="H47" s="397"/>
      <c r="I47" s="398"/>
      <c r="J47" s="399" t="str">
        <f>IFERROR(HLOOKUP(解答設定!H44,解答設定!$F$6:$AS$13,5),"")</f>
        <v/>
      </c>
      <c r="K47" s="400"/>
      <c r="L47" s="400"/>
      <c r="M47" s="400"/>
      <c r="N47" s="401"/>
      <c r="O47" s="393" t="str">
        <f>IF(ISBLANK(解答設定!R44),"",解答設定!R44)</f>
        <v/>
      </c>
      <c r="P47" s="402"/>
      <c r="Q47" s="70" t="str">
        <f>IF(ISBLANK(解答設定!B79),"",解答設定!B79)</f>
        <v/>
      </c>
      <c r="R47" s="393" t="str">
        <f t="shared" si="2"/>
        <v/>
      </c>
      <c r="S47" s="394"/>
      <c r="T47" s="395" t="str">
        <f>IF(ISBLANK(解答設定!E79),"",解答設定!E79)</f>
        <v/>
      </c>
      <c r="U47" s="396"/>
      <c r="V47" s="133" t="str">
        <f t="shared" si="3"/>
        <v/>
      </c>
      <c r="W47" s="397"/>
      <c r="X47" s="398"/>
      <c r="Y47" s="399" t="str">
        <f>IFERROR(HLOOKUP(解答設定!H79,解答設定!$F$6:$AS$13,5),"")</f>
        <v/>
      </c>
      <c r="Z47" s="400"/>
      <c r="AA47" s="400"/>
      <c r="AB47" s="400"/>
      <c r="AC47" s="401"/>
      <c r="AD47" s="393" t="str">
        <f>IF(ISBLANK(解答設定!R79),"",解答設定!R79)</f>
        <v/>
      </c>
      <c r="AE47" s="402"/>
    </row>
    <row r="48" spans="2:31" ht="16" customHeight="1">
      <c r="B48" s="70" t="str">
        <f>IF(ISBLANK(解答設定!B45),"",解答設定!B45)</f>
        <v/>
      </c>
      <c r="C48" s="393" t="str">
        <f t="shared" si="0"/>
        <v/>
      </c>
      <c r="D48" s="394"/>
      <c r="E48" s="395" t="str">
        <f>IF(ISBLANK(解答設定!E45),"",解答設定!E45)</f>
        <v/>
      </c>
      <c r="F48" s="396"/>
      <c r="G48" s="133" t="str">
        <f t="shared" si="1"/>
        <v/>
      </c>
      <c r="H48" s="397"/>
      <c r="I48" s="398"/>
      <c r="J48" s="399" t="str">
        <f>IFERROR(HLOOKUP(解答設定!H45,解答設定!$F$6:$AS$13,5),"")</f>
        <v/>
      </c>
      <c r="K48" s="400"/>
      <c r="L48" s="400"/>
      <c r="M48" s="400"/>
      <c r="N48" s="401"/>
      <c r="O48" s="393" t="str">
        <f>IF(ISBLANK(解答設定!R45),"",解答設定!R45)</f>
        <v/>
      </c>
      <c r="P48" s="402"/>
      <c r="Q48" s="70" t="str">
        <f>IF(ISBLANK(解答設定!B80),"",解答設定!B80)</f>
        <v/>
      </c>
      <c r="R48" s="393" t="str">
        <f t="shared" si="2"/>
        <v/>
      </c>
      <c r="S48" s="394"/>
      <c r="T48" s="395" t="str">
        <f>IF(ISBLANK(解答設定!E80),"",解答設定!E80)</f>
        <v/>
      </c>
      <c r="U48" s="396"/>
      <c r="V48" s="133" t="str">
        <f t="shared" si="3"/>
        <v/>
      </c>
      <c r="W48" s="397"/>
      <c r="X48" s="398"/>
      <c r="Y48" s="399" t="str">
        <f>IFERROR(HLOOKUP(解答設定!H80,解答設定!$F$6:$AS$13,5),"")</f>
        <v/>
      </c>
      <c r="Z48" s="400"/>
      <c r="AA48" s="400"/>
      <c r="AB48" s="400"/>
      <c r="AC48" s="401"/>
      <c r="AD48" s="393" t="str">
        <f>IF(ISBLANK(解答設定!R80),"",解答設定!R80)</f>
        <v/>
      </c>
      <c r="AE48" s="402"/>
    </row>
    <row r="49" spans="2:32" ht="16" customHeight="1">
      <c r="B49" s="70" t="str">
        <f>IF(ISBLANK(解答設定!B46),"",解答設定!B46)</f>
        <v/>
      </c>
      <c r="C49" s="393" t="str">
        <f t="shared" si="0"/>
        <v/>
      </c>
      <c r="D49" s="394"/>
      <c r="E49" s="395" t="str">
        <f>IF(ISBLANK(解答設定!E46),"",解答設定!E46)</f>
        <v/>
      </c>
      <c r="F49" s="396"/>
      <c r="G49" s="133" t="str">
        <f t="shared" si="1"/>
        <v/>
      </c>
      <c r="H49" s="397"/>
      <c r="I49" s="398"/>
      <c r="J49" s="399" t="str">
        <f>IFERROR(HLOOKUP(解答設定!H46,解答設定!$F$6:$AS$13,5),"")</f>
        <v/>
      </c>
      <c r="K49" s="400"/>
      <c r="L49" s="400"/>
      <c r="M49" s="400"/>
      <c r="N49" s="401"/>
      <c r="O49" s="393" t="str">
        <f>IF(ISBLANK(解答設定!R46),"",解答設定!R46)</f>
        <v/>
      </c>
      <c r="P49" s="402"/>
      <c r="Q49" s="70" t="str">
        <f>IF(ISBLANK(解答設定!B81),"",解答設定!B81)</f>
        <v/>
      </c>
      <c r="R49" s="393" t="str">
        <f t="shared" si="2"/>
        <v/>
      </c>
      <c r="S49" s="394"/>
      <c r="T49" s="395" t="str">
        <f>IF(ISBLANK(解答設定!E81),"",解答設定!E81)</f>
        <v/>
      </c>
      <c r="U49" s="396"/>
      <c r="V49" s="133" t="str">
        <f t="shared" si="3"/>
        <v/>
      </c>
      <c r="W49" s="397"/>
      <c r="X49" s="398"/>
      <c r="Y49" s="399" t="str">
        <f>IFERROR(HLOOKUP(解答設定!H81,解答設定!$F$6:$AS$13,5),"")</f>
        <v/>
      </c>
      <c r="Z49" s="400"/>
      <c r="AA49" s="400"/>
      <c r="AB49" s="400"/>
      <c r="AC49" s="401"/>
      <c r="AD49" s="393" t="str">
        <f>IF(ISBLANK(解答設定!R81),"",解答設定!R81)</f>
        <v/>
      </c>
      <c r="AE49" s="402"/>
    </row>
    <row r="50" spans="2:32" ht="16" customHeight="1">
      <c r="B50" s="70" t="str">
        <f>IF(ISBLANK(解答設定!B47),"",解答設定!B47)</f>
        <v/>
      </c>
      <c r="C50" s="393" t="str">
        <f t="shared" si="0"/>
        <v/>
      </c>
      <c r="D50" s="394"/>
      <c r="E50" s="395" t="str">
        <f>IF(ISBLANK(解答設定!E47),"",解答設定!E47)</f>
        <v/>
      </c>
      <c r="F50" s="396"/>
      <c r="G50" s="133" t="str">
        <f t="shared" si="1"/>
        <v/>
      </c>
      <c r="H50" s="397"/>
      <c r="I50" s="398"/>
      <c r="J50" s="399" t="str">
        <f>IFERROR(HLOOKUP(解答設定!H47,解答設定!$F$6:$AS$13,5),"")</f>
        <v/>
      </c>
      <c r="K50" s="400"/>
      <c r="L50" s="400"/>
      <c r="M50" s="400"/>
      <c r="N50" s="401"/>
      <c r="O50" s="393" t="str">
        <f>IF(ISBLANK(解答設定!R47),"",解答設定!R47)</f>
        <v/>
      </c>
      <c r="P50" s="402"/>
      <c r="Q50" s="70" t="str">
        <f>IF(ISBLANK(解答設定!B82),"",解答設定!B82)</f>
        <v/>
      </c>
      <c r="R50" s="393" t="str">
        <f t="shared" si="2"/>
        <v/>
      </c>
      <c r="S50" s="394"/>
      <c r="T50" s="395" t="str">
        <f>IF(ISBLANK(解答設定!E82),"",解答設定!E82)</f>
        <v/>
      </c>
      <c r="U50" s="396"/>
      <c r="V50" s="133" t="str">
        <f t="shared" si="3"/>
        <v/>
      </c>
      <c r="W50" s="397"/>
      <c r="X50" s="398"/>
      <c r="Y50" s="399" t="str">
        <f>IFERROR(HLOOKUP(解答設定!H82,解答設定!$F$6:$AS$13,5),"")</f>
        <v/>
      </c>
      <c r="Z50" s="400"/>
      <c r="AA50" s="400"/>
      <c r="AB50" s="400"/>
      <c r="AC50" s="401"/>
      <c r="AD50" s="393" t="str">
        <f>IF(ISBLANK(解答設定!R82),"",解答設定!R82)</f>
        <v/>
      </c>
      <c r="AE50" s="402"/>
    </row>
    <row r="51" spans="2:32" ht="16" customHeight="1">
      <c r="B51" s="70" t="str">
        <f>IF(ISBLANK(解答設定!B48),"",解答設定!B48)</f>
        <v/>
      </c>
      <c r="C51" s="393" t="str">
        <f t="shared" si="0"/>
        <v/>
      </c>
      <c r="D51" s="394"/>
      <c r="E51" s="395" t="str">
        <f>IF(ISBLANK(解答設定!E48),"",解答設定!E48)</f>
        <v/>
      </c>
      <c r="F51" s="396"/>
      <c r="G51" s="133" t="str">
        <f t="shared" si="1"/>
        <v/>
      </c>
      <c r="H51" s="397"/>
      <c r="I51" s="398"/>
      <c r="J51" s="399" t="str">
        <f>IFERROR(HLOOKUP(解答設定!H48,解答設定!$F$6:$AS$13,5),"")</f>
        <v/>
      </c>
      <c r="K51" s="400"/>
      <c r="L51" s="400"/>
      <c r="M51" s="400"/>
      <c r="N51" s="401"/>
      <c r="O51" s="393" t="str">
        <f>IF(ISBLANK(解答設定!R48),"",解答設定!R48)</f>
        <v/>
      </c>
      <c r="P51" s="402"/>
      <c r="Q51" s="70" t="str">
        <f>IF(ISBLANK(解答設定!B83),"",解答設定!B83)</f>
        <v/>
      </c>
      <c r="R51" s="393" t="str">
        <f t="shared" si="2"/>
        <v/>
      </c>
      <c r="S51" s="394"/>
      <c r="T51" s="395" t="str">
        <f>IF(ISBLANK(解答設定!E83),"",解答設定!E83)</f>
        <v/>
      </c>
      <c r="U51" s="396"/>
      <c r="V51" s="133" t="str">
        <f t="shared" si="3"/>
        <v/>
      </c>
      <c r="W51" s="397"/>
      <c r="X51" s="398"/>
      <c r="Y51" s="399" t="str">
        <f>IFERROR(HLOOKUP(解答設定!H83,解答設定!$F$6:$AS$13,5),"")</f>
        <v/>
      </c>
      <c r="Z51" s="400"/>
      <c r="AA51" s="400"/>
      <c r="AB51" s="400"/>
      <c r="AC51" s="401"/>
      <c r="AD51" s="393" t="str">
        <f>IF(ISBLANK(解答設定!R83),"",解答設定!R83)</f>
        <v/>
      </c>
      <c r="AE51" s="402"/>
    </row>
    <row r="52" spans="2:32" ht="16" customHeight="1">
      <c r="B52" s="70" t="str">
        <f>IF(ISBLANK(解答設定!B49),"",解答設定!B49)</f>
        <v/>
      </c>
      <c r="C52" s="393" t="str">
        <f t="shared" si="0"/>
        <v/>
      </c>
      <c r="D52" s="394"/>
      <c r="E52" s="395" t="str">
        <f>IF(ISBLANK(解答設定!E49),"",解答設定!E49)</f>
        <v/>
      </c>
      <c r="F52" s="396"/>
      <c r="G52" s="133" t="str">
        <f t="shared" si="1"/>
        <v/>
      </c>
      <c r="H52" s="397"/>
      <c r="I52" s="398"/>
      <c r="J52" s="399" t="str">
        <f>IFERROR(HLOOKUP(解答設定!H49,解答設定!$F$6:$AS$13,5),"")</f>
        <v/>
      </c>
      <c r="K52" s="400"/>
      <c r="L52" s="400"/>
      <c r="M52" s="400"/>
      <c r="N52" s="401"/>
      <c r="O52" s="393" t="str">
        <f>IF(ISBLANK(解答設定!R49),"",解答設定!R49)</f>
        <v/>
      </c>
      <c r="P52" s="402"/>
      <c r="Q52" s="70" t="str">
        <f>IF(ISBLANK(解答設定!B84),"",解答設定!B84)</f>
        <v/>
      </c>
      <c r="R52" s="393" t="str">
        <f t="shared" si="2"/>
        <v/>
      </c>
      <c r="S52" s="394"/>
      <c r="T52" s="395" t="str">
        <f>IF(ISBLANK(解答設定!E84),"",解答設定!E84)</f>
        <v/>
      </c>
      <c r="U52" s="396"/>
      <c r="V52" s="133" t="str">
        <f t="shared" si="3"/>
        <v/>
      </c>
      <c r="W52" s="397"/>
      <c r="X52" s="398"/>
      <c r="Y52" s="399" t="str">
        <f>IFERROR(HLOOKUP(解答設定!H84,解答設定!$F$6:$AS$13,5),"")</f>
        <v/>
      </c>
      <c r="Z52" s="400"/>
      <c r="AA52" s="400"/>
      <c r="AB52" s="400"/>
      <c r="AC52" s="401"/>
      <c r="AD52" s="393" t="str">
        <f>IF(ISBLANK(解答設定!R84),"",解答設定!R84)</f>
        <v/>
      </c>
      <c r="AE52" s="402"/>
    </row>
    <row r="53" spans="2:32" ht="16" customHeight="1">
      <c r="B53" s="70" t="str">
        <f>IF(ISBLANK(解答設定!B50),"",解答設定!B50)</f>
        <v/>
      </c>
      <c r="C53" s="393" t="str">
        <f t="shared" si="0"/>
        <v/>
      </c>
      <c r="D53" s="394"/>
      <c r="E53" s="395" t="str">
        <f>IF(ISBLANK(解答設定!E50),"",解答設定!E50)</f>
        <v/>
      </c>
      <c r="F53" s="396"/>
      <c r="G53" s="133" t="str">
        <f t="shared" si="1"/>
        <v/>
      </c>
      <c r="H53" s="429"/>
      <c r="I53" s="429"/>
      <c r="J53" s="399" t="str">
        <f>IFERROR(HLOOKUP(解答設定!H50,解答設定!$F$6:$AS$13,5),"")</f>
        <v/>
      </c>
      <c r="K53" s="400"/>
      <c r="L53" s="400"/>
      <c r="M53" s="400"/>
      <c r="N53" s="401"/>
      <c r="O53" s="393" t="str">
        <f>IF(ISBLANK(解答設定!R50),"",解答設定!R50)</f>
        <v/>
      </c>
      <c r="P53" s="402"/>
      <c r="Q53" s="70" t="str">
        <f>IF(ISBLANK(解答設定!B85),"",解答設定!B85)</f>
        <v/>
      </c>
      <c r="R53" s="393" t="str">
        <f t="shared" si="2"/>
        <v/>
      </c>
      <c r="S53" s="394"/>
      <c r="T53" s="395" t="str">
        <f>IF(ISBLANK(解答設定!E85),"",解答設定!E85)</f>
        <v/>
      </c>
      <c r="U53" s="396"/>
      <c r="V53" s="133" t="str">
        <f t="shared" si="3"/>
        <v/>
      </c>
      <c r="W53" s="397"/>
      <c r="X53" s="398"/>
      <c r="Y53" s="399" t="str">
        <f>IFERROR(HLOOKUP(解答設定!H85,解答設定!$F$6:$AS$13,5),"")</f>
        <v/>
      </c>
      <c r="Z53" s="400"/>
      <c r="AA53" s="400"/>
      <c r="AB53" s="400"/>
      <c r="AC53" s="401"/>
      <c r="AD53" s="393" t="str">
        <f>IF(ISBLANK(解答設定!R85),"",解答設定!R85)</f>
        <v/>
      </c>
      <c r="AE53" s="402"/>
    </row>
    <row r="54" spans="2:32" ht="16" customHeight="1">
      <c r="B54" s="70" t="str">
        <f>IF(ISBLANK(解答設定!B51),"",解答設定!B51)</f>
        <v/>
      </c>
      <c r="C54" s="393" t="str">
        <f t="shared" si="0"/>
        <v/>
      </c>
      <c r="D54" s="394"/>
      <c r="E54" s="395" t="str">
        <f>IF(ISBLANK(解答設定!E51),"",解答設定!E51)</f>
        <v/>
      </c>
      <c r="F54" s="396"/>
      <c r="G54" s="133" t="str">
        <f t="shared" si="1"/>
        <v/>
      </c>
      <c r="H54" s="397"/>
      <c r="I54" s="398"/>
      <c r="J54" s="399" t="str">
        <f>IFERROR(HLOOKUP(解答設定!H51,解答設定!$F$6:$AS$13,5),"")</f>
        <v/>
      </c>
      <c r="K54" s="400"/>
      <c r="L54" s="400"/>
      <c r="M54" s="400"/>
      <c r="N54" s="401"/>
      <c r="O54" s="393" t="str">
        <f>IF(ISBLANK(解答設定!R51),"",解答設定!R51)</f>
        <v/>
      </c>
      <c r="P54" s="402"/>
      <c r="Q54" s="70" t="str">
        <f>IF(ISBLANK(解答設定!B86),"",解答設定!B86)</f>
        <v/>
      </c>
      <c r="R54" s="393" t="str">
        <f t="shared" si="2"/>
        <v/>
      </c>
      <c r="S54" s="394"/>
      <c r="T54" s="395" t="str">
        <f>IF(ISBLANK(解答設定!E86),"",解答設定!E86)</f>
        <v/>
      </c>
      <c r="U54" s="396"/>
      <c r="V54" s="133" t="str">
        <f t="shared" si="3"/>
        <v/>
      </c>
      <c r="W54" s="397"/>
      <c r="X54" s="398"/>
      <c r="Y54" s="399" t="str">
        <f>IFERROR(HLOOKUP(解答設定!H86,解答設定!$F$6:$AS$13,5),"")</f>
        <v/>
      </c>
      <c r="Z54" s="400"/>
      <c r="AA54" s="400"/>
      <c r="AB54" s="400"/>
      <c r="AC54" s="401"/>
      <c r="AD54" s="393" t="str">
        <f>IF(ISBLANK(解答設定!R86),"",解答設定!R86)</f>
        <v/>
      </c>
      <c r="AE54" s="402"/>
    </row>
    <row r="55" spans="2:32" ht="16" customHeight="1">
      <c r="B55" s="70" t="str">
        <f>IF(ISBLANK(解答設定!B52),"",解答設定!B52)</f>
        <v/>
      </c>
      <c r="C55" s="393" t="str">
        <f t="shared" si="0"/>
        <v/>
      </c>
      <c r="D55" s="394"/>
      <c r="E55" s="395" t="str">
        <f>IF(ISBLANK(解答設定!E52),"",解答設定!E52)</f>
        <v/>
      </c>
      <c r="F55" s="396"/>
      <c r="G55" s="133" t="str">
        <f t="shared" si="1"/>
        <v/>
      </c>
      <c r="H55" s="397"/>
      <c r="I55" s="398"/>
      <c r="J55" s="399" t="str">
        <f>IFERROR(HLOOKUP(解答設定!H52,解答設定!$F$6:$AS$13,5),"")</f>
        <v/>
      </c>
      <c r="K55" s="400"/>
      <c r="L55" s="400"/>
      <c r="M55" s="400"/>
      <c r="N55" s="401"/>
      <c r="O55" s="393" t="str">
        <f>IF(ISBLANK(解答設定!R52),"",解答設定!R52)</f>
        <v/>
      </c>
      <c r="P55" s="402"/>
      <c r="Q55" s="70" t="str">
        <f>IF(ISBLANK(解答設定!B87),"",解答設定!B87)</f>
        <v/>
      </c>
      <c r="R55" s="393" t="str">
        <f t="shared" si="2"/>
        <v/>
      </c>
      <c r="S55" s="394"/>
      <c r="T55" s="395" t="str">
        <f>IF(ISBLANK(解答設定!E87),"",解答設定!E87)</f>
        <v/>
      </c>
      <c r="U55" s="396"/>
      <c r="V55" s="133" t="str">
        <f t="shared" si="3"/>
        <v/>
      </c>
      <c r="W55" s="397"/>
      <c r="X55" s="398"/>
      <c r="Y55" s="399" t="str">
        <f>IFERROR(HLOOKUP(解答設定!H87,解答設定!$F$6:$AS$13,5),"")</f>
        <v/>
      </c>
      <c r="Z55" s="400"/>
      <c r="AA55" s="400"/>
      <c r="AB55" s="400"/>
      <c r="AC55" s="401"/>
      <c r="AD55" s="393" t="str">
        <f>IF(ISBLANK(解答設定!R87),"",解答設定!R87)</f>
        <v/>
      </c>
      <c r="AE55" s="402"/>
    </row>
    <row r="56" spans="2:32" ht="16" customHeight="1">
      <c r="B56" s="70" t="str">
        <f>IF(ISBLANK(解答設定!B53),"",解答設定!B53)</f>
        <v/>
      </c>
      <c r="C56" s="393" t="str">
        <f t="shared" si="0"/>
        <v/>
      </c>
      <c r="D56" s="394"/>
      <c r="E56" s="395" t="str">
        <f>IF(ISBLANK(解答設定!E53),"",解答設定!E53)</f>
        <v/>
      </c>
      <c r="F56" s="396"/>
      <c r="G56" s="133" t="str">
        <f t="shared" si="1"/>
        <v/>
      </c>
      <c r="H56" s="397"/>
      <c r="I56" s="398"/>
      <c r="J56" s="399" t="str">
        <f>IFERROR(HLOOKUP(解答設定!H53,解答設定!$F$6:$AS$13,5),"")</f>
        <v/>
      </c>
      <c r="K56" s="400"/>
      <c r="L56" s="400"/>
      <c r="M56" s="400"/>
      <c r="N56" s="401"/>
      <c r="O56" s="393" t="str">
        <f>IF(ISBLANK(解答設定!R53),"",解答設定!R53)</f>
        <v/>
      </c>
      <c r="P56" s="402"/>
      <c r="Q56" s="70" t="str">
        <f>IF(ISBLANK(解答設定!B88),"",解答設定!B88)</f>
        <v/>
      </c>
      <c r="R56" s="393" t="str">
        <f t="shared" si="2"/>
        <v/>
      </c>
      <c r="S56" s="394"/>
      <c r="T56" s="395" t="str">
        <f>IF(ISBLANK(解答設定!E88),"",解答設定!E88)</f>
        <v/>
      </c>
      <c r="U56" s="396"/>
      <c r="V56" s="133" t="str">
        <f t="shared" si="3"/>
        <v/>
      </c>
      <c r="W56" s="397"/>
      <c r="X56" s="398"/>
      <c r="Y56" s="399" t="str">
        <f>IFERROR(HLOOKUP(解答設定!H88,解答設定!$F$6:$AS$13,5),"")</f>
        <v/>
      </c>
      <c r="Z56" s="400"/>
      <c r="AA56" s="400"/>
      <c r="AB56" s="400"/>
      <c r="AC56" s="401"/>
      <c r="AD56" s="393" t="str">
        <f>IF(ISBLANK(解答設定!R88),"",解答設定!R88)</f>
        <v/>
      </c>
      <c r="AE56" s="402"/>
    </row>
    <row r="57" spans="2:32" ht="16" customHeight="1" thickBot="1">
      <c r="B57" s="71" t="str">
        <f>IF(ISBLANK(解答設定!B54),"",解答設定!B54)</f>
        <v/>
      </c>
      <c r="C57" s="425" t="str">
        <f t="shared" si="0"/>
        <v/>
      </c>
      <c r="D57" s="430"/>
      <c r="E57" s="431" t="str">
        <f>IF(ISBLANK(解答設定!E54),"",解答設定!E54)</f>
        <v/>
      </c>
      <c r="F57" s="432"/>
      <c r="G57" s="131" t="str">
        <f t="shared" si="1"/>
        <v/>
      </c>
      <c r="H57" s="433"/>
      <c r="I57" s="434"/>
      <c r="J57" s="435" t="str">
        <f>IFERROR(HLOOKUP(解答設定!H54,解答設定!$F$6:$AS$13,5),"")</f>
        <v/>
      </c>
      <c r="K57" s="436"/>
      <c r="L57" s="436"/>
      <c r="M57" s="436"/>
      <c r="N57" s="437"/>
      <c r="O57" s="425" t="str">
        <f>IF(ISBLANK(解答設定!R54),"",解答設定!R54)</f>
        <v/>
      </c>
      <c r="P57" s="426"/>
      <c r="Q57" s="71" t="str">
        <f>IF(ISBLANK(解答設定!B89),"",解答設定!B89)</f>
        <v/>
      </c>
      <c r="R57" s="425" t="str">
        <f t="shared" si="2"/>
        <v/>
      </c>
      <c r="S57" s="430"/>
      <c r="T57" s="431" t="str">
        <f>IF(ISBLANK(解答設定!E89),"",解答設定!E89)</f>
        <v/>
      </c>
      <c r="U57" s="432"/>
      <c r="V57" s="131" t="str">
        <f t="shared" si="3"/>
        <v/>
      </c>
      <c r="W57" s="433"/>
      <c r="X57" s="434"/>
      <c r="Y57" s="435" t="str">
        <f>IFERROR(HLOOKUP(解答設定!H89,解答設定!$F$6:$AS$13,5),"")</f>
        <v/>
      </c>
      <c r="Z57" s="436"/>
      <c r="AA57" s="436"/>
      <c r="AB57" s="436"/>
      <c r="AC57" s="437"/>
      <c r="AD57" s="425" t="str">
        <f>IF(ISBLANK(解答設定!R89),"",解答設定!R89)</f>
        <v/>
      </c>
      <c r="AE57" s="426"/>
    </row>
    <row r="58" spans="2:32" ht="14" customHeight="1" thickTop="1">
      <c r="B58" s="79"/>
      <c r="C58" s="422"/>
      <c r="D58" s="422"/>
      <c r="E58" s="422"/>
      <c r="F58" s="422"/>
      <c r="G58" s="134"/>
      <c r="H58" s="420"/>
      <c r="I58" s="420"/>
      <c r="J58" s="421"/>
      <c r="K58" s="421"/>
      <c r="L58" s="421"/>
      <c r="M58" s="421"/>
      <c r="N58" s="421"/>
      <c r="O58" s="422"/>
      <c r="P58" s="422"/>
      <c r="Q58" s="79"/>
      <c r="R58" s="422"/>
      <c r="S58" s="422"/>
      <c r="T58" s="422"/>
      <c r="U58" s="422"/>
      <c r="V58" s="68"/>
      <c r="W58" s="420"/>
      <c r="X58" s="420"/>
      <c r="Y58" s="421"/>
      <c r="Z58" s="421"/>
      <c r="AA58" s="421"/>
      <c r="AB58" s="421"/>
      <c r="AC58" s="421"/>
      <c r="AD58" s="422"/>
      <c r="AE58" s="422"/>
    </row>
    <row r="59" spans="2:32" ht="14" customHeight="1">
      <c r="B59" s="79"/>
      <c r="C59" s="422"/>
      <c r="D59" s="422"/>
      <c r="E59" s="422"/>
      <c r="F59" s="422"/>
      <c r="G59" s="134"/>
      <c r="H59" s="420"/>
      <c r="I59" s="420"/>
      <c r="J59" s="421"/>
      <c r="K59" s="421"/>
      <c r="L59" s="421"/>
      <c r="M59" s="421"/>
      <c r="N59" s="421"/>
      <c r="O59" s="422"/>
      <c r="P59" s="422"/>
      <c r="Q59" s="79"/>
      <c r="R59" s="422"/>
      <c r="S59" s="422"/>
      <c r="T59" s="422"/>
      <c r="U59" s="422"/>
      <c r="V59" s="68"/>
      <c r="W59" s="420"/>
      <c r="X59" s="420"/>
      <c r="Y59" s="421"/>
      <c r="Z59" s="421"/>
      <c r="AA59" s="421"/>
      <c r="AB59" s="421"/>
      <c r="AC59" s="421"/>
      <c r="AD59" s="422"/>
      <c r="AE59" s="422"/>
    </row>
    <row r="60" spans="2:32" ht="14" customHeight="1">
      <c r="B60" s="79"/>
      <c r="C60" s="422"/>
      <c r="D60" s="422"/>
      <c r="E60" s="422"/>
      <c r="F60" s="422"/>
      <c r="G60" s="134"/>
      <c r="H60" s="420"/>
      <c r="I60" s="420"/>
      <c r="J60" s="421"/>
      <c r="K60" s="421"/>
      <c r="L60" s="421"/>
      <c r="M60" s="421"/>
      <c r="N60" s="421"/>
      <c r="O60" s="422"/>
      <c r="P60" s="422"/>
      <c r="Q60" s="79"/>
      <c r="R60" s="422"/>
      <c r="S60" s="422"/>
      <c r="T60" s="422"/>
      <c r="U60" s="422"/>
      <c r="V60" s="68"/>
      <c r="W60" s="420"/>
      <c r="X60" s="420"/>
      <c r="Y60" s="421"/>
      <c r="Z60" s="421"/>
      <c r="AA60" s="421"/>
      <c r="AB60" s="421"/>
      <c r="AC60" s="421"/>
      <c r="AD60" s="422"/>
      <c r="AE60" s="422"/>
    </row>
    <row r="61" spans="2:32" ht="14" customHeight="1" thickBot="1">
      <c r="B61" s="67"/>
      <c r="C61" s="406"/>
      <c r="D61" s="406"/>
      <c r="E61" s="406"/>
      <c r="F61" s="406"/>
      <c r="G61" s="68"/>
      <c r="H61" s="406"/>
      <c r="I61" s="406"/>
      <c r="J61" s="406"/>
      <c r="K61" s="406"/>
      <c r="L61" s="406"/>
      <c r="M61" s="406"/>
      <c r="N61" s="406"/>
      <c r="O61" s="406"/>
      <c r="P61" s="406"/>
      <c r="Q61" s="67"/>
      <c r="R61" s="423"/>
      <c r="S61" s="423"/>
      <c r="T61" s="423"/>
      <c r="U61" s="423"/>
      <c r="V61" s="68"/>
      <c r="W61" s="423"/>
      <c r="X61" s="423"/>
      <c r="Y61" s="423"/>
      <c r="Z61" s="423"/>
      <c r="AA61" s="423"/>
      <c r="AB61" s="423"/>
      <c r="AC61" s="423"/>
      <c r="AD61" s="423"/>
      <c r="AE61" s="423"/>
    </row>
    <row r="62" spans="2:32" ht="21" customHeight="1" thickTop="1" thickBot="1">
      <c r="B62" s="81" t="s">
        <v>44</v>
      </c>
      <c r="C62" s="407" t="s">
        <v>32</v>
      </c>
      <c r="D62" s="408"/>
      <c r="E62" s="407" t="s">
        <v>33</v>
      </c>
      <c r="F62" s="408"/>
      <c r="G62" s="82" t="s">
        <v>66</v>
      </c>
      <c r="H62" s="438" t="s">
        <v>55</v>
      </c>
      <c r="I62" s="439"/>
      <c r="J62" s="440" t="s">
        <v>22</v>
      </c>
      <c r="K62" s="441"/>
      <c r="L62" s="441"/>
      <c r="M62" s="441"/>
      <c r="N62" s="442"/>
      <c r="O62" s="407" t="s">
        <v>35</v>
      </c>
      <c r="P62" s="443"/>
      <c r="Q62" s="79"/>
      <c r="R62" s="422"/>
      <c r="S62" s="422"/>
      <c r="T62" s="422"/>
      <c r="U62" s="422"/>
      <c r="V62" s="134"/>
      <c r="W62" s="420"/>
      <c r="X62" s="420"/>
      <c r="Y62" s="421"/>
      <c r="Z62" s="421"/>
      <c r="AA62" s="421"/>
      <c r="AB62" s="421"/>
      <c r="AC62" s="421"/>
      <c r="AD62" s="422"/>
      <c r="AE62" s="422"/>
      <c r="AF62" s="83"/>
    </row>
    <row r="63" spans="2:32" ht="16" customHeight="1" thickTop="1">
      <c r="B63" s="80" t="str">
        <f>IF(ISBLANK(解答設定!B90),"",解答設定!B90)</f>
        <v/>
      </c>
      <c r="C63" s="444" t="str">
        <f>E63</f>
        <v/>
      </c>
      <c r="D63" s="357"/>
      <c r="E63" s="445" t="str">
        <f>IF(ISBLANK(解答設定!E90),"",解答設定!E90)</f>
        <v/>
      </c>
      <c r="F63" s="446"/>
      <c r="G63" s="132" t="str">
        <f t="shared" ref="G63:G91" si="4">IF(C63="","",IF(C63=E63,"o","x"))</f>
        <v/>
      </c>
      <c r="H63" s="447"/>
      <c r="I63" s="448"/>
      <c r="J63" s="449" t="str">
        <f>IFERROR(HLOOKUP(解答設定!H90,解答設定!$F$6:$AS$13,5),"")</f>
        <v/>
      </c>
      <c r="K63" s="450"/>
      <c r="L63" s="450"/>
      <c r="M63" s="450"/>
      <c r="N63" s="451"/>
      <c r="O63" s="444" t="str">
        <f>IF(ISBLANK(解答設定!R90),"",解答設定!R90)</f>
        <v/>
      </c>
      <c r="P63" s="452"/>
      <c r="Q63" s="79"/>
      <c r="R63" s="422"/>
      <c r="S63" s="422"/>
      <c r="T63" s="422"/>
      <c r="U63" s="422"/>
      <c r="V63" s="68"/>
      <c r="W63" s="420"/>
      <c r="X63" s="420"/>
      <c r="Y63" s="421"/>
      <c r="Z63" s="421"/>
      <c r="AA63" s="421"/>
      <c r="AB63" s="421"/>
      <c r="AC63" s="421"/>
      <c r="AD63" s="422"/>
      <c r="AE63" s="422"/>
      <c r="AF63" s="83"/>
    </row>
    <row r="64" spans="2:32" ht="16" customHeight="1">
      <c r="B64" s="70" t="str">
        <f>IF(ISBLANK(解答設定!B91),"",解答設定!B91)</f>
        <v/>
      </c>
      <c r="C64" s="393" t="str">
        <f t="shared" ref="C64:C92" si="5">E64</f>
        <v/>
      </c>
      <c r="D64" s="394"/>
      <c r="E64" s="395" t="str">
        <f>IF(ISBLANK(解答設定!E91),"",解答設定!E91)</f>
        <v/>
      </c>
      <c r="F64" s="396"/>
      <c r="G64" s="133" t="str">
        <f t="shared" si="4"/>
        <v/>
      </c>
      <c r="H64" s="397"/>
      <c r="I64" s="398"/>
      <c r="J64" s="399" t="str">
        <f>IFERROR(HLOOKUP(解答設定!H91,解答設定!$F$6:$AS$13,5),"")</f>
        <v/>
      </c>
      <c r="K64" s="400"/>
      <c r="L64" s="400"/>
      <c r="M64" s="400"/>
      <c r="N64" s="401"/>
      <c r="O64" s="393" t="str">
        <f>IF(ISBLANK(解答設定!R91),"",解答設定!R91)</f>
        <v/>
      </c>
      <c r="P64" s="402"/>
      <c r="Q64" s="79"/>
      <c r="R64" s="422"/>
      <c r="S64" s="422"/>
      <c r="T64" s="422"/>
      <c r="U64" s="422"/>
      <c r="V64" s="68"/>
      <c r="W64" s="420"/>
      <c r="X64" s="420"/>
      <c r="Y64" s="421"/>
      <c r="Z64" s="421"/>
      <c r="AA64" s="421"/>
      <c r="AB64" s="421"/>
      <c r="AC64" s="421"/>
      <c r="AD64" s="422"/>
      <c r="AE64" s="422"/>
      <c r="AF64" s="83"/>
    </row>
    <row r="65" spans="2:32" ht="16" customHeight="1">
      <c r="B65" s="70" t="str">
        <f>IF(ISBLANK(解答設定!B92),"",解答設定!B92)</f>
        <v/>
      </c>
      <c r="C65" s="393" t="str">
        <f t="shared" si="5"/>
        <v/>
      </c>
      <c r="D65" s="394"/>
      <c r="E65" s="395" t="str">
        <f>IF(ISBLANK(解答設定!E92),"",解答設定!E92)</f>
        <v/>
      </c>
      <c r="F65" s="396"/>
      <c r="G65" s="133" t="str">
        <f t="shared" si="4"/>
        <v/>
      </c>
      <c r="H65" s="397"/>
      <c r="I65" s="398"/>
      <c r="J65" s="399" t="str">
        <f>IFERROR(HLOOKUP(解答設定!H92,解答設定!$F$6:$AS$13,5),"")</f>
        <v/>
      </c>
      <c r="K65" s="400"/>
      <c r="L65" s="400"/>
      <c r="M65" s="400"/>
      <c r="N65" s="401"/>
      <c r="O65" s="393" t="str">
        <f>IF(ISBLANK(解答設定!R92),"",解答設定!R92)</f>
        <v/>
      </c>
      <c r="P65" s="402"/>
      <c r="Q65" s="79"/>
      <c r="R65" s="422"/>
      <c r="S65" s="422"/>
      <c r="T65" s="422"/>
      <c r="U65" s="422"/>
      <c r="V65" s="68"/>
      <c r="W65" s="420"/>
      <c r="X65" s="420"/>
      <c r="Y65" s="421"/>
      <c r="Z65" s="421"/>
      <c r="AA65" s="421"/>
      <c r="AB65" s="421"/>
      <c r="AC65" s="421"/>
      <c r="AD65" s="422"/>
      <c r="AE65" s="422"/>
      <c r="AF65" s="83"/>
    </row>
    <row r="66" spans="2:32" ht="16" customHeight="1">
      <c r="B66" s="70" t="str">
        <f>IF(ISBLANK(解答設定!B93),"",解答設定!B93)</f>
        <v/>
      </c>
      <c r="C66" s="393" t="str">
        <f t="shared" si="5"/>
        <v/>
      </c>
      <c r="D66" s="394"/>
      <c r="E66" s="395" t="str">
        <f>IF(ISBLANK(解答設定!E93),"",解答設定!E93)</f>
        <v/>
      </c>
      <c r="F66" s="396"/>
      <c r="G66" s="133" t="str">
        <f t="shared" si="4"/>
        <v/>
      </c>
      <c r="H66" s="397"/>
      <c r="I66" s="398"/>
      <c r="J66" s="399" t="str">
        <f>IFERROR(HLOOKUP(解答設定!H93,解答設定!$F$6:$AS$13,5),"")</f>
        <v/>
      </c>
      <c r="K66" s="400"/>
      <c r="L66" s="400"/>
      <c r="M66" s="400"/>
      <c r="N66" s="401"/>
      <c r="O66" s="393" t="str">
        <f>IF(ISBLANK(解答設定!R93),"",解答設定!R93)</f>
        <v/>
      </c>
      <c r="P66" s="402"/>
      <c r="Q66" s="79"/>
      <c r="R66" s="422"/>
      <c r="S66" s="422"/>
      <c r="T66" s="422"/>
      <c r="U66" s="422"/>
      <c r="V66" s="68"/>
      <c r="W66" s="420"/>
      <c r="X66" s="420"/>
      <c r="Y66" s="421"/>
      <c r="Z66" s="421"/>
      <c r="AA66" s="421"/>
      <c r="AB66" s="421"/>
      <c r="AC66" s="421"/>
      <c r="AD66" s="422"/>
      <c r="AE66" s="422"/>
      <c r="AF66" s="83"/>
    </row>
    <row r="67" spans="2:32" ht="16" customHeight="1">
      <c r="B67" s="70" t="str">
        <f>IF(ISBLANK(解答設定!B94),"",解答設定!B94)</f>
        <v/>
      </c>
      <c r="C67" s="393" t="str">
        <f t="shared" si="5"/>
        <v/>
      </c>
      <c r="D67" s="394"/>
      <c r="E67" s="395" t="str">
        <f>IF(ISBLANK(解答設定!E94),"",解答設定!E94)</f>
        <v/>
      </c>
      <c r="F67" s="396"/>
      <c r="G67" s="133" t="str">
        <f t="shared" si="4"/>
        <v/>
      </c>
      <c r="H67" s="397"/>
      <c r="I67" s="398"/>
      <c r="J67" s="399" t="str">
        <f>IFERROR(HLOOKUP(解答設定!H94,解答設定!$F$6:$AS$13,5),"")</f>
        <v/>
      </c>
      <c r="K67" s="400"/>
      <c r="L67" s="400"/>
      <c r="M67" s="400"/>
      <c r="N67" s="401"/>
      <c r="O67" s="393" t="str">
        <f>IF(ISBLANK(解答設定!R94),"",解答設定!R94)</f>
        <v/>
      </c>
      <c r="P67" s="402"/>
      <c r="Q67" s="79"/>
      <c r="R67" s="422"/>
      <c r="S67" s="422"/>
      <c r="T67" s="422"/>
      <c r="U67" s="422"/>
      <c r="V67" s="68"/>
      <c r="W67" s="420"/>
      <c r="X67" s="420"/>
      <c r="Y67" s="421"/>
      <c r="Z67" s="421"/>
      <c r="AA67" s="421"/>
      <c r="AB67" s="421"/>
      <c r="AC67" s="421"/>
      <c r="AD67" s="422"/>
      <c r="AE67" s="422"/>
      <c r="AF67" s="83"/>
    </row>
    <row r="68" spans="2:32" ht="16" customHeight="1">
      <c r="B68" s="70" t="str">
        <f>IF(ISBLANK(解答設定!B95),"",解答設定!B95)</f>
        <v/>
      </c>
      <c r="C68" s="393" t="str">
        <f t="shared" si="5"/>
        <v/>
      </c>
      <c r="D68" s="394"/>
      <c r="E68" s="395" t="str">
        <f>IF(ISBLANK(解答設定!E95),"",解答設定!E95)</f>
        <v/>
      </c>
      <c r="F68" s="396"/>
      <c r="G68" s="133" t="str">
        <f t="shared" si="4"/>
        <v/>
      </c>
      <c r="H68" s="397"/>
      <c r="I68" s="398"/>
      <c r="J68" s="399" t="str">
        <f>IFERROR(HLOOKUP(解答設定!H95,解答設定!$F$6:$AS$13,5),"")</f>
        <v/>
      </c>
      <c r="K68" s="400"/>
      <c r="L68" s="400"/>
      <c r="M68" s="400"/>
      <c r="N68" s="401"/>
      <c r="O68" s="393" t="str">
        <f>IF(ISBLANK(解答設定!R95),"",解答設定!R95)</f>
        <v/>
      </c>
      <c r="P68" s="402"/>
      <c r="Q68" s="79"/>
      <c r="R68" s="422"/>
      <c r="S68" s="422"/>
      <c r="T68" s="422"/>
      <c r="U68" s="422"/>
      <c r="V68" s="68"/>
      <c r="W68" s="420"/>
      <c r="X68" s="420"/>
      <c r="Y68" s="421"/>
      <c r="Z68" s="421"/>
      <c r="AA68" s="421"/>
      <c r="AB68" s="421"/>
      <c r="AC68" s="421"/>
      <c r="AD68" s="422"/>
      <c r="AE68" s="422"/>
      <c r="AF68" s="83"/>
    </row>
    <row r="69" spans="2:32" ht="16" customHeight="1">
      <c r="B69" s="70" t="str">
        <f>IF(ISBLANK(解答設定!B96),"",解答設定!B96)</f>
        <v/>
      </c>
      <c r="C69" s="393" t="str">
        <f t="shared" si="5"/>
        <v/>
      </c>
      <c r="D69" s="394"/>
      <c r="E69" s="395" t="str">
        <f>IF(ISBLANK(解答設定!E96),"",解答設定!E96)</f>
        <v/>
      </c>
      <c r="F69" s="396"/>
      <c r="G69" s="133" t="str">
        <f t="shared" si="4"/>
        <v/>
      </c>
      <c r="H69" s="397"/>
      <c r="I69" s="398"/>
      <c r="J69" s="399" t="str">
        <f>IFERROR(HLOOKUP(解答設定!H96,解答設定!$F$6:$AS$13,5),"")</f>
        <v/>
      </c>
      <c r="K69" s="400"/>
      <c r="L69" s="400"/>
      <c r="M69" s="400"/>
      <c r="N69" s="401"/>
      <c r="O69" s="393" t="str">
        <f>IF(ISBLANK(解答設定!R96),"",解答設定!R96)</f>
        <v/>
      </c>
      <c r="P69" s="402"/>
      <c r="Q69" s="79"/>
      <c r="R69" s="422"/>
      <c r="S69" s="422"/>
      <c r="T69" s="422"/>
      <c r="U69" s="422"/>
      <c r="V69" s="68"/>
      <c r="W69" s="420"/>
      <c r="X69" s="420"/>
      <c r="Y69" s="421"/>
      <c r="Z69" s="421"/>
      <c r="AA69" s="421"/>
      <c r="AB69" s="421"/>
      <c r="AC69" s="421"/>
      <c r="AD69" s="422"/>
      <c r="AE69" s="422"/>
      <c r="AF69" s="83"/>
    </row>
    <row r="70" spans="2:32" ht="16" customHeight="1">
      <c r="B70" s="70" t="str">
        <f>IF(ISBLANK(解答設定!B97),"",解答設定!B97)</f>
        <v/>
      </c>
      <c r="C70" s="393" t="str">
        <f t="shared" si="5"/>
        <v/>
      </c>
      <c r="D70" s="394"/>
      <c r="E70" s="395" t="str">
        <f>IF(ISBLANK(解答設定!E97),"",解答設定!E97)</f>
        <v/>
      </c>
      <c r="F70" s="396"/>
      <c r="G70" s="133" t="str">
        <f t="shared" si="4"/>
        <v/>
      </c>
      <c r="H70" s="397"/>
      <c r="I70" s="398"/>
      <c r="J70" s="399" t="str">
        <f>IFERROR(HLOOKUP(解答設定!H97,解答設定!$F$6:$AS$13,5),"")</f>
        <v/>
      </c>
      <c r="K70" s="400"/>
      <c r="L70" s="400"/>
      <c r="M70" s="400"/>
      <c r="N70" s="401"/>
      <c r="O70" s="393" t="str">
        <f>IF(ISBLANK(解答設定!R97),"",解答設定!R97)</f>
        <v/>
      </c>
      <c r="P70" s="402"/>
      <c r="Q70" s="79"/>
      <c r="R70" s="422"/>
      <c r="S70" s="422"/>
      <c r="T70" s="422"/>
      <c r="U70" s="422"/>
      <c r="V70" s="68"/>
      <c r="W70" s="420"/>
      <c r="X70" s="420"/>
      <c r="Y70" s="421"/>
      <c r="Z70" s="421"/>
      <c r="AA70" s="421"/>
      <c r="AB70" s="421"/>
      <c r="AC70" s="421"/>
      <c r="AD70" s="422"/>
      <c r="AE70" s="422"/>
      <c r="AF70" s="83"/>
    </row>
    <row r="71" spans="2:32" ht="16" customHeight="1">
      <c r="B71" s="70" t="str">
        <f>IF(ISBLANK(解答設定!B98),"",解答設定!B98)</f>
        <v/>
      </c>
      <c r="C71" s="393" t="str">
        <f t="shared" si="5"/>
        <v/>
      </c>
      <c r="D71" s="394"/>
      <c r="E71" s="395" t="str">
        <f>IF(ISBLANK(解答設定!E98),"",解答設定!E98)</f>
        <v/>
      </c>
      <c r="F71" s="396"/>
      <c r="G71" s="133" t="str">
        <f t="shared" si="4"/>
        <v/>
      </c>
      <c r="H71" s="397"/>
      <c r="I71" s="398"/>
      <c r="J71" s="399" t="str">
        <f>IFERROR(HLOOKUP(解答設定!H98,解答設定!$F$6:$AS$13,5),"")</f>
        <v/>
      </c>
      <c r="K71" s="400"/>
      <c r="L71" s="400"/>
      <c r="M71" s="400"/>
      <c r="N71" s="401"/>
      <c r="O71" s="393" t="str">
        <f>IF(ISBLANK(解答設定!R98),"",解答設定!R98)</f>
        <v/>
      </c>
      <c r="P71" s="402"/>
      <c r="Q71" s="79"/>
      <c r="R71" s="422"/>
      <c r="S71" s="422"/>
      <c r="T71" s="422"/>
      <c r="U71" s="422"/>
      <c r="V71" s="68"/>
      <c r="W71" s="420"/>
      <c r="X71" s="420"/>
      <c r="Y71" s="421"/>
      <c r="Z71" s="421"/>
      <c r="AA71" s="421"/>
      <c r="AB71" s="421"/>
      <c r="AC71" s="421"/>
      <c r="AD71" s="422"/>
      <c r="AE71" s="422"/>
      <c r="AF71" s="83"/>
    </row>
    <row r="72" spans="2:32" ht="16" customHeight="1">
      <c r="B72" s="70" t="str">
        <f>IF(ISBLANK(解答設定!B99),"",解答設定!B99)</f>
        <v/>
      </c>
      <c r="C72" s="393" t="str">
        <f t="shared" si="5"/>
        <v/>
      </c>
      <c r="D72" s="394"/>
      <c r="E72" s="395" t="str">
        <f>IF(ISBLANK(解答設定!E99),"",解答設定!E99)</f>
        <v/>
      </c>
      <c r="F72" s="396"/>
      <c r="G72" s="133" t="str">
        <f t="shared" si="4"/>
        <v/>
      </c>
      <c r="H72" s="397"/>
      <c r="I72" s="398"/>
      <c r="J72" s="399" t="str">
        <f>IFERROR(HLOOKUP(解答設定!H99,解答設定!$F$6:$AS$13,5),"")</f>
        <v/>
      </c>
      <c r="K72" s="400"/>
      <c r="L72" s="400"/>
      <c r="M72" s="400"/>
      <c r="N72" s="401"/>
      <c r="O72" s="393" t="str">
        <f>IF(ISBLANK(解答設定!R99),"",解答設定!R99)</f>
        <v/>
      </c>
      <c r="P72" s="402"/>
      <c r="Q72" s="79"/>
      <c r="R72" s="422"/>
      <c r="S72" s="422"/>
      <c r="T72" s="422"/>
      <c r="U72" s="422"/>
      <c r="V72" s="68"/>
      <c r="W72" s="420"/>
      <c r="X72" s="420"/>
      <c r="Y72" s="421"/>
      <c r="Z72" s="421"/>
      <c r="AA72" s="421"/>
      <c r="AB72" s="421"/>
      <c r="AC72" s="421"/>
      <c r="AD72" s="422"/>
      <c r="AE72" s="422"/>
      <c r="AF72" s="83"/>
    </row>
    <row r="73" spans="2:32" ht="16" customHeight="1">
      <c r="B73" s="70" t="str">
        <f>IF(ISBLANK(解答設定!B100),"",解答設定!B100)</f>
        <v/>
      </c>
      <c r="C73" s="393" t="str">
        <f t="shared" si="5"/>
        <v/>
      </c>
      <c r="D73" s="394"/>
      <c r="E73" s="395" t="str">
        <f>IF(ISBLANK(解答設定!E100),"",解答設定!E100)</f>
        <v/>
      </c>
      <c r="F73" s="396"/>
      <c r="G73" s="133" t="str">
        <f t="shared" si="4"/>
        <v/>
      </c>
      <c r="H73" s="397"/>
      <c r="I73" s="398"/>
      <c r="J73" s="399" t="str">
        <f>IFERROR(HLOOKUP(解答設定!H100,解答設定!$F$6:$AS$13,5),"")</f>
        <v/>
      </c>
      <c r="K73" s="400"/>
      <c r="L73" s="400"/>
      <c r="M73" s="400"/>
      <c r="N73" s="401"/>
      <c r="O73" s="393" t="str">
        <f>IF(ISBLANK(解答設定!R100),"",解答設定!R100)</f>
        <v/>
      </c>
      <c r="P73" s="402"/>
      <c r="Q73" s="79"/>
      <c r="R73" s="422"/>
      <c r="S73" s="422"/>
      <c r="T73" s="422"/>
      <c r="U73" s="422"/>
      <c r="V73" s="68"/>
      <c r="W73" s="420"/>
      <c r="X73" s="420"/>
      <c r="Y73" s="421"/>
      <c r="Z73" s="421"/>
      <c r="AA73" s="421"/>
      <c r="AB73" s="421"/>
      <c r="AC73" s="421"/>
      <c r="AD73" s="422"/>
      <c r="AE73" s="422"/>
      <c r="AF73" s="83"/>
    </row>
    <row r="74" spans="2:32" ht="16" customHeight="1">
      <c r="B74" s="70" t="str">
        <f>IF(ISBLANK(解答設定!B101),"",解答設定!B101)</f>
        <v/>
      </c>
      <c r="C74" s="393" t="str">
        <f t="shared" si="5"/>
        <v/>
      </c>
      <c r="D74" s="394"/>
      <c r="E74" s="395" t="str">
        <f>IF(ISBLANK(解答設定!E101),"",解答設定!E101)</f>
        <v/>
      </c>
      <c r="F74" s="396"/>
      <c r="G74" s="133" t="str">
        <f t="shared" si="4"/>
        <v/>
      </c>
      <c r="H74" s="397"/>
      <c r="I74" s="398"/>
      <c r="J74" s="399" t="str">
        <f>IFERROR(HLOOKUP(解答設定!H101,解答設定!$F$6:$AS$13,5),"")</f>
        <v/>
      </c>
      <c r="K74" s="400"/>
      <c r="L74" s="400"/>
      <c r="M74" s="400"/>
      <c r="N74" s="401"/>
      <c r="O74" s="393" t="str">
        <f>IF(ISBLANK(解答設定!R101),"",解答設定!R101)</f>
        <v/>
      </c>
      <c r="P74" s="402"/>
      <c r="Q74" s="79"/>
      <c r="R74" s="422"/>
      <c r="S74" s="422"/>
      <c r="T74" s="422"/>
      <c r="U74" s="422"/>
      <c r="V74" s="68"/>
      <c r="W74" s="420"/>
      <c r="X74" s="420"/>
      <c r="Y74" s="421"/>
      <c r="Z74" s="421"/>
      <c r="AA74" s="421"/>
      <c r="AB74" s="421"/>
      <c r="AC74" s="421"/>
      <c r="AD74" s="422"/>
      <c r="AE74" s="422"/>
      <c r="AF74" s="83"/>
    </row>
    <row r="75" spans="2:32" ht="16" customHeight="1">
      <c r="B75" s="70" t="str">
        <f>IF(ISBLANK(解答設定!B102),"",解答設定!B102)</f>
        <v/>
      </c>
      <c r="C75" s="393" t="str">
        <f t="shared" si="5"/>
        <v/>
      </c>
      <c r="D75" s="394"/>
      <c r="E75" s="395" t="str">
        <f>IF(ISBLANK(解答設定!E102),"",解答設定!E102)</f>
        <v/>
      </c>
      <c r="F75" s="396"/>
      <c r="G75" s="133" t="str">
        <f t="shared" si="4"/>
        <v/>
      </c>
      <c r="H75" s="397"/>
      <c r="I75" s="398"/>
      <c r="J75" s="399" t="str">
        <f>IFERROR(HLOOKUP(解答設定!H102,解答設定!$F$6:$AS$13,5),"")</f>
        <v/>
      </c>
      <c r="K75" s="400"/>
      <c r="L75" s="400"/>
      <c r="M75" s="400"/>
      <c r="N75" s="401"/>
      <c r="O75" s="393" t="str">
        <f>IF(ISBLANK(解答設定!R102),"",解答設定!R102)</f>
        <v/>
      </c>
      <c r="P75" s="402"/>
      <c r="Q75" s="79"/>
      <c r="R75" s="422"/>
      <c r="S75" s="422"/>
      <c r="T75" s="422"/>
      <c r="U75" s="422"/>
      <c r="V75" s="68"/>
      <c r="W75" s="420"/>
      <c r="X75" s="420"/>
      <c r="Y75" s="421"/>
      <c r="Z75" s="421"/>
      <c r="AA75" s="421"/>
      <c r="AB75" s="421"/>
      <c r="AC75" s="421"/>
      <c r="AD75" s="422"/>
      <c r="AE75" s="422"/>
      <c r="AF75" s="83"/>
    </row>
    <row r="76" spans="2:32" ht="16" customHeight="1">
      <c r="B76" s="70" t="str">
        <f>IF(ISBLANK(解答設定!B103),"",解答設定!B103)</f>
        <v/>
      </c>
      <c r="C76" s="393" t="str">
        <f t="shared" si="5"/>
        <v/>
      </c>
      <c r="D76" s="394"/>
      <c r="E76" s="395" t="str">
        <f>IF(ISBLANK(解答設定!E103),"",解答設定!E103)</f>
        <v/>
      </c>
      <c r="F76" s="396"/>
      <c r="G76" s="133" t="str">
        <f t="shared" si="4"/>
        <v/>
      </c>
      <c r="H76" s="397"/>
      <c r="I76" s="398"/>
      <c r="J76" s="399" t="str">
        <f>IFERROR(HLOOKUP(解答設定!H103,解答設定!$F$6:$AS$13,5),"")</f>
        <v/>
      </c>
      <c r="K76" s="400"/>
      <c r="L76" s="400"/>
      <c r="M76" s="400"/>
      <c r="N76" s="401"/>
      <c r="O76" s="393" t="str">
        <f>IF(ISBLANK(解答設定!R103),"",解答設定!R103)</f>
        <v/>
      </c>
      <c r="P76" s="402"/>
      <c r="Q76" s="79"/>
      <c r="R76" s="422"/>
      <c r="S76" s="422"/>
      <c r="T76" s="422"/>
      <c r="U76" s="422"/>
      <c r="V76" s="68"/>
      <c r="W76" s="420"/>
      <c r="X76" s="420"/>
      <c r="Y76" s="421"/>
      <c r="Z76" s="421"/>
      <c r="AA76" s="421"/>
      <c r="AB76" s="421"/>
      <c r="AC76" s="421"/>
      <c r="AD76" s="422"/>
      <c r="AE76" s="422"/>
      <c r="AF76" s="83"/>
    </row>
    <row r="77" spans="2:32" ht="16" customHeight="1">
      <c r="B77" s="70" t="str">
        <f>IF(ISBLANK(解答設定!B104),"",解答設定!B104)</f>
        <v/>
      </c>
      <c r="C77" s="393" t="str">
        <f t="shared" si="5"/>
        <v/>
      </c>
      <c r="D77" s="394"/>
      <c r="E77" s="395" t="str">
        <f>IF(ISBLANK(解答設定!E104),"",解答設定!E104)</f>
        <v/>
      </c>
      <c r="F77" s="396"/>
      <c r="G77" s="133" t="str">
        <f t="shared" si="4"/>
        <v/>
      </c>
      <c r="H77" s="397"/>
      <c r="I77" s="398"/>
      <c r="J77" s="399" t="str">
        <f>IFERROR(HLOOKUP(解答設定!H104,解答設定!$F$6:$AS$13,5),"")</f>
        <v/>
      </c>
      <c r="K77" s="400"/>
      <c r="L77" s="400"/>
      <c r="M77" s="400"/>
      <c r="N77" s="401"/>
      <c r="O77" s="393" t="str">
        <f>IF(ISBLANK(解答設定!R104),"",解答設定!R104)</f>
        <v/>
      </c>
      <c r="P77" s="402"/>
      <c r="Q77" s="79"/>
      <c r="R77" s="422"/>
      <c r="S77" s="422"/>
      <c r="T77" s="422"/>
      <c r="U77" s="422"/>
      <c r="V77" s="68"/>
      <c r="W77" s="420"/>
      <c r="X77" s="420"/>
      <c r="Y77" s="421"/>
      <c r="Z77" s="421"/>
      <c r="AA77" s="421"/>
      <c r="AB77" s="421"/>
      <c r="AC77" s="421"/>
      <c r="AD77" s="422"/>
      <c r="AE77" s="422"/>
      <c r="AF77" s="83"/>
    </row>
    <row r="78" spans="2:32" ht="16" customHeight="1">
      <c r="B78" s="70" t="str">
        <f>IF(ISBLANK(解答設定!B105),"",解答設定!B105)</f>
        <v/>
      </c>
      <c r="C78" s="393" t="str">
        <f t="shared" si="5"/>
        <v/>
      </c>
      <c r="D78" s="394"/>
      <c r="E78" s="395" t="str">
        <f>IF(ISBLANK(解答設定!E105),"",解答設定!E105)</f>
        <v/>
      </c>
      <c r="F78" s="396"/>
      <c r="G78" s="133" t="str">
        <f t="shared" si="4"/>
        <v/>
      </c>
      <c r="H78" s="397"/>
      <c r="I78" s="398"/>
      <c r="J78" s="399" t="str">
        <f>IFERROR(HLOOKUP(解答設定!H105,解答設定!$F$6:$AS$13,5),"")</f>
        <v/>
      </c>
      <c r="K78" s="400"/>
      <c r="L78" s="400"/>
      <c r="M78" s="400"/>
      <c r="N78" s="401"/>
      <c r="O78" s="393" t="str">
        <f>IF(ISBLANK(解答設定!R105),"",解答設定!R105)</f>
        <v/>
      </c>
      <c r="P78" s="402"/>
      <c r="Q78" s="79"/>
      <c r="R78" s="422"/>
      <c r="S78" s="422"/>
      <c r="T78" s="422"/>
      <c r="U78" s="422"/>
      <c r="V78" s="68"/>
      <c r="W78" s="420"/>
      <c r="X78" s="420"/>
      <c r="Y78" s="421"/>
      <c r="Z78" s="421"/>
      <c r="AA78" s="421"/>
      <c r="AB78" s="421"/>
      <c r="AC78" s="421"/>
      <c r="AD78" s="422"/>
      <c r="AE78" s="422"/>
      <c r="AF78" s="83"/>
    </row>
    <row r="79" spans="2:32" ht="16" customHeight="1">
      <c r="B79" s="70" t="str">
        <f>IF(ISBLANK(解答設定!B106),"",解答設定!B106)</f>
        <v/>
      </c>
      <c r="C79" s="393" t="str">
        <f t="shared" si="5"/>
        <v/>
      </c>
      <c r="D79" s="394"/>
      <c r="E79" s="395" t="str">
        <f>IF(ISBLANK(解答設定!E106),"",解答設定!E106)</f>
        <v/>
      </c>
      <c r="F79" s="396"/>
      <c r="G79" s="133" t="str">
        <f t="shared" si="4"/>
        <v/>
      </c>
      <c r="H79" s="397"/>
      <c r="I79" s="398"/>
      <c r="J79" s="399" t="str">
        <f>IFERROR(HLOOKUP(解答設定!H106,解答設定!$F$6:$AS$13,5),"")</f>
        <v/>
      </c>
      <c r="K79" s="400"/>
      <c r="L79" s="400"/>
      <c r="M79" s="400"/>
      <c r="N79" s="401"/>
      <c r="O79" s="393" t="str">
        <f>IF(ISBLANK(解答設定!R106),"",解答設定!R106)</f>
        <v/>
      </c>
      <c r="P79" s="402"/>
      <c r="Q79" s="79"/>
      <c r="R79" s="422"/>
      <c r="S79" s="422"/>
      <c r="T79" s="422"/>
      <c r="U79" s="422"/>
      <c r="V79" s="68"/>
      <c r="W79" s="420"/>
      <c r="X79" s="420"/>
      <c r="Y79" s="421"/>
      <c r="Z79" s="421"/>
      <c r="AA79" s="421"/>
      <c r="AB79" s="421"/>
      <c r="AC79" s="421"/>
      <c r="AD79" s="422"/>
      <c r="AE79" s="422"/>
      <c r="AF79" s="83"/>
    </row>
    <row r="80" spans="2:32" ht="16" customHeight="1">
      <c r="B80" s="70" t="str">
        <f>IF(ISBLANK(解答設定!B107),"",解答設定!B107)</f>
        <v/>
      </c>
      <c r="C80" s="393" t="str">
        <f t="shared" si="5"/>
        <v/>
      </c>
      <c r="D80" s="394"/>
      <c r="E80" s="395" t="str">
        <f>IF(ISBLANK(解答設定!E107),"",解答設定!E107)</f>
        <v/>
      </c>
      <c r="F80" s="396"/>
      <c r="G80" s="133" t="str">
        <f t="shared" si="4"/>
        <v/>
      </c>
      <c r="H80" s="397"/>
      <c r="I80" s="398"/>
      <c r="J80" s="399" t="str">
        <f>IFERROR(HLOOKUP(解答設定!H107,解答設定!$F$6:$AS$13,5),"")</f>
        <v/>
      </c>
      <c r="K80" s="400"/>
      <c r="L80" s="400"/>
      <c r="M80" s="400"/>
      <c r="N80" s="401"/>
      <c r="O80" s="393" t="str">
        <f>IF(ISBLANK(解答設定!R107),"",解答設定!R107)</f>
        <v/>
      </c>
      <c r="P80" s="402"/>
      <c r="Q80" s="79"/>
      <c r="R80" s="422"/>
      <c r="S80" s="422"/>
      <c r="T80" s="422"/>
      <c r="U80" s="422"/>
      <c r="V80" s="68"/>
      <c r="W80" s="420"/>
      <c r="X80" s="420"/>
      <c r="Y80" s="421"/>
      <c r="Z80" s="421"/>
      <c r="AA80" s="421"/>
      <c r="AB80" s="421"/>
      <c r="AC80" s="421"/>
      <c r="AD80" s="422"/>
      <c r="AE80" s="422"/>
      <c r="AF80" s="83"/>
    </row>
    <row r="81" spans="2:32" ht="16" customHeight="1">
      <c r="B81" s="70" t="str">
        <f>IF(ISBLANK(解答設定!B108),"",解答設定!B108)</f>
        <v/>
      </c>
      <c r="C81" s="393" t="str">
        <f t="shared" si="5"/>
        <v/>
      </c>
      <c r="D81" s="394"/>
      <c r="E81" s="395" t="str">
        <f>IF(ISBLANK(解答設定!E108),"",解答設定!E108)</f>
        <v/>
      </c>
      <c r="F81" s="396"/>
      <c r="G81" s="133" t="str">
        <f t="shared" si="4"/>
        <v/>
      </c>
      <c r="H81" s="397"/>
      <c r="I81" s="398"/>
      <c r="J81" s="399" t="str">
        <f>IFERROR(HLOOKUP(解答設定!H108,解答設定!$F$6:$AS$13,5),"")</f>
        <v/>
      </c>
      <c r="K81" s="400"/>
      <c r="L81" s="400"/>
      <c r="M81" s="400"/>
      <c r="N81" s="401"/>
      <c r="O81" s="393" t="str">
        <f>IF(ISBLANK(解答設定!R108),"",解答設定!R108)</f>
        <v/>
      </c>
      <c r="P81" s="402"/>
      <c r="Q81" s="79"/>
      <c r="R81" s="422"/>
      <c r="S81" s="422"/>
      <c r="T81" s="422"/>
      <c r="U81" s="422"/>
      <c r="V81" s="68"/>
      <c r="W81" s="420"/>
      <c r="X81" s="420"/>
      <c r="Y81" s="421"/>
      <c r="Z81" s="421"/>
      <c r="AA81" s="421"/>
      <c r="AB81" s="421"/>
      <c r="AC81" s="421"/>
      <c r="AD81" s="422"/>
      <c r="AE81" s="422"/>
      <c r="AF81" s="83"/>
    </row>
    <row r="82" spans="2:32" ht="16" customHeight="1">
      <c r="B82" s="70" t="str">
        <f>IF(ISBLANK(解答設定!B109),"",解答設定!B109)</f>
        <v/>
      </c>
      <c r="C82" s="393" t="str">
        <f t="shared" si="5"/>
        <v/>
      </c>
      <c r="D82" s="394"/>
      <c r="E82" s="395" t="str">
        <f>IF(ISBLANK(解答設定!E109),"",解答設定!E109)</f>
        <v/>
      </c>
      <c r="F82" s="396"/>
      <c r="G82" s="133" t="str">
        <f t="shared" si="4"/>
        <v/>
      </c>
      <c r="H82" s="397"/>
      <c r="I82" s="398"/>
      <c r="J82" s="399" t="str">
        <f>IFERROR(HLOOKUP(解答設定!H109,解答設定!$F$6:$AS$13,5),"")</f>
        <v/>
      </c>
      <c r="K82" s="400"/>
      <c r="L82" s="400"/>
      <c r="M82" s="400"/>
      <c r="N82" s="401"/>
      <c r="O82" s="393" t="str">
        <f>IF(ISBLANK(解答設定!R109),"",解答設定!R109)</f>
        <v/>
      </c>
      <c r="P82" s="402"/>
      <c r="Q82" s="79"/>
      <c r="R82" s="422"/>
      <c r="S82" s="422"/>
      <c r="T82" s="422"/>
      <c r="U82" s="422"/>
      <c r="V82" s="68"/>
      <c r="W82" s="420"/>
      <c r="X82" s="420"/>
      <c r="Y82" s="421"/>
      <c r="Z82" s="421"/>
      <c r="AA82" s="421"/>
      <c r="AB82" s="421"/>
      <c r="AC82" s="421"/>
      <c r="AD82" s="422"/>
      <c r="AE82" s="422"/>
      <c r="AF82" s="83"/>
    </row>
    <row r="83" spans="2:32" ht="16" customHeight="1">
      <c r="B83" s="70" t="str">
        <f>IF(ISBLANK(解答設定!B110),"",解答設定!B110)</f>
        <v/>
      </c>
      <c r="C83" s="393" t="str">
        <f t="shared" si="5"/>
        <v/>
      </c>
      <c r="D83" s="394"/>
      <c r="E83" s="395" t="str">
        <f>IF(ISBLANK(解答設定!E110),"",解答設定!E110)</f>
        <v/>
      </c>
      <c r="F83" s="396"/>
      <c r="G83" s="133" t="str">
        <f t="shared" si="4"/>
        <v/>
      </c>
      <c r="H83" s="397"/>
      <c r="I83" s="398"/>
      <c r="J83" s="399" t="str">
        <f>IFERROR(HLOOKUP(解答設定!H110,解答設定!$F$6:$AS$13,5),"")</f>
        <v/>
      </c>
      <c r="K83" s="400"/>
      <c r="L83" s="400"/>
      <c r="M83" s="400"/>
      <c r="N83" s="401"/>
      <c r="O83" s="393" t="str">
        <f>IF(ISBLANK(解答設定!R110),"",解答設定!R110)</f>
        <v/>
      </c>
      <c r="P83" s="402"/>
      <c r="Q83" s="79"/>
      <c r="R83" s="422"/>
      <c r="S83" s="422"/>
      <c r="T83" s="422"/>
      <c r="U83" s="422"/>
      <c r="V83" s="68"/>
      <c r="W83" s="420"/>
      <c r="X83" s="420"/>
      <c r="Y83" s="421"/>
      <c r="Z83" s="421"/>
      <c r="AA83" s="421"/>
      <c r="AB83" s="421"/>
      <c r="AC83" s="421"/>
      <c r="AD83" s="422"/>
      <c r="AE83" s="422"/>
      <c r="AF83" s="83"/>
    </row>
    <row r="84" spans="2:32" ht="16" customHeight="1">
      <c r="B84" s="70" t="str">
        <f>IF(ISBLANK(解答設定!B111),"",解答設定!B111)</f>
        <v/>
      </c>
      <c r="C84" s="393" t="str">
        <f t="shared" si="5"/>
        <v/>
      </c>
      <c r="D84" s="394"/>
      <c r="E84" s="395" t="str">
        <f>IF(ISBLANK(解答設定!E111),"",解答設定!E111)</f>
        <v/>
      </c>
      <c r="F84" s="396"/>
      <c r="G84" s="133" t="str">
        <f t="shared" si="4"/>
        <v/>
      </c>
      <c r="H84" s="397"/>
      <c r="I84" s="398"/>
      <c r="J84" s="399" t="str">
        <f>IFERROR(HLOOKUP(解答設定!H111,解答設定!$F$6:$AS$13,5),"")</f>
        <v/>
      </c>
      <c r="K84" s="400"/>
      <c r="L84" s="400"/>
      <c r="M84" s="400"/>
      <c r="N84" s="401"/>
      <c r="O84" s="393" t="str">
        <f>IF(ISBLANK(解答設定!R111),"",解答設定!R111)</f>
        <v/>
      </c>
      <c r="P84" s="402"/>
      <c r="Q84" s="79"/>
      <c r="R84" s="422"/>
      <c r="S84" s="422"/>
      <c r="T84" s="422"/>
      <c r="U84" s="422"/>
      <c r="V84" s="68"/>
      <c r="W84" s="420"/>
      <c r="X84" s="420"/>
      <c r="Y84" s="421"/>
      <c r="Z84" s="421"/>
      <c r="AA84" s="421"/>
      <c r="AB84" s="421"/>
      <c r="AC84" s="421"/>
      <c r="AD84" s="422"/>
      <c r="AE84" s="422"/>
      <c r="AF84" s="83"/>
    </row>
    <row r="85" spans="2:32" ht="16" customHeight="1">
      <c r="B85" s="70" t="str">
        <f>IF(ISBLANK(解答設定!B112),"",解答設定!B112)</f>
        <v/>
      </c>
      <c r="C85" s="393" t="str">
        <f t="shared" si="5"/>
        <v/>
      </c>
      <c r="D85" s="394"/>
      <c r="E85" s="395" t="str">
        <f>IF(ISBLANK(解答設定!E112),"",解答設定!E112)</f>
        <v/>
      </c>
      <c r="F85" s="396"/>
      <c r="G85" s="133" t="str">
        <f t="shared" si="4"/>
        <v/>
      </c>
      <c r="H85" s="397"/>
      <c r="I85" s="398"/>
      <c r="J85" s="399" t="str">
        <f>IFERROR(HLOOKUP(解答設定!H112,解答設定!$F$6:$AS$13,5),"")</f>
        <v/>
      </c>
      <c r="K85" s="400"/>
      <c r="L85" s="400"/>
      <c r="M85" s="400"/>
      <c r="N85" s="401"/>
      <c r="O85" s="393" t="str">
        <f>IF(ISBLANK(解答設定!R112),"",解答設定!R112)</f>
        <v/>
      </c>
      <c r="P85" s="402"/>
      <c r="Q85" s="79"/>
      <c r="R85" s="422"/>
      <c r="S85" s="422"/>
      <c r="T85" s="422"/>
      <c r="U85" s="422"/>
      <c r="V85" s="68"/>
      <c r="W85" s="420"/>
      <c r="X85" s="420"/>
      <c r="Y85" s="421"/>
      <c r="Z85" s="421"/>
      <c r="AA85" s="421"/>
      <c r="AB85" s="421"/>
      <c r="AC85" s="421"/>
      <c r="AD85" s="422"/>
      <c r="AE85" s="422"/>
      <c r="AF85" s="83"/>
    </row>
    <row r="86" spans="2:32" ht="16" customHeight="1">
      <c r="B86" s="70" t="str">
        <f>IF(ISBLANK(解答設定!B113),"",解答設定!B113)</f>
        <v/>
      </c>
      <c r="C86" s="393" t="str">
        <f t="shared" si="5"/>
        <v/>
      </c>
      <c r="D86" s="394"/>
      <c r="E86" s="395" t="str">
        <f>IF(ISBLANK(解答設定!E113),"",解答設定!E113)</f>
        <v/>
      </c>
      <c r="F86" s="396"/>
      <c r="G86" s="133" t="str">
        <f t="shared" si="4"/>
        <v/>
      </c>
      <c r="H86" s="397"/>
      <c r="I86" s="398"/>
      <c r="J86" s="399" t="str">
        <f>IFERROR(HLOOKUP(解答設定!H113,解答設定!$F$6:$AS$13,5),"")</f>
        <v/>
      </c>
      <c r="K86" s="400"/>
      <c r="L86" s="400"/>
      <c r="M86" s="400"/>
      <c r="N86" s="401"/>
      <c r="O86" s="393" t="str">
        <f>IF(ISBLANK(解答設定!R113),"",解答設定!R113)</f>
        <v/>
      </c>
      <c r="P86" s="402"/>
      <c r="Q86" s="79"/>
      <c r="R86" s="422"/>
      <c r="S86" s="422"/>
      <c r="T86" s="422"/>
      <c r="U86" s="422"/>
      <c r="V86" s="68"/>
      <c r="W86" s="420"/>
      <c r="X86" s="420"/>
      <c r="Y86" s="421"/>
      <c r="Z86" s="421"/>
      <c r="AA86" s="421"/>
      <c r="AB86" s="421"/>
      <c r="AC86" s="421"/>
      <c r="AD86" s="422"/>
      <c r="AE86" s="422"/>
      <c r="AF86" s="83"/>
    </row>
    <row r="87" spans="2:32" ht="16" customHeight="1">
      <c r="B87" s="70" t="str">
        <f>IF(ISBLANK(解答設定!B114),"",解答設定!B114)</f>
        <v/>
      </c>
      <c r="C87" s="393" t="str">
        <f t="shared" si="5"/>
        <v/>
      </c>
      <c r="D87" s="394"/>
      <c r="E87" s="395" t="str">
        <f>IF(ISBLANK(解答設定!E114),"",解答設定!E114)</f>
        <v/>
      </c>
      <c r="F87" s="396"/>
      <c r="G87" s="133" t="str">
        <f t="shared" si="4"/>
        <v/>
      </c>
      <c r="H87" s="397"/>
      <c r="I87" s="398"/>
      <c r="J87" s="399" t="str">
        <f>IFERROR(HLOOKUP(解答設定!H114,解答設定!$F$6:$AS$13,5),"")</f>
        <v/>
      </c>
      <c r="K87" s="400"/>
      <c r="L87" s="400"/>
      <c r="M87" s="400"/>
      <c r="N87" s="401"/>
      <c r="O87" s="393" t="str">
        <f>IF(ISBLANK(解答設定!R114),"",解答設定!R114)</f>
        <v/>
      </c>
      <c r="P87" s="402"/>
      <c r="Q87" s="79"/>
      <c r="R87" s="422"/>
      <c r="S87" s="422"/>
      <c r="T87" s="422"/>
      <c r="U87" s="422"/>
      <c r="V87" s="68"/>
      <c r="W87" s="420"/>
      <c r="X87" s="420"/>
      <c r="Y87" s="421"/>
      <c r="Z87" s="421"/>
      <c r="AA87" s="421"/>
      <c r="AB87" s="421"/>
      <c r="AC87" s="421"/>
      <c r="AD87" s="422"/>
      <c r="AE87" s="422"/>
      <c r="AF87" s="83"/>
    </row>
    <row r="88" spans="2:32" ht="16" customHeight="1">
      <c r="B88" s="70" t="str">
        <f>IF(ISBLANK(解答設定!B115),"",解答設定!B115)</f>
        <v/>
      </c>
      <c r="C88" s="393" t="str">
        <f t="shared" si="5"/>
        <v/>
      </c>
      <c r="D88" s="394"/>
      <c r="E88" s="395" t="str">
        <f>IF(ISBLANK(解答設定!E115),"",解答設定!E115)</f>
        <v/>
      </c>
      <c r="F88" s="396"/>
      <c r="G88" s="133" t="str">
        <f t="shared" si="4"/>
        <v/>
      </c>
      <c r="H88" s="397"/>
      <c r="I88" s="398"/>
      <c r="J88" s="399" t="str">
        <f>IFERROR(HLOOKUP(解答設定!H115,解答設定!$F$6:$AS$13,5),"")</f>
        <v/>
      </c>
      <c r="K88" s="400"/>
      <c r="L88" s="400"/>
      <c r="M88" s="400"/>
      <c r="N88" s="401"/>
      <c r="O88" s="393" t="str">
        <f>IF(ISBLANK(解答設定!R115),"",解答設定!R115)</f>
        <v/>
      </c>
      <c r="P88" s="402"/>
      <c r="Q88" s="79"/>
      <c r="R88" s="422"/>
      <c r="S88" s="422"/>
      <c r="T88" s="422"/>
      <c r="U88" s="422"/>
      <c r="V88" s="68"/>
      <c r="W88" s="420"/>
      <c r="X88" s="420"/>
      <c r="Y88" s="421"/>
      <c r="Z88" s="421"/>
      <c r="AA88" s="421"/>
      <c r="AB88" s="421"/>
      <c r="AC88" s="421"/>
      <c r="AD88" s="422"/>
      <c r="AE88" s="422"/>
      <c r="AF88" s="83"/>
    </row>
    <row r="89" spans="2:32" ht="16" customHeight="1">
      <c r="B89" s="70" t="str">
        <f>IF(ISBLANK(解答設定!B116),"",解答設定!B116)</f>
        <v/>
      </c>
      <c r="C89" s="393" t="str">
        <f t="shared" si="5"/>
        <v/>
      </c>
      <c r="D89" s="394"/>
      <c r="E89" s="395" t="str">
        <f>IF(ISBLANK(解答設定!E116),"",解答設定!E116)</f>
        <v/>
      </c>
      <c r="F89" s="396"/>
      <c r="G89" s="133" t="str">
        <f t="shared" si="4"/>
        <v/>
      </c>
      <c r="H89" s="397"/>
      <c r="I89" s="398"/>
      <c r="J89" s="399" t="str">
        <f>IFERROR(HLOOKUP(解答設定!H116,解答設定!$F$6:$AS$13,5),"")</f>
        <v/>
      </c>
      <c r="K89" s="400"/>
      <c r="L89" s="400"/>
      <c r="M89" s="400"/>
      <c r="N89" s="401"/>
      <c r="O89" s="393" t="str">
        <f>IF(ISBLANK(解答設定!R116),"",解答設定!R116)</f>
        <v/>
      </c>
      <c r="P89" s="402"/>
      <c r="Q89" s="79"/>
      <c r="R89" s="422"/>
      <c r="S89" s="422"/>
      <c r="T89" s="422"/>
      <c r="U89" s="422"/>
      <c r="V89" s="68"/>
      <c r="W89" s="420"/>
      <c r="X89" s="420"/>
      <c r="Y89" s="421"/>
      <c r="Z89" s="421"/>
      <c r="AA89" s="421"/>
      <c r="AB89" s="421"/>
      <c r="AC89" s="421"/>
      <c r="AD89" s="422"/>
      <c r="AE89" s="422"/>
      <c r="AF89" s="83"/>
    </row>
    <row r="90" spans="2:32" ht="16" customHeight="1">
      <c r="B90" s="70" t="str">
        <f>IF(ISBLANK(解答設定!B117),"",解答設定!B117)</f>
        <v/>
      </c>
      <c r="C90" s="393" t="str">
        <f t="shared" si="5"/>
        <v/>
      </c>
      <c r="D90" s="394"/>
      <c r="E90" s="395" t="str">
        <f>IF(ISBLANK(解答設定!E117),"",解答設定!E117)</f>
        <v/>
      </c>
      <c r="F90" s="396"/>
      <c r="G90" s="133" t="str">
        <f t="shared" si="4"/>
        <v/>
      </c>
      <c r="H90" s="397"/>
      <c r="I90" s="398"/>
      <c r="J90" s="399" t="str">
        <f>IFERROR(HLOOKUP(解答設定!H117,解答設定!$F$6:$AS$13,5),"")</f>
        <v/>
      </c>
      <c r="K90" s="400"/>
      <c r="L90" s="400"/>
      <c r="M90" s="400"/>
      <c r="N90" s="401"/>
      <c r="O90" s="393" t="str">
        <f>IF(ISBLANK(解答設定!R117),"",解答設定!R117)</f>
        <v/>
      </c>
      <c r="P90" s="402"/>
      <c r="Q90" s="79"/>
      <c r="R90" s="422"/>
      <c r="S90" s="422"/>
      <c r="T90" s="422"/>
      <c r="U90" s="422"/>
      <c r="V90" s="68"/>
      <c r="W90" s="420"/>
      <c r="X90" s="420"/>
      <c r="Y90" s="421"/>
      <c r="Z90" s="421"/>
      <c r="AA90" s="421"/>
      <c r="AB90" s="421"/>
      <c r="AC90" s="421"/>
      <c r="AD90" s="422"/>
      <c r="AE90" s="422"/>
      <c r="AF90" s="83"/>
    </row>
    <row r="91" spans="2:32" ht="16" customHeight="1">
      <c r="B91" s="70" t="str">
        <f>IF(ISBLANK(解答設定!B118),"",解答設定!B118)</f>
        <v/>
      </c>
      <c r="C91" s="393" t="str">
        <f t="shared" si="5"/>
        <v/>
      </c>
      <c r="D91" s="394"/>
      <c r="E91" s="395" t="str">
        <f>IF(ISBLANK(解答設定!E118),"",解答設定!E118)</f>
        <v/>
      </c>
      <c r="F91" s="396"/>
      <c r="G91" s="133" t="str">
        <f t="shared" si="4"/>
        <v/>
      </c>
      <c r="H91" s="397"/>
      <c r="I91" s="398"/>
      <c r="J91" s="399" t="str">
        <f>IFERROR(HLOOKUP(解答設定!H118,解答設定!$F$6:$AS$13,5),"")</f>
        <v/>
      </c>
      <c r="K91" s="400"/>
      <c r="L91" s="400"/>
      <c r="M91" s="400"/>
      <c r="N91" s="401"/>
      <c r="O91" s="393" t="str">
        <f>IF(ISBLANK(解答設定!R118),"",解答設定!R118)</f>
        <v/>
      </c>
      <c r="P91" s="402"/>
      <c r="Q91" s="79"/>
      <c r="R91" s="422"/>
      <c r="S91" s="422"/>
      <c r="T91" s="422"/>
      <c r="U91" s="422"/>
      <c r="V91" s="68"/>
      <c r="W91" s="420"/>
      <c r="X91" s="420"/>
      <c r="Y91" s="421"/>
      <c r="Z91" s="421"/>
      <c r="AA91" s="421"/>
      <c r="AB91" s="421"/>
      <c r="AC91" s="421"/>
      <c r="AD91" s="422"/>
      <c r="AE91" s="422"/>
      <c r="AF91" s="83"/>
    </row>
    <row r="92" spans="2:32" ht="16" customHeight="1" thickBot="1">
      <c r="B92" s="71" t="str">
        <f>IF(ISBLANK(解答設定!B119),"",解答設定!B119)</f>
        <v/>
      </c>
      <c r="C92" s="425" t="str">
        <f t="shared" si="5"/>
        <v/>
      </c>
      <c r="D92" s="430"/>
      <c r="E92" s="431" t="str">
        <f>IF(ISBLANK(解答設定!E119),"",解答設定!E119)</f>
        <v/>
      </c>
      <c r="F92" s="432"/>
      <c r="G92" s="131" t="str">
        <f>IF(C92="","",IF(C92=E92,"o","x"))</f>
        <v/>
      </c>
      <c r="H92" s="433"/>
      <c r="I92" s="434"/>
      <c r="J92" s="435" t="str">
        <f>IFERROR(HLOOKUP(解答設定!H119,解答設定!$F$6:$AS$13,5),"")</f>
        <v/>
      </c>
      <c r="K92" s="436"/>
      <c r="L92" s="436"/>
      <c r="M92" s="436"/>
      <c r="N92" s="437"/>
      <c r="O92" s="425" t="str">
        <f>IF(ISBLANK(解答設定!R119),"",解答設定!R119)</f>
        <v/>
      </c>
      <c r="P92" s="426"/>
      <c r="Q92" s="79"/>
      <c r="R92" s="422"/>
      <c r="S92" s="422"/>
      <c r="T92" s="422"/>
      <c r="U92" s="422"/>
      <c r="V92" s="68"/>
      <c r="W92" s="420"/>
      <c r="X92" s="420"/>
      <c r="Y92" s="421"/>
      <c r="Z92" s="421"/>
      <c r="AA92" s="421"/>
      <c r="AB92" s="421"/>
      <c r="AC92" s="421"/>
      <c r="AD92" s="422"/>
      <c r="AE92" s="422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</mergeCells>
  <phoneticPr fontId="14"/>
  <conditionalFormatting sqref="G23:G60">
    <cfRule type="cellIs" dxfId="6" priority="5" operator="equal">
      <formula>"x"</formula>
    </cfRule>
  </conditionalFormatting>
  <conditionalFormatting sqref="V23:V60">
    <cfRule type="cellIs" dxfId="5" priority="4" operator="equal">
      <formula>"x"</formula>
    </cfRule>
  </conditionalFormatting>
  <conditionalFormatting sqref="G62:G92">
    <cfRule type="cellIs" dxfId="4" priority="3" operator="equal">
      <formula>"x"</formula>
    </cfRule>
  </conditionalFormatting>
  <conditionalFormatting sqref="V63:V92">
    <cfRule type="cellIs" dxfId="3" priority="2" operator="equal">
      <formula>"✕"</formula>
    </cfRule>
  </conditionalFormatting>
  <conditionalFormatting sqref="V62">
    <cfRule type="cellIs" dxfId="2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M20" sqref="M20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89.25" customHeight="1" thickBot="1"/>
    <row r="2" spans="1:9" ht="25.5" customHeight="1" thickTop="1">
      <c r="B2" s="474" t="s">
        <v>11</v>
      </c>
      <c r="C2" s="474"/>
      <c r="D2" s="474"/>
      <c r="E2" s="9"/>
      <c r="F2" s="475" t="s">
        <v>7</v>
      </c>
      <c r="G2" s="475" t="s">
        <v>8</v>
      </c>
      <c r="H2" s="477" t="s">
        <v>9</v>
      </c>
      <c r="I2" s="479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76"/>
      <c r="G3" s="476"/>
      <c r="H3" s="478"/>
      <c r="I3" s="480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1" priority="1">
      <formula>LEN(TRIM(I1))=0</formula>
    </cfRule>
  </conditionalFormatting>
  <pageMargins left="0.7" right="0.7" top="0.75" bottom="0.75" header="0.3" footer="0.3"/>
  <pageSetup paperSize="9" scale="67" orientation="portrait" verticalDpi="0" r:id="rId1"/>
  <rowBreaks count="1" manualBreakCount="1">
    <brk id="31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追試者一覧作成">
                <anchor moveWithCells="1" sizeWithCells="1">
                  <from>
                    <xdr:col>1</xdr:col>
                    <xdr:colOff>596900</xdr:colOff>
                    <xdr:row>0</xdr:row>
                    <xdr:rowOff>342900</xdr:rowOff>
                  </from>
                  <to>
                    <xdr:col>3</xdr:col>
                    <xdr:colOff>927100</xdr:colOff>
                    <xdr:row>0</xdr:row>
                    <xdr:rowOff>863600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topLeftCell="B1" zoomScale="137" workbookViewId="0">
      <selection activeCell="L3" sqref="L3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481">
        <f>初期設定!$C$38</f>
        <v>0</v>
      </c>
      <c r="L1" s="481"/>
      <c r="M1" s="481">
        <f>初期設定!K38</f>
        <v>0</v>
      </c>
      <c r="N1" s="481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tr">
        <f>K1&amp;"（マーク）"</f>
        <v>0（マーク）</v>
      </c>
      <c r="L2" s="66" t="str">
        <f>K1&amp;"（記述）"</f>
        <v>0（記述）</v>
      </c>
      <c r="M2" s="66" t="str">
        <f>M1&amp;"（マーク）"</f>
        <v>0（マーク）</v>
      </c>
      <c r="N2" s="66" t="str">
        <f>M1&amp;"（記述）"</f>
        <v>0（記述）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IFERROR(ROUNDDOWN(F3/初期設定!$C$48*100,0),"")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SUMIF(採点!$DB$5:$DG$13,"*"&amp;K1&amp;"*",採点!DB14:DM14)</f>
        <v>0</v>
      </c>
      <c r="L3" s="66">
        <f ca="1">SUMIF(採点!$DH$5:$DM$13,"*"&amp;K1&amp;"*",採点!DH14:DM14)</f>
        <v>0</v>
      </c>
      <c r="M3" s="66">
        <f ca="1">SUMIF(採点!$DB$5:$DG$13,"*"&amp;M1&amp;"*",採点!DB14:DM14)</f>
        <v>0</v>
      </c>
      <c r="N3" s="66">
        <f ca="1">SUMIF(採点!$DH$5:$DM$13,"*"&amp;M1&amp;"*",採点!DH14:DM14)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IFERROR(ROUNDDOWN(F4/初期設定!$C$48*100,0),"")</f>
        <v/>
      </c>
      <c r="I4" s="42" t="str">
        <f>IF(ISBLANK(採点!DP15),"",採点!DP15)</f>
        <v/>
      </c>
      <c r="K4" s="66">
        <f ca="1">SUMIF(採点!$DB$5:$DG$13,"*"&amp;K2&amp;"*",採点!DB15:DM15)</f>
        <v>0</v>
      </c>
      <c r="L4" s="66">
        <f ca="1">SUMIF(採点!$DH$5:$DM$13,"*"&amp;K2&amp;"*",採点!DH15:DM15)</f>
        <v>0</v>
      </c>
      <c r="M4" s="66">
        <f ca="1">SUMIF(採点!$DB$5:$DG$13,"*"&amp;M2&amp;"*",採点!DB15:DM15)</f>
        <v>0</v>
      </c>
      <c r="N4" s="66">
        <f ca="1">SUMIF(採点!$DH$5:$DM$13,"*"&amp;M2&amp;"*",採点!DH15:DM15)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IFERROR(ROUNDDOWN(F5/初期設定!$C$48*100,0),"")</f>
        <v/>
      </c>
      <c r="I5" s="42" t="str">
        <f>IF(ISBLANK(採点!DP16),"",採点!DP16)</f>
        <v/>
      </c>
      <c r="K5" s="66">
        <f ca="1">SUMIF(採点!$DB$5:$DG$13,"*"&amp;K3&amp;"*",採点!DB16:DM16)</f>
        <v>0</v>
      </c>
      <c r="L5" s="66">
        <f ca="1">SUMIF(採点!$DH$5:$DM$13,"*"&amp;K3&amp;"*",採点!DH16:DM16)</f>
        <v>0</v>
      </c>
      <c r="M5" s="66">
        <f ca="1">SUMIF(採点!$DB$5:$DG$13,"*"&amp;M3&amp;"*",採点!DB16:DM16)</f>
        <v>0</v>
      </c>
      <c r="N5" s="66">
        <f ca="1">SUMIF(採点!$DH$5:$DM$13,"*"&amp;M3&amp;"*",採点!DH16:DM16)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IFERROR(ROUNDDOWN(F6/初期設定!$C$48*100,0),"")</f>
        <v/>
      </c>
      <c r="I6" s="42" t="str">
        <f>IF(ISBLANK(採点!DP17),"",採点!DP17)</f>
        <v/>
      </c>
      <c r="K6" s="66">
        <f ca="1">SUMIF(採点!$DB$5:$DG$13,"*"&amp;K4&amp;"*",採点!DB17:DM17)</f>
        <v>0</v>
      </c>
      <c r="L6" s="66">
        <f ca="1">SUMIF(採点!$DH$5:$DM$13,"*"&amp;K4&amp;"*",採点!DH17:DM17)</f>
        <v>0</v>
      </c>
      <c r="M6" s="66">
        <f ca="1">SUMIF(採点!$DB$5:$DG$13,"*"&amp;M4&amp;"*",採点!DB17:DM17)</f>
        <v>0</v>
      </c>
      <c r="N6" s="66">
        <f ca="1">SUMIF(採点!$DH$5:$DM$13,"*"&amp;M4&amp;"*",採点!DH17:DM17)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IFERROR(ROUNDDOWN(F7/初期設定!$C$48*100,0),"")</f>
        <v/>
      </c>
      <c r="I7" s="42" t="str">
        <f>IF(ISBLANK(採点!DP18),"",採点!DP18)</f>
        <v/>
      </c>
      <c r="K7" s="66">
        <f ca="1">SUMIF(採点!$DB$5:$DG$13,"*"&amp;K5&amp;"*",採点!DB18:DM18)</f>
        <v>0</v>
      </c>
      <c r="L7" s="66">
        <f ca="1">SUMIF(採点!$DH$5:$DM$13,"*"&amp;K5&amp;"*",採点!DH18:DM18)</f>
        <v>0</v>
      </c>
      <c r="M7" s="66">
        <f ca="1">SUMIF(採点!$DB$5:$DG$13,"*"&amp;M5&amp;"*",採点!DB18:DM18)</f>
        <v>0</v>
      </c>
      <c r="N7" s="66">
        <f ca="1">SUMIF(採点!$DH$5:$DM$13,"*"&amp;M5&amp;"*",採点!DH18:DM18)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IFERROR(ROUNDDOWN(F8/初期設定!$C$48*100,0),"")</f>
        <v/>
      </c>
      <c r="I8" s="42" t="str">
        <f>IF(ISBLANK(採点!DP19),"",採点!DP19)</f>
        <v/>
      </c>
      <c r="K8" s="66">
        <f ca="1">SUMIF(採点!$DB$5:$DG$13,"*"&amp;K6&amp;"*",採点!DB19:DM19)</f>
        <v>0</v>
      </c>
      <c r="L8" s="66">
        <f ca="1">SUMIF(採点!$DH$5:$DM$13,"*"&amp;K6&amp;"*",採点!DH19:DM19)</f>
        <v>0</v>
      </c>
      <c r="M8" s="66">
        <f ca="1">SUMIF(採点!$DB$5:$DG$13,"*"&amp;M6&amp;"*",採点!DB19:DM19)</f>
        <v>0</v>
      </c>
      <c r="N8" s="66">
        <f ca="1">SUMIF(採点!$DH$5:$DM$13,"*"&amp;M6&amp;"*",採点!DH19:DM19)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IFERROR(ROUNDDOWN(F9/初期設定!$C$48*100,0),"")</f>
        <v/>
      </c>
      <c r="I9" s="42" t="str">
        <f>IF(ISBLANK(採点!DP20),"",採点!DP20)</f>
        <v/>
      </c>
      <c r="K9" s="66">
        <f ca="1">SUMIF(採点!$DB$5:$DG$13,"*"&amp;K7&amp;"*",採点!DB20:DM20)</f>
        <v>0</v>
      </c>
      <c r="L9" s="66">
        <f ca="1">SUMIF(採点!$DH$5:$DM$13,"*"&amp;K7&amp;"*",採点!DH20:DM20)</f>
        <v>0</v>
      </c>
      <c r="M9" s="66">
        <f ca="1">SUMIF(採点!$DB$5:$DG$13,"*"&amp;M7&amp;"*",採点!DB20:DM20)</f>
        <v>0</v>
      </c>
      <c r="N9" s="66">
        <f ca="1">SUMIF(採点!$DH$5:$DM$13,"*"&amp;M7&amp;"*",採点!DH20:DM20)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IFERROR(ROUNDDOWN(F10/初期設定!$C$48*100,0),"")</f>
        <v/>
      </c>
      <c r="I10" s="42" t="str">
        <f>IF(ISBLANK(採点!DP21),"",採点!DP21)</f>
        <v/>
      </c>
      <c r="K10" s="66">
        <f ca="1">SUMIF(採点!$DB$5:$DG$13,"*"&amp;K8&amp;"*",採点!DB21:DM21)</f>
        <v>0</v>
      </c>
      <c r="L10" s="66">
        <f ca="1">SUMIF(採点!$DH$5:$DM$13,"*"&amp;K8&amp;"*",採点!DH21:DM21)</f>
        <v>0</v>
      </c>
      <c r="M10" s="66">
        <f ca="1">SUMIF(採点!$DB$5:$DG$13,"*"&amp;M8&amp;"*",採点!DB21:DM21)</f>
        <v>0</v>
      </c>
      <c r="N10" s="66">
        <f ca="1">SUMIF(採点!$DH$5:$DM$13,"*"&amp;M8&amp;"*",採点!DH21:DM21)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IFERROR(ROUNDDOWN(F11/初期設定!$C$48*100,0),"")</f>
        <v/>
      </c>
      <c r="I11" s="42" t="str">
        <f>IF(ISBLANK(採点!DP22),"",採点!DP22)</f>
        <v/>
      </c>
      <c r="K11" s="66">
        <f ca="1">SUMIF(採点!$DB$5:$DG$13,"*"&amp;K9&amp;"*",採点!DB22:DM22)</f>
        <v>0</v>
      </c>
      <c r="L11" s="66">
        <f ca="1">SUMIF(採点!$DH$5:$DM$13,"*"&amp;K9&amp;"*",採点!DH22:DM22)</f>
        <v>0</v>
      </c>
      <c r="M11" s="66">
        <f ca="1">SUMIF(採点!$DB$5:$DG$13,"*"&amp;M9&amp;"*",採点!DB22:DM22)</f>
        <v>0</v>
      </c>
      <c r="N11" s="66">
        <f ca="1">SUMIF(採点!$DH$5:$DM$13,"*"&amp;M9&amp;"*",採点!DH22:DM22)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IFERROR(ROUNDDOWN(F12/初期設定!$C$48*100,0),"")</f>
        <v/>
      </c>
      <c r="I12" s="42" t="str">
        <f>IF(ISBLANK(採点!DP23),"",採点!DP23)</f>
        <v/>
      </c>
      <c r="K12" s="66">
        <f ca="1">SUMIF(採点!$DB$5:$DG$13,"*"&amp;K10&amp;"*",採点!DB23:DM23)</f>
        <v>0</v>
      </c>
      <c r="L12" s="66">
        <f ca="1">SUMIF(採点!$DH$5:$DM$13,"*"&amp;K10&amp;"*",採点!DH23:DM23)</f>
        <v>0</v>
      </c>
      <c r="M12" s="66">
        <f ca="1">SUMIF(採点!$DB$5:$DG$13,"*"&amp;M10&amp;"*",採点!DB23:DM23)</f>
        <v>0</v>
      </c>
      <c r="N12" s="66">
        <f ca="1">SUMIF(採点!$DH$5:$DM$13,"*"&amp;M10&amp;"*",採点!DH23:DM23)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IFERROR(ROUNDDOWN(F13/初期設定!$C$48*100,0),"")</f>
        <v/>
      </c>
      <c r="I13" s="42" t="str">
        <f>IF(ISBLANK(採点!DP24),"",採点!DP24)</f>
        <v/>
      </c>
      <c r="K13" s="66">
        <f ca="1">SUMIF(採点!$DB$5:$DG$13,"*"&amp;K11&amp;"*",採点!DB24:DM24)</f>
        <v>0</v>
      </c>
      <c r="L13" s="66">
        <f ca="1">SUMIF(採点!$DH$5:$DM$13,"*"&amp;K11&amp;"*",採点!DH24:DM24)</f>
        <v>0</v>
      </c>
      <c r="M13" s="66">
        <f ca="1">SUMIF(採点!$DB$5:$DG$13,"*"&amp;M11&amp;"*",採点!DB24:DM24)</f>
        <v>0</v>
      </c>
      <c r="N13" s="66">
        <f ca="1">SUMIF(採点!$DH$5:$DM$13,"*"&amp;M11&amp;"*",採点!DH24:DM24)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IFERROR(ROUNDDOWN(F14/初期設定!$C$48*100,0),"")</f>
        <v/>
      </c>
      <c r="I14" s="42" t="str">
        <f>IF(ISBLANK(採点!DP25),"",採点!DP25)</f>
        <v/>
      </c>
      <c r="K14" s="66">
        <f ca="1">SUMIF(採点!$DB$5:$DG$13,"*"&amp;K12&amp;"*",採点!DB25:DM25)</f>
        <v>0</v>
      </c>
      <c r="L14" s="66">
        <f ca="1">SUMIF(採点!$DH$5:$DM$13,"*"&amp;K12&amp;"*",採点!DH25:DM25)</f>
        <v>0</v>
      </c>
      <c r="M14" s="66">
        <f ca="1">SUMIF(採点!$DB$5:$DG$13,"*"&amp;M12&amp;"*",採点!DB25:DM25)</f>
        <v>0</v>
      </c>
      <c r="N14" s="66">
        <f ca="1">SUMIF(採点!$DH$5:$DM$13,"*"&amp;M12&amp;"*",採点!DH25:DM25)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IFERROR(ROUNDDOWN(F15/初期設定!$C$48*100,0),"")</f>
        <v/>
      </c>
      <c r="I15" s="42" t="str">
        <f>IF(ISBLANK(採点!DP26),"",採点!DP26)</f>
        <v/>
      </c>
      <c r="K15" s="66">
        <f ca="1">SUMIF(採点!$DB$5:$DG$13,"*"&amp;K13&amp;"*",採点!DB26:DM26)</f>
        <v>0</v>
      </c>
      <c r="L15" s="66">
        <f ca="1">SUMIF(採点!$DH$5:$DM$13,"*"&amp;K13&amp;"*",採点!DH26:DM26)</f>
        <v>0</v>
      </c>
      <c r="M15" s="66">
        <f ca="1">SUMIF(採点!$DB$5:$DG$13,"*"&amp;M13&amp;"*",採点!DB26:DM26)</f>
        <v>0</v>
      </c>
      <c r="N15" s="66">
        <f ca="1">SUMIF(採点!$DH$5:$DM$13,"*"&amp;M13&amp;"*",採点!DH26:DM26)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IFERROR(ROUNDDOWN(F16/初期設定!$C$48*100,0),"")</f>
        <v/>
      </c>
      <c r="I16" s="42" t="str">
        <f>IF(ISBLANK(採点!DP27),"",採点!DP27)</f>
        <v/>
      </c>
      <c r="K16" s="66">
        <f ca="1">SUMIF(採点!$DB$5:$DG$13,"*"&amp;K14&amp;"*",採点!DB27:DM27)</f>
        <v>0</v>
      </c>
      <c r="L16" s="66">
        <f ca="1">SUMIF(採点!$DH$5:$DM$13,"*"&amp;K14&amp;"*",採点!DH27:DM27)</f>
        <v>0</v>
      </c>
      <c r="M16" s="66">
        <f ca="1">SUMIF(採点!$DB$5:$DG$13,"*"&amp;M14&amp;"*",採点!DB27:DM27)</f>
        <v>0</v>
      </c>
      <c r="N16" s="66">
        <f ca="1">SUMIF(採点!$DH$5:$DM$13,"*"&amp;M14&amp;"*",採点!DH27:DM27)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IFERROR(ROUNDDOWN(F17/初期設定!$C$48*100,0),"")</f>
        <v/>
      </c>
      <c r="I17" s="42" t="str">
        <f>IF(ISBLANK(採点!DP28),"",採点!DP28)</f>
        <v/>
      </c>
      <c r="K17" s="66">
        <f ca="1">SUMIF(採点!$DB$5:$DG$13,"*"&amp;K15&amp;"*",採点!DB28:DM28)</f>
        <v>0</v>
      </c>
      <c r="L17" s="66">
        <f ca="1">SUMIF(採点!$DH$5:$DM$13,"*"&amp;K15&amp;"*",採点!DH28:DM28)</f>
        <v>0</v>
      </c>
      <c r="M17" s="66">
        <f ca="1">SUMIF(採点!$DB$5:$DG$13,"*"&amp;M15&amp;"*",採点!DB28:DM28)</f>
        <v>0</v>
      </c>
      <c r="N17" s="66">
        <f ca="1">SUMIF(採点!$DH$5:$DM$13,"*"&amp;M15&amp;"*",採点!DH28:DM28)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IFERROR(ROUNDDOWN(F18/初期設定!$C$48*100,0),"")</f>
        <v/>
      </c>
      <c r="I18" s="42" t="str">
        <f>IF(ISBLANK(採点!DP29),"",採点!DP29)</f>
        <v/>
      </c>
      <c r="K18" s="66">
        <f ca="1">SUMIF(採点!$DB$5:$DG$13,"*"&amp;K16&amp;"*",採点!DB29:DM29)</f>
        <v>0</v>
      </c>
      <c r="L18" s="66">
        <f ca="1">SUMIF(採点!$DH$5:$DM$13,"*"&amp;K16&amp;"*",採点!DH29:DM29)</f>
        <v>0</v>
      </c>
      <c r="M18" s="66">
        <f ca="1">SUMIF(採点!$DB$5:$DG$13,"*"&amp;M16&amp;"*",採点!DB29:DM29)</f>
        <v>0</v>
      </c>
      <c r="N18" s="66">
        <f ca="1">SUMIF(採点!$DH$5:$DM$13,"*"&amp;M16&amp;"*",採点!DH29:DM29)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IFERROR(ROUNDDOWN(F19/初期設定!$C$48*100,0),"")</f>
        <v/>
      </c>
      <c r="I19" s="42" t="str">
        <f>IF(ISBLANK(採点!DP30),"",採点!DP30)</f>
        <v/>
      </c>
      <c r="K19" s="66">
        <f ca="1">SUMIF(採点!$DB$5:$DG$13,"*"&amp;K17&amp;"*",採点!DB30:DM30)</f>
        <v>0</v>
      </c>
      <c r="L19" s="66">
        <f ca="1">SUMIF(採点!$DH$5:$DM$13,"*"&amp;K17&amp;"*",採点!DH30:DM30)</f>
        <v>0</v>
      </c>
      <c r="M19" s="66">
        <f ca="1">SUMIF(採点!$DB$5:$DG$13,"*"&amp;M17&amp;"*",採点!DB30:DM30)</f>
        <v>0</v>
      </c>
      <c r="N19" s="66">
        <f ca="1">SUMIF(採点!$DH$5:$DM$13,"*"&amp;M17&amp;"*",採点!DH30:DM30)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IFERROR(ROUNDDOWN(F20/初期設定!$C$48*100,0),"")</f>
        <v/>
      </c>
      <c r="I20" s="42" t="str">
        <f>IF(ISBLANK(採点!DP31),"",採点!DP31)</f>
        <v/>
      </c>
      <c r="K20" s="66">
        <f ca="1">SUMIF(採点!$DB$5:$DG$13,"*"&amp;K18&amp;"*",採点!DB31:DM31)</f>
        <v>0</v>
      </c>
      <c r="L20" s="66">
        <f ca="1">SUMIF(採点!$DH$5:$DM$13,"*"&amp;K18&amp;"*",採点!DH31:DM31)</f>
        <v>0</v>
      </c>
      <c r="M20" s="66">
        <f ca="1">SUMIF(採点!$DB$5:$DG$13,"*"&amp;M18&amp;"*",採点!DB31:DM31)</f>
        <v>0</v>
      </c>
      <c r="N20" s="66">
        <f ca="1">SUMIF(採点!$DH$5:$DM$13,"*"&amp;M18&amp;"*",採点!DH31:DM31)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IFERROR(ROUNDDOWN(F21/初期設定!$C$48*100,0),"")</f>
        <v/>
      </c>
      <c r="I21" s="42" t="str">
        <f>IF(ISBLANK(採点!DP32),"",採点!DP32)</f>
        <v/>
      </c>
      <c r="K21" s="66">
        <f ca="1">SUMIF(採点!$DB$5:$DG$13,"*"&amp;K19&amp;"*",採点!DB32:DM32)</f>
        <v>0</v>
      </c>
      <c r="L21" s="66">
        <f ca="1">SUMIF(採点!$DH$5:$DM$13,"*"&amp;K19&amp;"*",採点!DH32:DM32)</f>
        <v>0</v>
      </c>
      <c r="M21" s="66">
        <f ca="1">SUMIF(採点!$DB$5:$DG$13,"*"&amp;M19&amp;"*",採点!DB32:DM32)</f>
        <v>0</v>
      </c>
      <c r="N21" s="66">
        <f ca="1">SUMIF(採点!$DH$5:$DM$13,"*"&amp;M19&amp;"*",採点!DH32:DM32)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IFERROR(ROUNDDOWN(F22/初期設定!$C$48*100,0),"")</f>
        <v/>
      </c>
      <c r="I22" s="42" t="str">
        <f>IF(ISBLANK(採点!DP33),"",採点!DP33)</f>
        <v/>
      </c>
      <c r="K22" s="66">
        <f ca="1">SUMIF(採点!$DB$5:$DG$13,"*"&amp;K20&amp;"*",採点!DB33:DM33)</f>
        <v>0</v>
      </c>
      <c r="L22" s="66">
        <f ca="1">SUMIF(採点!$DH$5:$DM$13,"*"&amp;K20&amp;"*",採点!DH33:DM33)</f>
        <v>0</v>
      </c>
      <c r="M22" s="66">
        <f ca="1">SUMIF(採点!$DB$5:$DG$13,"*"&amp;M20&amp;"*",採点!DB33:DM33)</f>
        <v>0</v>
      </c>
      <c r="N22" s="66">
        <f ca="1">SUMIF(採点!$DH$5:$DM$13,"*"&amp;M20&amp;"*",採点!DH33:DM33)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IFERROR(ROUNDDOWN(F23/初期設定!$C$48*100,0),"")</f>
        <v/>
      </c>
      <c r="I23" s="42" t="str">
        <f>IF(ISBLANK(採点!DP34),"",採点!DP34)</f>
        <v/>
      </c>
      <c r="K23" s="66">
        <f ca="1">SUMIF(採点!$DB$5:$DG$13,"*"&amp;K21&amp;"*",採点!DB34:DM34)</f>
        <v>0</v>
      </c>
      <c r="L23" s="66">
        <f ca="1">SUMIF(採点!$DH$5:$DM$13,"*"&amp;K21&amp;"*",採点!DH34:DM34)</f>
        <v>0</v>
      </c>
      <c r="M23" s="66">
        <f ca="1">SUMIF(採点!$DB$5:$DG$13,"*"&amp;M21&amp;"*",採点!DB34:DM34)</f>
        <v>0</v>
      </c>
      <c r="N23" s="66">
        <f ca="1">SUMIF(採点!$DH$5:$DM$13,"*"&amp;M21&amp;"*",採点!DH34:DM34)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IFERROR(ROUNDDOWN(F24/初期設定!$C$48*100,0),"")</f>
        <v/>
      </c>
      <c r="I24" s="42" t="str">
        <f>IF(ISBLANK(採点!DP35),"",採点!DP35)</f>
        <v/>
      </c>
      <c r="K24" s="66">
        <f ca="1">SUMIF(採点!$DB$5:$DG$13,"*"&amp;K22&amp;"*",採点!DB35:DM35)</f>
        <v>0</v>
      </c>
      <c r="L24" s="66">
        <f ca="1">SUMIF(採点!$DH$5:$DM$13,"*"&amp;K22&amp;"*",採点!DH35:DM35)</f>
        <v>0</v>
      </c>
      <c r="M24" s="66">
        <f ca="1">SUMIF(採点!$DB$5:$DG$13,"*"&amp;M22&amp;"*",採点!DB35:DM35)</f>
        <v>0</v>
      </c>
      <c r="N24" s="66">
        <f ca="1">SUMIF(採点!$DH$5:$DM$13,"*"&amp;M22&amp;"*",採点!DH35:DM35)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IFERROR(ROUNDDOWN(F25/初期設定!$C$48*100,0),"")</f>
        <v/>
      </c>
      <c r="I25" s="42" t="str">
        <f>IF(ISBLANK(採点!DP36),"",採点!DP36)</f>
        <v/>
      </c>
      <c r="K25" s="66">
        <f ca="1">SUMIF(採点!$DB$5:$DG$13,"*"&amp;K23&amp;"*",採点!DB36:DM36)</f>
        <v>0</v>
      </c>
      <c r="L25" s="66">
        <f ca="1">SUMIF(採点!$DH$5:$DM$13,"*"&amp;K23&amp;"*",採点!DH36:DM36)</f>
        <v>0</v>
      </c>
      <c r="M25" s="66">
        <f ca="1">SUMIF(採点!$DB$5:$DG$13,"*"&amp;M23&amp;"*",採点!DB36:DM36)</f>
        <v>0</v>
      </c>
      <c r="N25" s="66">
        <f ca="1">SUMIF(採点!$DH$5:$DM$13,"*"&amp;M23&amp;"*",採点!DH36:DM36)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IFERROR(ROUNDDOWN(F26/初期設定!$C$48*100,0),"")</f>
        <v/>
      </c>
      <c r="I26" s="42" t="str">
        <f>IF(ISBLANK(採点!DP37),"",採点!DP37)</f>
        <v/>
      </c>
      <c r="K26" s="66">
        <f ca="1">SUMIF(採点!$DB$5:$DG$13,"*"&amp;K24&amp;"*",採点!DB37:DM37)</f>
        <v>0</v>
      </c>
      <c r="L26" s="66">
        <f ca="1">SUMIF(採点!$DH$5:$DM$13,"*"&amp;K24&amp;"*",採点!DH37:DM37)</f>
        <v>0</v>
      </c>
      <c r="M26" s="66">
        <f ca="1">SUMIF(採点!$DB$5:$DG$13,"*"&amp;M24&amp;"*",採点!DB37:DM37)</f>
        <v>0</v>
      </c>
      <c r="N26" s="66">
        <f ca="1">SUMIF(採点!$DH$5:$DM$13,"*"&amp;M24&amp;"*",採点!DH37:DM37)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IFERROR(ROUNDDOWN(F27/初期設定!$C$48*100,0),"")</f>
        <v/>
      </c>
      <c r="I27" s="42" t="str">
        <f>IF(ISBLANK(採点!DP38),"",採点!DP38)</f>
        <v/>
      </c>
      <c r="K27" s="66">
        <f ca="1">SUMIF(採点!$DB$5:$DG$13,"*"&amp;K25&amp;"*",採点!DB38:DM38)</f>
        <v>0</v>
      </c>
      <c r="L27" s="66">
        <f ca="1">SUMIF(採点!$DH$5:$DM$13,"*"&amp;K25&amp;"*",採点!DH38:DM38)</f>
        <v>0</v>
      </c>
      <c r="M27" s="66">
        <f ca="1">SUMIF(採点!$DB$5:$DG$13,"*"&amp;M25&amp;"*",採点!DB38:DM38)</f>
        <v>0</v>
      </c>
      <c r="N27" s="66">
        <f ca="1">SUMIF(採点!$DH$5:$DM$13,"*"&amp;M25&amp;"*",採点!DH38:DM38)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IFERROR(ROUNDDOWN(F28/初期設定!$C$48*100,0),"")</f>
        <v/>
      </c>
      <c r="I28" s="42" t="str">
        <f>IF(ISBLANK(採点!DP39),"",採点!DP39)</f>
        <v/>
      </c>
      <c r="K28" s="66">
        <f ca="1">SUMIF(採点!$DB$5:$DG$13,"*"&amp;K26&amp;"*",採点!DB39:DM39)</f>
        <v>0</v>
      </c>
      <c r="L28" s="66">
        <f ca="1">SUMIF(採点!$DH$5:$DM$13,"*"&amp;K26&amp;"*",採点!DH39:DM39)</f>
        <v>0</v>
      </c>
      <c r="M28" s="66">
        <f ca="1">SUMIF(採点!$DB$5:$DG$13,"*"&amp;M26&amp;"*",採点!DB39:DM39)</f>
        <v>0</v>
      </c>
      <c r="N28" s="66">
        <f ca="1">SUMIF(採点!$DH$5:$DM$13,"*"&amp;M26&amp;"*",採点!DH39:DM39)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IFERROR(ROUNDDOWN(F29/初期設定!$C$48*100,0),"")</f>
        <v/>
      </c>
      <c r="I29" s="42" t="str">
        <f>IF(ISBLANK(採点!DP40),"",採点!DP40)</f>
        <v/>
      </c>
      <c r="K29" s="66">
        <f ca="1">SUMIF(採点!$DB$5:$DG$13,"*"&amp;K27&amp;"*",採点!DB40:DM40)</f>
        <v>0</v>
      </c>
      <c r="L29" s="66">
        <f ca="1">SUMIF(採点!$DH$5:$DM$13,"*"&amp;K27&amp;"*",採点!DH40:DM40)</f>
        <v>0</v>
      </c>
      <c r="M29" s="66">
        <f ca="1">SUMIF(採点!$DB$5:$DG$13,"*"&amp;M27&amp;"*",採点!DB40:DM40)</f>
        <v>0</v>
      </c>
      <c r="N29" s="66">
        <f ca="1">SUMIF(採点!$DH$5:$DM$13,"*"&amp;M27&amp;"*",採点!DH40:DM40)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IFERROR(ROUNDDOWN(F30/初期設定!$C$48*100,0),"")</f>
        <v/>
      </c>
      <c r="I30" s="42" t="str">
        <f>IF(ISBLANK(採点!DP41),"",採点!DP41)</f>
        <v/>
      </c>
      <c r="K30" s="66">
        <f ca="1">SUMIF(採点!$DB$5:$DG$13,"*"&amp;K28&amp;"*",採点!DB41:DM41)</f>
        <v>0</v>
      </c>
      <c r="L30" s="66">
        <f ca="1">SUMIF(採点!$DH$5:$DM$13,"*"&amp;K28&amp;"*",採点!DH41:DM41)</f>
        <v>0</v>
      </c>
      <c r="M30" s="66">
        <f ca="1">SUMIF(採点!$DB$5:$DG$13,"*"&amp;M28&amp;"*",採点!DB41:DM41)</f>
        <v>0</v>
      </c>
      <c r="N30" s="66">
        <f ca="1">SUMIF(採点!$DH$5:$DM$13,"*"&amp;M28&amp;"*",採点!DH41:DM41)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IFERROR(ROUNDDOWN(F31/初期設定!$C$48*100,0),"")</f>
        <v/>
      </c>
      <c r="I31" s="42" t="str">
        <f>IF(ISBLANK(採点!DP42),"",採点!DP42)</f>
        <v/>
      </c>
      <c r="K31" s="66">
        <f ca="1">SUMIF(採点!$DB$5:$DG$13,"*"&amp;K29&amp;"*",採点!DB42:DM42)</f>
        <v>0</v>
      </c>
      <c r="L31" s="66">
        <f ca="1">SUMIF(採点!$DH$5:$DM$13,"*"&amp;K29&amp;"*",採点!DH42:DM42)</f>
        <v>0</v>
      </c>
      <c r="M31" s="66">
        <f ca="1">SUMIF(採点!$DB$5:$DG$13,"*"&amp;M29&amp;"*",採点!DB42:DM42)</f>
        <v>0</v>
      </c>
      <c r="N31" s="66">
        <f ca="1">SUMIF(採点!$DH$5:$DM$13,"*"&amp;M29&amp;"*",採点!DH42:DM42)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IFERROR(ROUNDDOWN(F32/初期設定!$C$48*100,0),"")</f>
        <v/>
      </c>
      <c r="I32" s="42" t="str">
        <f>IF(ISBLANK(採点!DP43),"",採点!DP43)</f>
        <v/>
      </c>
      <c r="K32" s="66">
        <f ca="1">SUMIF(採点!$DB$5:$DG$13,"*"&amp;K30&amp;"*",採点!DB43:DM43)</f>
        <v>0</v>
      </c>
      <c r="L32" s="66">
        <f ca="1">SUMIF(採点!$DH$5:$DM$13,"*"&amp;K30&amp;"*",採点!DH43:DM43)</f>
        <v>0</v>
      </c>
      <c r="M32" s="66">
        <f ca="1">SUMIF(採点!$DB$5:$DG$13,"*"&amp;M30&amp;"*",採点!DB43:DM43)</f>
        <v>0</v>
      </c>
      <c r="N32" s="66">
        <f ca="1">SUMIF(採点!$DH$5:$DM$13,"*"&amp;M30&amp;"*",採点!DH43:DM43)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IFERROR(ROUNDDOWN(F33/初期設定!$C$48*100,0),"")</f>
        <v/>
      </c>
      <c r="I33" s="42" t="str">
        <f>IF(ISBLANK(採点!DP44),"",採点!DP44)</f>
        <v/>
      </c>
      <c r="K33" s="66">
        <f ca="1">SUMIF(採点!$DB$5:$DG$13,"*"&amp;K31&amp;"*",採点!DB44:DM44)</f>
        <v>0</v>
      </c>
      <c r="L33" s="66">
        <f ca="1">SUMIF(採点!$DH$5:$DM$13,"*"&amp;K31&amp;"*",採点!DH44:DM44)</f>
        <v>0</v>
      </c>
      <c r="M33" s="66">
        <f ca="1">SUMIF(採点!$DB$5:$DG$13,"*"&amp;M31&amp;"*",採点!DB44:DM44)</f>
        <v>0</v>
      </c>
      <c r="N33" s="66">
        <f ca="1">SUMIF(採点!$DH$5:$DM$13,"*"&amp;M31&amp;"*",採点!DH44:DM44)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IFERROR(ROUNDDOWN(F34/初期設定!$C$48*100,0),"")</f>
        <v/>
      </c>
      <c r="I34" s="42" t="str">
        <f>IF(ISBLANK(採点!DP45),"",採点!DP45)</f>
        <v/>
      </c>
      <c r="K34" s="66">
        <f ca="1">SUMIF(採点!$DB$5:$DG$13,"*"&amp;K32&amp;"*",採点!DB45:DM45)</f>
        <v>0</v>
      </c>
      <c r="L34" s="66">
        <f ca="1">SUMIF(採点!$DH$5:$DM$13,"*"&amp;K32&amp;"*",採点!DH45:DM45)</f>
        <v>0</v>
      </c>
      <c r="M34" s="66">
        <f ca="1">SUMIF(採点!$DB$5:$DG$13,"*"&amp;M32&amp;"*",採点!DB45:DM45)</f>
        <v>0</v>
      </c>
      <c r="N34" s="66">
        <f ca="1">SUMIF(採点!$DH$5:$DM$13,"*"&amp;M32&amp;"*",採点!DH45:DM45)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IFERROR(ROUNDDOWN(F35/初期設定!$C$48*100,0),"")</f>
        <v/>
      </c>
      <c r="I35" s="42" t="str">
        <f>IF(ISBLANK(採点!DP46),"",採点!DP46)</f>
        <v/>
      </c>
      <c r="K35" s="66">
        <f ca="1">SUMIF(採点!$DB$5:$DG$13,"*"&amp;K33&amp;"*",採点!DB46:DM46)</f>
        <v>0</v>
      </c>
      <c r="L35" s="66">
        <f ca="1">SUMIF(採点!$DH$5:$DM$13,"*"&amp;K33&amp;"*",採点!DH46:DM46)</f>
        <v>0</v>
      </c>
      <c r="M35" s="66">
        <f ca="1">SUMIF(採点!$DB$5:$DG$13,"*"&amp;M33&amp;"*",採点!DB46:DM46)</f>
        <v>0</v>
      </c>
      <c r="N35" s="66">
        <f ca="1">SUMIF(採点!$DH$5:$DM$13,"*"&amp;M33&amp;"*",採点!DH46:DM46)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IFERROR(ROUNDDOWN(F36/初期設定!$C$48*100,0),"")</f>
        <v/>
      </c>
      <c r="I36" s="42" t="str">
        <f>IF(ISBLANK(採点!DP47),"",採点!DP47)</f>
        <v/>
      </c>
      <c r="K36" s="66">
        <f ca="1">SUMIF(採点!$DB$5:$DG$13,"*"&amp;K34&amp;"*",採点!DB47:DM47)</f>
        <v>0</v>
      </c>
      <c r="L36" s="66">
        <f ca="1">SUMIF(採点!$DH$5:$DM$13,"*"&amp;K34&amp;"*",採点!DH47:DM47)</f>
        <v>0</v>
      </c>
      <c r="M36" s="66">
        <f ca="1">SUMIF(採点!$DB$5:$DG$13,"*"&amp;M34&amp;"*",採点!DB47:DM47)</f>
        <v>0</v>
      </c>
      <c r="N36" s="66">
        <f ca="1">SUMIF(採点!$DH$5:$DM$13,"*"&amp;M34&amp;"*",採点!DH47:DM47)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IFERROR(ROUNDDOWN(F37/初期設定!$C$48*100,0),"")</f>
        <v/>
      </c>
      <c r="I37" s="42" t="str">
        <f>IF(ISBLANK(採点!DP48),"",採点!DP48)</f>
        <v/>
      </c>
      <c r="K37" s="66">
        <f ca="1">SUMIF(採点!$DB$5:$DG$13,"*"&amp;K35&amp;"*",採点!DB48:DM48)</f>
        <v>0</v>
      </c>
      <c r="L37" s="66">
        <f ca="1">SUMIF(採点!$DH$5:$DM$13,"*"&amp;K35&amp;"*",採点!DH48:DM48)</f>
        <v>0</v>
      </c>
      <c r="M37" s="66">
        <f ca="1">SUMIF(採点!$DB$5:$DG$13,"*"&amp;M35&amp;"*",採点!DB48:DM48)</f>
        <v>0</v>
      </c>
      <c r="N37" s="66">
        <f ca="1">SUMIF(採点!$DH$5:$DM$13,"*"&amp;M35&amp;"*",採点!DH48:DM48)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IFERROR(ROUNDDOWN(F38/初期設定!$C$48*100,0),"")</f>
        <v/>
      </c>
      <c r="I38" s="42" t="str">
        <f>IF(ISBLANK(採点!DP49),"",採点!DP49)</f>
        <v/>
      </c>
      <c r="K38" s="66">
        <f ca="1">SUMIF(採点!$DB$5:$DG$13,"*"&amp;K36&amp;"*",採点!DB49:DM49)</f>
        <v>0</v>
      </c>
      <c r="L38" s="66">
        <f ca="1">SUMIF(採点!$DH$5:$DM$13,"*"&amp;K36&amp;"*",採点!DH49:DM49)</f>
        <v>0</v>
      </c>
      <c r="M38" s="66">
        <f ca="1">SUMIF(採点!$DB$5:$DG$13,"*"&amp;M36&amp;"*",採点!DB49:DM49)</f>
        <v>0</v>
      </c>
      <c r="N38" s="66">
        <f ca="1">SUMIF(採点!$DH$5:$DM$13,"*"&amp;M36&amp;"*",採点!DH49:DM49)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IFERROR(ROUNDDOWN(F39/初期設定!$C$48*100,0),"")</f>
        <v/>
      </c>
      <c r="I39" s="42" t="str">
        <f>IF(ISBLANK(採点!DP50),"",採点!DP50)</f>
        <v/>
      </c>
      <c r="K39" s="66">
        <f ca="1">SUMIF(採点!$DB$5:$DG$13,"*"&amp;K37&amp;"*",採点!DB50:DM50)</f>
        <v>0</v>
      </c>
      <c r="L39" s="66">
        <f ca="1">SUMIF(採点!$DH$5:$DM$13,"*"&amp;K37&amp;"*",採点!DH50:DM50)</f>
        <v>0</v>
      </c>
      <c r="M39" s="66">
        <f ca="1">SUMIF(採点!$DB$5:$DG$13,"*"&amp;M37&amp;"*",採点!DB50:DM50)</f>
        <v>0</v>
      </c>
      <c r="N39" s="66">
        <f ca="1">SUMIF(採点!$DH$5:$DM$13,"*"&amp;M37&amp;"*",採点!DH50:DM50)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IFERROR(ROUNDDOWN(F40/初期設定!$C$48*100,0),"")</f>
        <v/>
      </c>
      <c r="I40" s="42" t="str">
        <f>IF(ISBLANK(採点!DP51),"",採点!DP51)</f>
        <v/>
      </c>
      <c r="K40" s="66">
        <f ca="1">SUMIF(採点!$DB$5:$DG$13,"*"&amp;K38&amp;"*",採点!DB51:DM51)</f>
        <v>0</v>
      </c>
      <c r="L40" s="66">
        <f ca="1">SUMIF(採点!$DH$5:$DM$13,"*"&amp;K38&amp;"*",採点!DH51:DM51)</f>
        <v>0</v>
      </c>
      <c r="M40" s="66">
        <f ca="1">SUMIF(採点!$DB$5:$DG$13,"*"&amp;M38&amp;"*",採点!DB51:DM51)</f>
        <v>0</v>
      </c>
      <c r="N40" s="66">
        <f ca="1">SUMIF(採点!$DH$5:$DM$13,"*"&amp;M38&amp;"*",採点!DH51:DM51)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IFERROR(ROUNDDOWN(F41/初期設定!$C$48*100,0),"")</f>
        <v/>
      </c>
      <c r="I41" s="42" t="str">
        <f>IF(ISBLANK(採点!DP52),"",採点!DP52)</f>
        <v/>
      </c>
      <c r="K41" s="66">
        <f ca="1">SUMIF(採点!$DB$5:$DG$13,"*"&amp;K39&amp;"*",採点!DB52:DM52)</f>
        <v>0</v>
      </c>
      <c r="L41" s="66">
        <f ca="1">SUMIF(採点!$DH$5:$DM$13,"*"&amp;K39&amp;"*",採点!DH52:DM52)</f>
        <v>0</v>
      </c>
      <c r="M41" s="66">
        <f ca="1">SUMIF(採点!$DB$5:$DG$13,"*"&amp;M39&amp;"*",採点!DB52:DM52)</f>
        <v>0</v>
      </c>
      <c r="N41" s="66">
        <f ca="1">SUMIF(採点!$DH$5:$DM$13,"*"&amp;M39&amp;"*",採点!DH52:DM52)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IFERROR(ROUNDDOWN(F42/初期設定!$C$48*100,0),"")</f>
        <v/>
      </c>
      <c r="I42" s="42" t="str">
        <f>IF(ISBLANK(採点!DP53),"",採点!DP53)</f>
        <v/>
      </c>
      <c r="K42" s="66">
        <f ca="1">SUMIF(採点!$DB$5:$DG$13,"*"&amp;K40&amp;"*",採点!DB53:DM53)</f>
        <v>0</v>
      </c>
      <c r="L42" s="66">
        <f ca="1">SUMIF(採点!$DH$5:$DM$13,"*"&amp;K40&amp;"*",採点!DH53:DM53)</f>
        <v>0</v>
      </c>
      <c r="M42" s="66">
        <f ca="1">SUMIF(採点!$DB$5:$DG$13,"*"&amp;M40&amp;"*",採点!DB53:DM53)</f>
        <v>0</v>
      </c>
      <c r="N42" s="66">
        <f ca="1">SUMIF(採点!$DH$5:$DM$13,"*"&amp;M40&amp;"*",採点!DH53:DM53)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IFERROR(ROUNDDOWN(F43/初期設定!$C$48*100,0),"")</f>
        <v/>
      </c>
      <c r="I43" s="42" t="str">
        <f>IF(ISBLANK(採点!DP54),"",採点!DP54)</f>
        <v/>
      </c>
      <c r="K43" s="66">
        <f ca="1">SUMIF(採点!$DB$5:$DG$13,"*"&amp;K41&amp;"*",採点!DB54:DM54)</f>
        <v>0</v>
      </c>
      <c r="L43" s="66">
        <f ca="1">SUMIF(採点!$DH$5:$DM$13,"*"&amp;K41&amp;"*",採点!DH54:DM54)</f>
        <v>0</v>
      </c>
      <c r="M43" s="66">
        <f ca="1">SUMIF(採点!$DB$5:$DG$13,"*"&amp;M41&amp;"*",採点!DB54:DM54)</f>
        <v>0</v>
      </c>
      <c r="N43" s="66">
        <f ca="1">SUMIF(採点!$DH$5:$DM$13,"*"&amp;M41&amp;"*",採点!DH54:DM54)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IFERROR(ROUNDDOWN(F44/初期設定!$C$48*100,0),"")</f>
        <v/>
      </c>
      <c r="I44" s="42" t="str">
        <f>IF(ISBLANK(採点!DP55),"",採点!DP55)</f>
        <v/>
      </c>
      <c r="K44" s="66">
        <f ca="1">SUMIF(採点!$DB$5:$DG$13,"*"&amp;K42&amp;"*",採点!DB55:DM55)</f>
        <v>0</v>
      </c>
      <c r="L44" s="66">
        <f ca="1">SUMIF(採点!$DH$5:$DM$13,"*"&amp;K42&amp;"*",採点!DH55:DM55)</f>
        <v>0</v>
      </c>
      <c r="M44" s="66">
        <f ca="1">SUMIF(採点!$DB$5:$DG$13,"*"&amp;M42&amp;"*",採点!DB55:DM55)</f>
        <v>0</v>
      </c>
      <c r="N44" s="66">
        <f ca="1">SUMIF(採点!$DH$5:$DM$13,"*"&amp;M42&amp;"*",採点!DH55:DM55)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IFERROR(ROUNDDOWN(F45/初期設定!$C$48*100,0),"")</f>
        <v/>
      </c>
      <c r="I45" s="42" t="str">
        <f>IF(ISBLANK(採点!DP56),"",採点!DP56)</f>
        <v/>
      </c>
      <c r="K45" s="66">
        <f ca="1">SUMIF(採点!$DB$5:$DG$13,"*"&amp;K43&amp;"*",採点!DB56:DM56)</f>
        <v>0</v>
      </c>
      <c r="L45" s="66">
        <f ca="1">SUMIF(採点!$DH$5:$DM$13,"*"&amp;K43&amp;"*",採点!DH56:DM56)</f>
        <v>0</v>
      </c>
      <c r="M45" s="66">
        <f ca="1">SUMIF(採点!$DB$5:$DG$13,"*"&amp;M43&amp;"*",採点!DB56:DM56)</f>
        <v>0</v>
      </c>
      <c r="N45" s="66">
        <f ca="1">SUMIF(採点!$DH$5:$DM$13,"*"&amp;M43&amp;"*",採点!DH56:DM56)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IFERROR(ROUNDDOWN(F46/初期設定!$C$48*100,0),"")</f>
        <v/>
      </c>
      <c r="I46" s="42" t="str">
        <f>IF(ISBLANK(採点!DP57),"",採点!DP57)</f>
        <v/>
      </c>
      <c r="K46" s="66">
        <f ca="1">SUMIF(採点!$DB$5:$DG$13,"*"&amp;K44&amp;"*",採点!DB57:DM57)</f>
        <v>0</v>
      </c>
      <c r="L46" s="66">
        <f ca="1">SUMIF(採点!$DH$5:$DM$13,"*"&amp;K44&amp;"*",採点!DH57:DM57)</f>
        <v>0</v>
      </c>
      <c r="M46" s="66">
        <f ca="1">SUMIF(採点!$DB$5:$DG$13,"*"&amp;M44&amp;"*",採点!DB57:DM57)</f>
        <v>0</v>
      </c>
      <c r="N46" s="66">
        <f ca="1">SUMIF(採点!$DH$5:$DM$13,"*"&amp;M44&amp;"*",採点!DH57:DM57)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IFERROR(ROUNDDOWN(F47/初期設定!$C$48*100,0),"")</f>
        <v/>
      </c>
      <c r="I47" s="42" t="str">
        <f>IF(ISBLANK(採点!DP58),"",採点!DP58)</f>
        <v/>
      </c>
      <c r="K47" s="66">
        <f ca="1">SUMIF(採点!$DB$5:$DG$13,"*"&amp;K45&amp;"*",採点!DB58:DM58)</f>
        <v>0</v>
      </c>
      <c r="L47" s="66">
        <f ca="1">SUMIF(採点!$DH$5:$DM$13,"*"&amp;K45&amp;"*",採点!DH58:DM58)</f>
        <v>0</v>
      </c>
      <c r="M47" s="66">
        <f ca="1">SUMIF(採点!$DB$5:$DG$13,"*"&amp;M45&amp;"*",採点!DB58:DM58)</f>
        <v>0</v>
      </c>
      <c r="N47" s="66">
        <f ca="1">SUMIF(採点!$DH$5:$DM$13,"*"&amp;M45&amp;"*",採点!DH58:DM58)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IFERROR(ROUNDDOWN(F48/初期設定!$C$48*100,0),"")</f>
        <v/>
      </c>
      <c r="I48" s="42" t="str">
        <f>IF(ISBLANK(採点!DP59),"",採点!DP59)</f>
        <v/>
      </c>
      <c r="K48" s="66">
        <f ca="1">SUMIF(採点!$DB$5:$DG$13,"*"&amp;K46&amp;"*",採点!DB59:DM59)</f>
        <v>0</v>
      </c>
      <c r="L48" s="66">
        <f ca="1">SUMIF(採点!$DH$5:$DM$13,"*"&amp;K46&amp;"*",採点!DH59:DM59)</f>
        <v>0</v>
      </c>
      <c r="M48" s="66">
        <f ca="1">SUMIF(採点!$DB$5:$DG$13,"*"&amp;M46&amp;"*",採点!DB59:DM59)</f>
        <v>0</v>
      </c>
      <c r="N48" s="66">
        <f ca="1">SUMIF(採点!$DH$5:$DM$13,"*"&amp;M46&amp;"*",採点!DH59:DM59)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IFERROR(ROUNDDOWN(F49/初期設定!$C$48*100,0),"")</f>
        <v/>
      </c>
      <c r="I49" s="42" t="str">
        <f>IF(ISBLANK(採点!DP60),"",採点!DP60)</f>
        <v/>
      </c>
      <c r="K49" s="66">
        <f ca="1">SUMIF(採点!$DB$5:$DG$13,"*"&amp;K47&amp;"*",採点!DB60:DM60)</f>
        <v>0</v>
      </c>
      <c r="L49" s="66">
        <f ca="1">SUMIF(採点!$DH$5:$DM$13,"*"&amp;K47&amp;"*",採点!DH60:DM60)</f>
        <v>0</v>
      </c>
      <c r="M49" s="66">
        <f ca="1">SUMIF(採点!$DB$5:$DG$13,"*"&amp;M47&amp;"*",採点!DB60:DM60)</f>
        <v>0</v>
      </c>
      <c r="N49" s="66">
        <f ca="1">SUMIF(採点!$DH$5:$DM$13,"*"&amp;M47&amp;"*",採点!DH60:DM60)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IFERROR(ROUNDDOWN(F50/初期設定!$C$48*100,0),"")</f>
        <v/>
      </c>
      <c r="I50" s="42" t="str">
        <f>IF(ISBLANK(採点!DP61),"",採点!DP61)</f>
        <v/>
      </c>
      <c r="K50" s="66">
        <f ca="1">SUMIF(採点!$DB$5:$DG$13,"*"&amp;K48&amp;"*",採点!DB61:DM61)</f>
        <v>0</v>
      </c>
      <c r="L50" s="66">
        <f ca="1">SUMIF(採点!$DH$5:$DM$13,"*"&amp;K48&amp;"*",採点!DH61:DM61)</f>
        <v>0</v>
      </c>
      <c r="M50" s="66">
        <f ca="1">SUMIF(採点!$DB$5:$DG$13,"*"&amp;M48&amp;"*",採点!DB61:DM61)</f>
        <v>0</v>
      </c>
      <c r="N50" s="66">
        <f ca="1">SUMIF(採点!$DH$5:$DM$13,"*"&amp;M48&amp;"*",採点!DH61:DM61)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IFERROR(ROUNDDOWN(F51/初期設定!$C$48*100,0),"")</f>
        <v/>
      </c>
      <c r="I51" s="42" t="str">
        <f>IF(ISBLANK(採点!DP62),"",採点!DP62)</f>
        <v/>
      </c>
      <c r="K51" s="66">
        <f ca="1">SUMIF(採点!$DB$5:$DG$13,"*"&amp;K49&amp;"*",採点!DB62:DM62)</f>
        <v>0</v>
      </c>
      <c r="L51" s="66">
        <f ca="1">SUMIF(採点!$DH$5:$DM$13,"*"&amp;K49&amp;"*",採点!DH62:DM62)</f>
        <v>0</v>
      </c>
      <c r="M51" s="66">
        <f ca="1">SUMIF(採点!$DB$5:$DG$13,"*"&amp;M49&amp;"*",採点!DB62:DM62)</f>
        <v>0</v>
      </c>
      <c r="N51" s="66">
        <f ca="1">SUMIF(採点!$DH$5:$DM$13,"*"&amp;M49&amp;"*",採点!DH62:DM62)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IFERROR(ROUNDDOWN(F52/初期設定!$C$48*100,0),"")</f>
        <v/>
      </c>
      <c r="I52" s="42" t="str">
        <f>IF(ISBLANK(採点!DP63),"",採点!DP63)</f>
        <v/>
      </c>
      <c r="K52" s="66">
        <f ca="1">SUMIF(採点!$DB$5:$DG$13,"*"&amp;K50&amp;"*",採点!DB63:DM63)</f>
        <v>0</v>
      </c>
      <c r="L52" s="66">
        <f ca="1">SUMIF(採点!$DH$5:$DM$13,"*"&amp;K50&amp;"*",採点!DH63:DM63)</f>
        <v>0</v>
      </c>
      <c r="M52" s="66">
        <f ca="1">SUMIF(採点!$DB$5:$DG$13,"*"&amp;M50&amp;"*",採点!DB63:DM63)</f>
        <v>0</v>
      </c>
      <c r="N52" s="66">
        <f ca="1">SUMIF(採点!$DH$5:$DM$13,"*"&amp;M50&amp;"*",採点!DH63:DM63)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IFERROR(ROUNDDOWN(F53/初期設定!$C$48*100,0),"")</f>
        <v/>
      </c>
      <c r="I53" s="42" t="str">
        <f>IF(ISBLANK(採点!DP64),"",採点!DP64)</f>
        <v/>
      </c>
      <c r="K53" s="66">
        <f ca="1">SUMIF(採点!$DB$5:$DG$13,"*"&amp;K51&amp;"*",採点!DB64:DM64)</f>
        <v>0</v>
      </c>
      <c r="L53" s="66">
        <f ca="1">SUMIF(採点!$DH$5:$DM$13,"*"&amp;K51&amp;"*",採点!DH64:DM64)</f>
        <v>0</v>
      </c>
      <c r="M53" s="66">
        <f ca="1">SUMIF(採点!$DB$5:$DG$13,"*"&amp;M51&amp;"*",採点!DB64:DM64)</f>
        <v>0</v>
      </c>
      <c r="N53" s="66">
        <f ca="1">SUMIF(採点!$DH$5:$DM$13,"*"&amp;M51&amp;"*",採点!DH64:DM64)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IFERROR(ROUNDDOWN(F54/初期設定!$C$48*100,0),"")</f>
        <v/>
      </c>
      <c r="I54" s="42" t="str">
        <f>IF(ISBLANK(採点!DP65),"",採点!DP65)</f>
        <v/>
      </c>
      <c r="K54" s="66">
        <f ca="1">SUMIF(採点!$DB$5:$DG$13,"*"&amp;K52&amp;"*",採点!DB65:DM65)</f>
        <v>0</v>
      </c>
      <c r="L54" s="66">
        <f ca="1">SUMIF(採点!$DH$5:$DM$13,"*"&amp;K52&amp;"*",採点!DH65:DM65)</f>
        <v>0</v>
      </c>
      <c r="M54" s="66">
        <f ca="1">SUMIF(採点!$DB$5:$DG$13,"*"&amp;M52&amp;"*",採点!DB65:DM65)</f>
        <v>0</v>
      </c>
      <c r="N54" s="66">
        <f ca="1">SUMIF(採点!$DH$5:$DM$13,"*"&amp;M52&amp;"*",採点!DH65:DM65)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IFERROR(ROUNDDOWN(F55/初期設定!$C$48*100,0),"")</f>
        <v/>
      </c>
      <c r="I55" s="42" t="str">
        <f>IF(ISBLANK(採点!DP66),"",採点!DP66)</f>
        <v/>
      </c>
      <c r="K55" s="66">
        <f ca="1">SUMIF(採点!$DB$5:$DG$13,"*"&amp;K53&amp;"*",採点!DB66:DM66)</f>
        <v>0</v>
      </c>
      <c r="L55" s="66">
        <f ca="1">SUMIF(採点!$DH$5:$DM$13,"*"&amp;K53&amp;"*",採点!DH66:DM66)</f>
        <v>0</v>
      </c>
      <c r="M55" s="66">
        <f ca="1">SUMIF(採点!$DB$5:$DG$13,"*"&amp;M53&amp;"*",採点!DB66:DM66)</f>
        <v>0</v>
      </c>
      <c r="N55" s="66">
        <f ca="1">SUMIF(採点!$DH$5:$DM$13,"*"&amp;M53&amp;"*",採点!DH66:DM66)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IFERROR(ROUNDDOWN(F56/初期設定!$C$48*100,0),"")</f>
        <v/>
      </c>
      <c r="I56" s="42" t="str">
        <f>IF(ISBLANK(採点!DP67),"",採点!DP67)</f>
        <v/>
      </c>
      <c r="K56" s="66">
        <f ca="1">SUMIF(採点!$DB$5:$DG$13,"*"&amp;K54&amp;"*",採点!DB67:DM67)</f>
        <v>0</v>
      </c>
      <c r="L56" s="66">
        <f ca="1">SUMIF(採点!$DH$5:$DM$13,"*"&amp;K54&amp;"*",採点!DH67:DM67)</f>
        <v>0</v>
      </c>
      <c r="M56" s="66">
        <f ca="1">SUMIF(採点!$DB$5:$DG$13,"*"&amp;M54&amp;"*",採点!DB67:DM67)</f>
        <v>0</v>
      </c>
      <c r="N56" s="66">
        <f ca="1">SUMIF(採点!$DH$5:$DM$13,"*"&amp;M54&amp;"*",採点!DH67:DM67)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IFERROR(ROUNDDOWN(F57/初期設定!$C$48*100,0),"")</f>
        <v/>
      </c>
      <c r="I57" s="42" t="str">
        <f>IF(ISBLANK(採点!DP68),"",採点!DP68)</f>
        <v/>
      </c>
      <c r="K57" s="66">
        <f ca="1">SUMIF(採点!$DB$5:$DG$13,"*"&amp;K55&amp;"*",採点!DB68:DM68)</f>
        <v>0</v>
      </c>
      <c r="L57" s="66">
        <f ca="1">SUMIF(採点!$DH$5:$DM$13,"*"&amp;K55&amp;"*",採点!DH68:DM68)</f>
        <v>0</v>
      </c>
      <c r="M57" s="66">
        <f ca="1">SUMIF(採点!$DB$5:$DG$13,"*"&amp;M55&amp;"*",採点!DB68:DM68)</f>
        <v>0</v>
      </c>
      <c r="N57" s="66">
        <f ca="1">SUMIF(採点!$DH$5:$DM$13,"*"&amp;M55&amp;"*",採点!DH68:DM68)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IFERROR(ROUNDDOWN(F58/初期設定!$C$48*100,0),"")</f>
        <v/>
      </c>
      <c r="I58" s="42" t="str">
        <f>IF(ISBLANK(採点!DP69),"",採点!DP69)</f>
        <v/>
      </c>
      <c r="K58" s="66">
        <f ca="1">SUMIF(採点!$DB$5:$DG$13,"*"&amp;K56&amp;"*",採点!DB69:DM69)</f>
        <v>0</v>
      </c>
      <c r="L58" s="66">
        <f ca="1">SUMIF(採点!$DH$5:$DM$13,"*"&amp;K56&amp;"*",採点!DH69:DM69)</f>
        <v>0</v>
      </c>
      <c r="M58" s="66">
        <f ca="1">SUMIF(採点!$DB$5:$DG$13,"*"&amp;M56&amp;"*",採点!DB69:DM69)</f>
        <v>0</v>
      </c>
      <c r="N58" s="66">
        <f ca="1">SUMIF(採点!$DH$5:$DM$13,"*"&amp;M56&amp;"*",採点!DH69:DM69)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IFERROR(ROUNDDOWN(F59/初期設定!$C$48*100,0),"")</f>
        <v/>
      </c>
      <c r="I59" s="42" t="str">
        <f>IF(ISBLANK(採点!DP70),"",採点!DP70)</f>
        <v/>
      </c>
      <c r="K59" s="66">
        <f ca="1">SUMIF(採点!$DB$5:$DG$13,"*"&amp;K57&amp;"*",採点!DB70:DM70)</f>
        <v>0</v>
      </c>
      <c r="L59" s="66">
        <f ca="1">SUMIF(採点!$DH$5:$DM$13,"*"&amp;K57&amp;"*",採点!DH70:DM70)</f>
        <v>0</v>
      </c>
      <c r="M59" s="66">
        <f ca="1">SUMIF(採点!$DB$5:$DG$13,"*"&amp;M57&amp;"*",採点!DB70:DM70)</f>
        <v>0</v>
      </c>
      <c r="N59" s="66">
        <f ca="1">SUMIF(採点!$DH$5:$DM$13,"*"&amp;M57&amp;"*",採点!DH70:DM70)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IFERROR(ROUNDDOWN(F60/初期設定!$C$48*100,0),"")</f>
        <v/>
      </c>
      <c r="I60" s="42" t="str">
        <f>IF(ISBLANK(採点!DP71),"",採点!DP71)</f>
        <v/>
      </c>
      <c r="K60" s="66">
        <f ca="1">SUMIF(採点!$DB$5:$DG$13,"*"&amp;K58&amp;"*",採点!DB71:DM71)</f>
        <v>0</v>
      </c>
      <c r="L60" s="66">
        <f ca="1">SUMIF(採点!$DH$5:$DM$13,"*"&amp;K58&amp;"*",採点!DH71:DM71)</f>
        <v>0</v>
      </c>
      <c r="M60" s="66">
        <f ca="1">SUMIF(採点!$DB$5:$DG$13,"*"&amp;M58&amp;"*",採点!DB71:DM71)</f>
        <v>0</v>
      </c>
      <c r="N60" s="66">
        <f ca="1">SUMIF(採点!$DH$5:$DM$13,"*"&amp;M58&amp;"*",採点!DH71:DM71)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IFERROR(ROUNDDOWN(F61/初期設定!$C$48*100,0),"")</f>
        <v/>
      </c>
      <c r="I61" s="42" t="str">
        <f>IF(ISBLANK(採点!DP72),"",採点!DP72)</f>
        <v/>
      </c>
      <c r="K61" s="66">
        <f ca="1">SUMIF(採点!$DB$5:$DG$13,"*"&amp;K59&amp;"*",採点!DB72:DM72)</f>
        <v>0</v>
      </c>
      <c r="L61" s="66">
        <f ca="1">SUMIF(採点!$DH$5:$DM$13,"*"&amp;K59&amp;"*",採点!DH72:DM72)</f>
        <v>0</v>
      </c>
      <c r="M61" s="66">
        <f ca="1">SUMIF(採点!$DB$5:$DG$13,"*"&amp;M59&amp;"*",採点!DB72:DM72)</f>
        <v>0</v>
      </c>
      <c r="N61" s="66">
        <f ca="1">SUMIF(採点!$DH$5:$DM$13,"*"&amp;M59&amp;"*",採点!DH72:DM72)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IFERROR(ROUNDDOWN(F62/初期設定!$C$48*100,0),"")</f>
        <v/>
      </c>
      <c r="I62" s="42" t="str">
        <f>IF(ISBLANK(採点!DP73),"",採点!DP73)</f>
        <v/>
      </c>
      <c r="K62" s="66">
        <f ca="1">SUMIF(採点!$DB$5:$DG$13,"*"&amp;K60&amp;"*",採点!DB73:DM73)</f>
        <v>0</v>
      </c>
      <c r="L62" s="66">
        <f ca="1">SUMIF(採点!$DH$5:$DM$13,"*"&amp;K60&amp;"*",採点!DH73:DM73)</f>
        <v>0</v>
      </c>
      <c r="M62" s="66">
        <f ca="1">SUMIF(採点!$DB$5:$DG$13,"*"&amp;M60&amp;"*",採点!DB73:DM73)</f>
        <v>0</v>
      </c>
      <c r="N62" s="66">
        <f ca="1">SUMIF(採点!$DH$5:$DM$13,"*"&amp;M60&amp;"*",採点!DH73:DM73)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IFERROR(ROUNDDOWN(F63/初期設定!$C$48*100,0),"")</f>
        <v/>
      </c>
      <c r="I63" s="42" t="str">
        <f>IF(ISBLANK(採点!DP74),"",採点!DP74)</f>
        <v/>
      </c>
      <c r="K63" s="66">
        <f ca="1">SUMIF(採点!$DB$5:$DG$13,"*"&amp;K61&amp;"*",採点!DB74:DM74)</f>
        <v>0</v>
      </c>
      <c r="L63" s="66">
        <f ca="1">SUMIF(採点!$DH$5:$DM$13,"*"&amp;K61&amp;"*",採点!DH74:DM74)</f>
        <v>0</v>
      </c>
      <c r="M63" s="66">
        <f ca="1">SUMIF(採点!$DB$5:$DG$13,"*"&amp;M61&amp;"*",採点!DB74:DM74)</f>
        <v>0</v>
      </c>
      <c r="N63" s="66">
        <f ca="1">SUMIF(採点!$DH$5:$DM$13,"*"&amp;M61&amp;"*",採点!DH74:DM74)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IFERROR(ROUNDDOWN(F64/初期設定!$C$48*100,0),"")</f>
        <v/>
      </c>
      <c r="I64" s="42" t="str">
        <f>IF(ISBLANK(採点!DP75),"",採点!DP75)</f>
        <v/>
      </c>
      <c r="K64" s="66">
        <f ca="1">SUMIF(採点!$DB$5:$DG$13,"*"&amp;K62&amp;"*",採点!DB75:DM75)</f>
        <v>0</v>
      </c>
      <c r="L64" s="66">
        <f ca="1">SUMIF(採点!$DH$5:$DM$13,"*"&amp;K62&amp;"*",採点!DH75:DM75)</f>
        <v>0</v>
      </c>
      <c r="M64" s="66">
        <f ca="1">SUMIF(採点!$DB$5:$DG$13,"*"&amp;M62&amp;"*",採点!DB75:DM75)</f>
        <v>0</v>
      </c>
      <c r="N64" s="66">
        <f ca="1">SUMIF(採点!$DH$5:$DM$13,"*"&amp;M62&amp;"*",採点!DH75:DM75)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IFERROR(ROUNDDOWN(F65/初期設定!$C$48*100,0),"")</f>
        <v/>
      </c>
      <c r="I65" s="42" t="str">
        <f>IF(ISBLANK(採点!DP76),"",採点!DP76)</f>
        <v/>
      </c>
      <c r="K65" s="66">
        <f ca="1">SUMIF(採点!$DB$5:$DG$13,"*"&amp;K63&amp;"*",採点!DB76:DM76)</f>
        <v>0</v>
      </c>
      <c r="L65" s="66">
        <f ca="1">SUMIF(採点!$DH$5:$DM$13,"*"&amp;K63&amp;"*",採点!DH76:DM76)</f>
        <v>0</v>
      </c>
      <c r="M65" s="66">
        <f ca="1">SUMIF(採点!$DB$5:$DG$13,"*"&amp;M63&amp;"*",採点!DB76:DM76)</f>
        <v>0</v>
      </c>
      <c r="N65" s="66">
        <f ca="1">SUMIF(採点!$DH$5:$DM$13,"*"&amp;M63&amp;"*",採点!DH76:DM76)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IFERROR(ROUNDDOWN(F66/初期設定!$C$48*100,0),"")</f>
        <v/>
      </c>
      <c r="I66" s="42" t="str">
        <f>IF(ISBLANK(採点!DP77),"",採点!DP77)</f>
        <v/>
      </c>
      <c r="K66" s="66">
        <f ca="1">SUMIF(採点!$DB$5:$DG$13,"*"&amp;K64&amp;"*",採点!DB77:DM77)</f>
        <v>0</v>
      </c>
      <c r="L66" s="66">
        <f ca="1">SUMIF(採点!$DH$5:$DM$13,"*"&amp;K64&amp;"*",採点!DH77:DM77)</f>
        <v>0</v>
      </c>
      <c r="M66" s="66">
        <f ca="1">SUMIF(採点!$DB$5:$DG$13,"*"&amp;M64&amp;"*",採点!DB77:DM77)</f>
        <v>0</v>
      </c>
      <c r="N66" s="66">
        <f ca="1">SUMIF(採点!$DH$5:$DM$13,"*"&amp;M64&amp;"*",採点!DH77:DM77)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IFERROR(ROUNDDOWN(F67/初期設定!$C$48*100,0),"")</f>
        <v/>
      </c>
      <c r="I67" s="42" t="str">
        <f>IF(ISBLANK(採点!DP78),"",採点!DP78)</f>
        <v/>
      </c>
      <c r="K67" s="66">
        <f ca="1">SUMIF(採点!$DB$5:$DG$13,"*"&amp;K65&amp;"*",採点!DB78:DM78)</f>
        <v>0</v>
      </c>
      <c r="L67" s="66">
        <f ca="1">SUMIF(採点!$DH$5:$DM$13,"*"&amp;K65&amp;"*",採点!DH78:DM78)</f>
        <v>0</v>
      </c>
      <c r="M67" s="66">
        <f ca="1">SUMIF(採点!$DB$5:$DG$13,"*"&amp;M65&amp;"*",採点!DB78:DM78)</f>
        <v>0</v>
      </c>
      <c r="N67" s="66">
        <f ca="1">SUMIF(採点!$DH$5:$DM$13,"*"&amp;M65&amp;"*",採点!DH78:DM78)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IFERROR(ROUNDDOWN(F68/初期設定!$C$48*100,0),"")</f>
        <v/>
      </c>
      <c r="I68" s="42" t="str">
        <f>IF(ISBLANK(採点!DP79),"",採点!DP79)</f>
        <v/>
      </c>
      <c r="K68" s="66">
        <f ca="1">SUMIF(採点!$DB$5:$DG$13,"*"&amp;K66&amp;"*",採点!DB79:DM79)</f>
        <v>0</v>
      </c>
      <c r="L68" s="66">
        <f ca="1">SUMIF(採点!$DH$5:$DM$13,"*"&amp;K66&amp;"*",採点!DH79:DM79)</f>
        <v>0</v>
      </c>
      <c r="M68" s="66">
        <f ca="1">SUMIF(採点!$DB$5:$DG$13,"*"&amp;M66&amp;"*",採点!DB79:DM79)</f>
        <v>0</v>
      </c>
      <c r="N68" s="66">
        <f ca="1">SUMIF(採点!$DH$5:$DM$13,"*"&amp;M66&amp;"*",採点!DH79:DM79)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IFERROR(ROUNDDOWN(F69/初期設定!$C$48*100,0),"")</f>
        <v/>
      </c>
      <c r="I69" s="42" t="str">
        <f>IF(ISBLANK(採点!DP80),"",採点!DP80)</f>
        <v/>
      </c>
      <c r="K69" s="66">
        <f ca="1">SUMIF(採点!$DB$5:$DG$13,"*"&amp;K67&amp;"*",採点!DB80:DM80)</f>
        <v>0</v>
      </c>
      <c r="L69" s="66">
        <f ca="1">SUMIF(採点!$DH$5:$DM$13,"*"&amp;K67&amp;"*",採点!DH80:DM80)</f>
        <v>0</v>
      </c>
      <c r="M69" s="66">
        <f ca="1">SUMIF(採点!$DB$5:$DG$13,"*"&amp;M67&amp;"*",採点!DB80:DM80)</f>
        <v>0</v>
      </c>
      <c r="N69" s="66">
        <f ca="1">SUMIF(採点!$DH$5:$DM$13,"*"&amp;M67&amp;"*",採点!DH80:DM80)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IFERROR(ROUNDDOWN(F70/初期設定!$C$48*100,0),"")</f>
        <v/>
      </c>
      <c r="I70" s="42" t="str">
        <f>IF(ISBLANK(採点!DP81),"",採点!DP81)</f>
        <v/>
      </c>
      <c r="K70" s="66">
        <f ca="1">SUMIF(採点!$DB$5:$DG$13,"*"&amp;K68&amp;"*",採点!DB81:DM81)</f>
        <v>0</v>
      </c>
      <c r="L70" s="66">
        <f ca="1">SUMIF(採点!$DH$5:$DM$13,"*"&amp;K68&amp;"*",採点!DH81:DM81)</f>
        <v>0</v>
      </c>
      <c r="M70" s="66">
        <f ca="1">SUMIF(採点!$DB$5:$DG$13,"*"&amp;M68&amp;"*",採点!DB81:DM81)</f>
        <v>0</v>
      </c>
      <c r="N70" s="66">
        <f ca="1">SUMIF(採点!$DH$5:$DM$13,"*"&amp;M68&amp;"*",採点!DH81:DM81)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IFERROR(ROUNDDOWN(F71/初期設定!$C$48*100,0),"")</f>
        <v/>
      </c>
      <c r="I71" s="42" t="str">
        <f>IF(ISBLANK(採点!DP82),"",採点!DP82)</f>
        <v/>
      </c>
      <c r="K71" s="66">
        <f ca="1">SUMIF(採点!$DB$5:$DG$13,"*"&amp;K69&amp;"*",採点!DB82:DM82)</f>
        <v>0</v>
      </c>
      <c r="L71" s="66">
        <f ca="1">SUMIF(採点!$DH$5:$DM$13,"*"&amp;K69&amp;"*",採点!DH82:DM82)</f>
        <v>0</v>
      </c>
      <c r="M71" s="66">
        <f ca="1">SUMIF(採点!$DB$5:$DG$13,"*"&amp;M69&amp;"*",採点!DB82:DM82)</f>
        <v>0</v>
      </c>
      <c r="N71" s="66">
        <f ca="1">SUMIF(採点!$DH$5:$DM$13,"*"&amp;M69&amp;"*",採点!DH82:DM82)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IFERROR(ROUNDDOWN(F72/初期設定!$C$48*100,0),"")</f>
        <v/>
      </c>
      <c r="I72" s="42" t="str">
        <f>IF(ISBLANK(採点!DP83),"",採点!DP83)</f>
        <v/>
      </c>
      <c r="K72" s="66">
        <f ca="1">SUMIF(採点!$DB$5:$DG$13,"*"&amp;K70&amp;"*",採点!DB83:DM83)</f>
        <v>0</v>
      </c>
      <c r="L72" s="66">
        <f ca="1">SUMIF(採点!$DH$5:$DM$13,"*"&amp;K70&amp;"*",採点!DH83:DM83)</f>
        <v>0</v>
      </c>
      <c r="M72" s="66">
        <f ca="1">SUMIF(採点!$DB$5:$DG$13,"*"&amp;M70&amp;"*",採点!DB83:DM83)</f>
        <v>0</v>
      </c>
      <c r="N72" s="66">
        <f ca="1">SUMIF(採点!$DH$5:$DM$13,"*"&amp;M70&amp;"*",採点!DH83:DM83)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IFERROR(ROUNDDOWN(F73/初期設定!$C$48*100,0),"")</f>
        <v/>
      </c>
      <c r="I73" s="42" t="str">
        <f>IF(ISBLANK(採点!DP84),"",採点!DP84)</f>
        <v/>
      </c>
      <c r="K73" s="66">
        <f ca="1">SUMIF(採点!$DB$5:$DG$13,"*"&amp;K71&amp;"*",採点!DB84:DM84)</f>
        <v>0</v>
      </c>
      <c r="L73" s="66">
        <f ca="1">SUMIF(採点!$DH$5:$DM$13,"*"&amp;K71&amp;"*",採点!DH84:DM84)</f>
        <v>0</v>
      </c>
      <c r="M73" s="66">
        <f ca="1">SUMIF(採点!$DB$5:$DG$13,"*"&amp;M71&amp;"*",採点!DB84:DM84)</f>
        <v>0</v>
      </c>
      <c r="N73" s="66">
        <f ca="1">SUMIF(採点!$DH$5:$DM$13,"*"&amp;M71&amp;"*",採点!DH84:DM84)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IFERROR(ROUNDDOWN(F74/初期設定!$C$48*100,0),"")</f>
        <v/>
      </c>
      <c r="I74" s="42" t="str">
        <f>IF(ISBLANK(採点!DP85),"",採点!DP85)</f>
        <v/>
      </c>
      <c r="K74" s="66">
        <f ca="1">SUMIF(採点!$DB$5:$DG$13,"*"&amp;K72&amp;"*",採点!DB85:DM85)</f>
        <v>0</v>
      </c>
      <c r="L74" s="66">
        <f ca="1">SUMIF(採点!$DH$5:$DM$13,"*"&amp;K72&amp;"*",採点!DH85:DM85)</f>
        <v>0</v>
      </c>
      <c r="M74" s="66">
        <f ca="1">SUMIF(採点!$DB$5:$DG$13,"*"&amp;M72&amp;"*",採点!DB85:DM85)</f>
        <v>0</v>
      </c>
      <c r="N74" s="66">
        <f ca="1">SUMIF(採点!$DH$5:$DM$13,"*"&amp;M72&amp;"*",採点!DH85:DM85)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IFERROR(ROUNDDOWN(F75/初期設定!$C$48*100,0),"")</f>
        <v/>
      </c>
      <c r="I75" s="42" t="str">
        <f>IF(ISBLANK(採点!DP86),"",採点!DP86)</f>
        <v/>
      </c>
      <c r="K75" s="66">
        <f ca="1">SUMIF(採点!$DB$5:$DG$13,"*"&amp;K73&amp;"*",採点!DB86:DM86)</f>
        <v>0</v>
      </c>
      <c r="L75" s="66">
        <f ca="1">SUMIF(採点!$DH$5:$DM$13,"*"&amp;K73&amp;"*",採点!DH86:DM86)</f>
        <v>0</v>
      </c>
      <c r="M75" s="66">
        <f ca="1">SUMIF(採点!$DB$5:$DG$13,"*"&amp;M73&amp;"*",採点!DB86:DM86)</f>
        <v>0</v>
      </c>
      <c r="N75" s="66">
        <f ca="1">SUMIF(採点!$DH$5:$DM$13,"*"&amp;M73&amp;"*",採点!DH86:DM86)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IFERROR(ROUNDDOWN(F76/初期設定!$C$48*100,0),"")</f>
        <v/>
      </c>
      <c r="I76" s="42" t="str">
        <f>IF(ISBLANK(採点!DP87),"",採点!DP87)</f>
        <v/>
      </c>
      <c r="K76" s="66">
        <f ca="1">SUMIF(採点!$DB$5:$DG$13,"*"&amp;K74&amp;"*",採点!DB87:DM87)</f>
        <v>0</v>
      </c>
      <c r="L76" s="66">
        <f ca="1">SUMIF(採点!$DH$5:$DM$13,"*"&amp;K74&amp;"*",採点!DH87:DM87)</f>
        <v>0</v>
      </c>
      <c r="M76" s="66">
        <f ca="1">SUMIF(採点!$DB$5:$DG$13,"*"&amp;M74&amp;"*",採点!DB87:DM87)</f>
        <v>0</v>
      </c>
      <c r="N76" s="66">
        <f ca="1">SUMIF(採点!$DH$5:$DM$13,"*"&amp;M74&amp;"*",採点!DH87:DM87)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IFERROR(ROUNDDOWN(F77/初期設定!$C$48*100,0),"")</f>
        <v/>
      </c>
      <c r="I77" s="42" t="str">
        <f>IF(ISBLANK(採点!DP88),"",採点!DP88)</f>
        <v/>
      </c>
      <c r="K77" s="66">
        <f ca="1">SUMIF(採点!$DB$5:$DG$13,"*"&amp;K75&amp;"*",採点!DB88:DM88)</f>
        <v>0</v>
      </c>
      <c r="L77" s="66">
        <f ca="1">SUMIF(採点!$DH$5:$DM$13,"*"&amp;K75&amp;"*",採点!DH88:DM88)</f>
        <v>0</v>
      </c>
      <c r="M77" s="66">
        <f ca="1">SUMIF(採点!$DB$5:$DG$13,"*"&amp;M75&amp;"*",採点!DB88:DM88)</f>
        <v>0</v>
      </c>
      <c r="N77" s="66">
        <f ca="1">SUMIF(採点!$DH$5:$DM$13,"*"&amp;M75&amp;"*",採点!DH88:DM88)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IFERROR(ROUNDDOWN(F78/初期設定!$C$48*100,0),"")</f>
        <v/>
      </c>
      <c r="I78" s="42" t="str">
        <f>IF(ISBLANK(採点!DP89),"",採点!DP89)</f>
        <v/>
      </c>
      <c r="K78" s="66">
        <f ca="1">SUMIF(採点!$DB$5:$DG$13,"*"&amp;K76&amp;"*",採点!DB89:DM89)</f>
        <v>0</v>
      </c>
      <c r="L78" s="66">
        <f ca="1">SUMIF(採点!$DH$5:$DM$13,"*"&amp;K76&amp;"*",採点!DH89:DM89)</f>
        <v>0</v>
      </c>
      <c r="M78" s="66">
        <f ca="1">SUMIF(採点!$DB$5:$DG$13,"*"&amp;M76&amp;"*",採点!DB89:DM89)</f>
        <v>0</v>
      </c>
      <c r="N78" s="66">
        <f ca="1">SUMIF(採点!$DH$5:$DM$13,"*"&amp;M76&amp;"*",採点!DH89:DM89)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IFERROR(ROUNDDOWN(F79/初期設定!$C$48*100,0),"")</f>
        <v/>
      </c>
      <c r="I79" s="42" t="str">
        <f>IF(ISBLANK(採点!DP90),"",採点!DP90)</f>
        <v/>
      </c>
      <c r="K79" s="66">
        <f ca="1">SUMIF(採点!$DB$5:$DG$13,"*"&amp;K77&amp;"*",採点!DB90:DM90)</f>
        <v>0</v>
      </c>
      <c r="L79" s="66">
        <f ca="1">SUMIF(採点!$DH$5:$DM$13,"*"&amp;K77&amp;"*",採点!DH90:DM90)</f>
        <v>0</v>
      </c>
      <c r="M79" s="66">
        <f ca="1">SUMIF(採点!$DB$5:$DG$13,"*"&amp;M77&amp;"*",採点!DB90:DM90)</f>
        <v>0</v>
      </c>
      <c r="N79" s="66">
        <f ca="1">SUMIF(採点!$DH$5:$DM$13,"*"&amp;M77&amp;"*",採点!DH90:DM90)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IFERROR(ROUNDDOWN(F80/初期設定!$C$48*100,0),"")</f>
        <v/>
      </c>
      <c r="I80" s="42" t="str">
        <f>IF(ISBLANK(採点!DP91),"",採点!DP91)</f>
        <v/>
      </c>
      <c r="K80" s="66">
        <f ca="1">SUMIF(採点!$DB$5:$DG$13,"*"&amp;K78&amp;"*",採点!DB91:DM91)</f>
        <v>0</v>
      </c>
      <c r="L80" s="66">
        <f ca="1">SUMIF(採点!$DH$5:$DM$13,"*"&amp;K78&amp;"*",採点!DH91:DM91)</f>
        <v>0</v>
      </c>
      <c r="M80" s="66">
        <f ca="1">SUMIF(採点!$DB$5:$DG$13,"*"&amp;M78&amp;"*",採点!DB91:DM91)</f>
        <v>0</v>
      </c>
      <c r="N80" s="66">
        <f ca="1">SUMIF(採点!$DH$5:$DM$13,"*"&amp;M78&amp;"*",採点!DH91:DM91)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IFERROR(ROUNDDOWN(F81/初期設定!$C$48*100,0),"")</f>
        <v/>
      </c>
      <c r="I81" s="42" t="str">
        <f>IF(ISBLANK(採点!DP92),"",採点!DP92)</f>
        <v/>
      </c>
      <c r="K81" s="66">
        <f ca="1">SUMIF(採点!$DB$5:$DG$13,"*"&amp;K79&amp;"*",採点!DB92:DM92)</f>
        <v>0</v>
      </c>
      <c r="L81" s="66">
        <f ca="1">SUMIF(採点!$DH$5:$DM$13,"*"&amp;K79&amp;"*",採点!DH92:DM92)</f>
        <v>0</v>
      </c>
      <c r="M81" s="66">
        <f ca="1">SUMIF(採点!$DB$5:$DG$13,"*"&amp;M79&amp;"*",採点!DB92:DM92)</f>
        <v>0</v>
      </c>
      <c r="N81" s="66">
        <f ca="1">SUMIF(採点!$DH$5:$DM$13,"*"&amp;M79&amp;"*",採点!DH92:DM92)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IFERROR(ROUNDDOWN(F82/初期設定!$C$48*100,0),"")</f>
        <v/>
      </c>
      <c r="I82" s="42" t="str">
        <f>IF(ISBLANK(採点!DP93),"",採点!DP93)</f>
        <v/>
      </c>
      <c r="K82" s="66">
        <f ca="1">SUMIF(採点!$DB$5:$DG$13,"*"&amp;K80&amp;"*",採点!DB93:DM93)</f>
        <v>0</v>
      </c>
      <c r="L82" s="66">
        <f ca="1">SUMIF(採点!$DH$5:$DM$13,"*"&amp;K80&amp;"*",採点!DH93:DM93)</f>
        <v>0</v>
      </c>
      <c r="M82" s="66">
        <f ca="1">SUMIF(採点!$DB$5:$DG$13,"*"&amp;M80&amp;"*",採点!DB93:DM93)</f>
        <v>0</v>
      </c>
      <c r="N82" s="66">
        <f ca="1">SUMIF(採点!$DH$5:$DM$13,"*"&amp;M80&amp;"*",採点!DH93:DM93)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IFERROR(ROUNDDOWN(F83/初期設定!$C$48*100,0),"")</f>
        <v/>
      </c>
      <c r="I83" s="42" t="str">
        <f>IF(ISBLANK(採点!DP94),"",採点!DP94)</f>
        <v/>
      </c>
      <c r="K83" s="66">
        <f ca="1">SUMIF(採点!$DB$5:$DG$13,"*"&amp;K81&amp;"*",採点!DB94:DM94)</f>
        <v>0</v>
      </c>
      <c r="L83" s="66">
        <f ca="1">SUMIF(採点!$DH$5:$DM$13,"*"&amp;K81&amp;"*",採点!DH94:DM94)</f>
        <v>0</v>
      </c>
      <c r="M83" s="66">
        <f ca="1">SUMIF(採点!$DB$5:$DG$13,"*"&amp;M81&amp;"*",採点!DB94:DM94)</f>
        <v>0</v>
      </c>
      <c r="N83" s="66">
        <f ca="1">SUMIF(採点!$DH$5:$DM$13,"*"&amp;M81&amp;"*",採点!DH94:DM94)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IFERROR(ROUNDDOWN(F84/初期設定!$C$48*100,0),"")</f>
        <v/>
      </c>
      <c r="I84" s="42" t="str">
        <f>IF(ISBLANK(採点!DP95),"",採点!DP95)</f>
        <v/>
      </c>
      <c r="K84" s="66">
        <f ca="1">SUMIF(採点!$DB$5:$DG$13,"*"&amp;K82&amp;"*",採点!DB95:DM95)</f>
        <v>0</v>
      </c>
      <c r="L84" s="66">
        <f ca="1">SUMIF(採点!$DH$5:$DM$13,"*"&amp;K82&amp;"*",採点!DH95:DM95)</f>
        <v>0</v>
      </c>
      <c r="M84" s="66">
        <f ca="1">SUMIF(採点!$DB$5:$DG$13,"*"&amp;M82&amp;"*",採点!DB95:DM95)</f>
        <v>0</v>
      </c>
      <c r="N84" s="66">
        <f ca="1">SUMIF(採点!$DH$5:$DM$13,"*"&amp;M82&amp;"*",採点!DH95:DM95)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IFERROR(ROUNDDOWN(F85/初期設定!$C$48*100,0),"")</f>
        <v/>
      </c>
      <c r="I85" s="42" t="str">
        <f>IF(ISBLANK(採点!DP96),"",採点!DP96)</f>
        <v/>
      </c>
      <c r="K85" s="66">
        <f ca="1">SUMIF(採点!$DB$5:$DG$13,"*"&amp;K83&amp;"*",採点!DB96:DM96)</f>
        <v>0</v>
      </c>
      <c r="L85" s="66">
        <f ca="1">SUMIF(採点!$DH$5:$DM$13,"*"&amp;K83&amp;"*",採点!DH96:DM96)</f>
        <v>0</v>
      </c>
      <c r="M85" s="66">
        <f ca="1">SUMIF(採点!$DB$5:$DG$13,"*"&amp;M83&amp;"*",採点!DB96:DM96)</f>
        <v>0</v>
      </c>
      <c r="N85" s="66">
        <f ca="1">SUMIF(採点!$DH$5:$DM$13,"*"&amp;M83&amp;"*",採点!DH96:DM96)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IFERROR(ROUNDDOWN(F86/初期設定!$C$48*100,0),"")</f>
        <v/>
      </c>
      <c r="I86" s="42" t="str">
        <f>IF(ISBLANK(採点!DP97),"",採点!DP97)</f>
        <v/>
      </c>
      <c r="K86" s="66">
        <f ca="1">SUMIF(採点!$DB$5:$DG$13,"*"&amp;K84&amp;"*",採点!DB97:DM97)</f>
        <v>0</v>
      </c>
      <c r="L86" s="66">
        <f ca="1">SUMIF(採点!$DH$5:$DM$13,"*"&amp;K84&amp;"*",採点!DH97:DM97)</f>
        <v>0</v>
      </c>
      <c r="M86" s="66">
        <f ca="1">SUMIF(採点!$DB$5:$DG$13,"*"&amp;M84&amp;"*",採点!DB97:DM97)</f>
        <v>0</v>
      </c>
      <c r="N86" s="66">
        <f ca="1">SUMIF(採点!$DH$5:$DM$13,"*"&amp;M84&amp;"*",採点!DH97:DM97)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IFERROR(ROUNDDOWN(F87/初期設定!$C$48*100,0),"")</f>
        <v/>
      </c>
      <c r="I87" s="42" t="str">
        <f>IF(ISBLANK(採点!DP98),"",採点!DP98)</f>
        <v/>
      </c>
      <c r="K87" s="66">
        <f ca="1">SUMIF(採点!$DB$5:$DG$13,"*"&amp;K85&amp;"*",採点!DB98:DM98)</f>
        <v>0</v>
      </c>
      <c r="L87" s="66">
        <f ca="1">SUMIF(採点!$DH$5:$DM$13,"*"&amp;K85&amp;"*",採点!DH98:DM98)</f>
        <v>0</v>
      </c>
      <c r="M87" s="66">
        <f ca="1">SUMIF(採点!$DB$5:$DG$13,"*"&amp;M85&amp;"*",採点!DB98:DM98)</f>
        <v>0</v>
      </c>
      <c r="N87" s="66">
        <f ca="1">SUMIF(採点!$DH$5:$DM$13,"*"&amp;M85&amp;"*",採点!DH98:DM98)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IFERROR(ROUNDDOWN(F88/初期設定!$C$48*100,0),"")</f>
        <v/>
      </c>
      <c r="I88" s="42" t="str">
        <f>IF(ISBLANK(採点!DP99),"",採点!DP99)</f>
        <v/>
      </c>
      <c r="K88" s="66">
        <f ca="1">SUMIF(採点!$DB$5:$DG$13,"*"&amp;K86&amp;"*",採点!DB99:DM99)</f>
        <v>0</v>
      </c>
      <c r="L88" s="66">
        <f ca="1">SUMIF(採点!$DH$5:$DM$13,"*"&amp;K86&amp;"*",採点!DH99:DM99)</f>
        <v>0</v>
      </c>
      <c r="M88" s="66">
        <f ca="1">SUMIF(採点!$DB$5:$DG$13,"*"&amp;M86&amp;"*",採点!DB99:DM99)</f>
        <v>0</v>
      </c>
      <c r="N88" s="66">
        <f ca="1">SUMIF(採点!$DH$5:$DM$13,"*"&amp;M86&amp;"*",採点!DH99:DM99)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IFERROR(ROUNDDOWN(F89/初期設定!$C$48*100,0),"")</f>
        <v/>
      </c>
      <c r="I89" s="42" t="str">
        <f>IF(ISBLANK(採点!DP100),"",採点!DP100)</f>
        <v/>
      </c>
      <c r="K89" s="66">
        <f ca="1">SUMIF(採点!$DB$5:$DG$13,"*"&amp;K87&amp;"*",採点!DB100:DM100)</f>
        <v>0</v>
      </c>
      <c r="L89" s="66">
        <f ca="1">SUMIF(採点!$DH$5:$DM$13,"*"&amp;K87&amp;"*",採点!DH100:DM100)</f>
        <v>0</v>
      </c>
      <c r="M89" s="66">
        <f ca="1">SUMIF(採点!$DB$5:$DG$13,"*"&amp;M87&amp;"*",採点!DB100:DM100)</f>
        <v>0</v>
      </c>
      <c r="N89" s="66">
        <f ca="1">SUMIF(採点!$DH$5:$DM$13,"*"&amp;M87&amp;"*",採点!DH100:DM100)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IFERROR(ROUNDDOWN(F90/初期設定!$C$48*100,0),"")</f>
        <v/>
      </c>
      <c r="I90" s="42" t="str">
        <f>IF(ISBLANK(採点!DP101),"",採点!DP101)</f>
        <v/>
      </c>
      <c r="K90" s="66">
        <f ca="1">SUMIF(採点!$DB$5:$DG$13,"*"&amp;K88&amp;"*",採点!DB101:DM101)</f>
        <v>0</v>
      </c>
      <c r="L90" s="66">
        <f ca="1">SUMIF(採点!$DH$5:$DM$13,"*"&amp;K88&amp;"*",採点!DH101:DM101)</f>
        <v>0</v>
      </c>
      <c r="M90" s="66">
        <f ca="1">SUMIF(採点!$DB$5:$DG$13,"*"&amp;M88&amp;"*",採点!DB101:DM101)</f>
        <v>0</v>
      </c>
      <c r="N90" s="66">
        <f ca="1">SUMIF(採点!$DH$5:$DM$13,"*"&amp;M88&amp;"*",採点!DH101:DM101)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IFERROR(ROUNDDOWN(F91/初期設定!$C$48*100,0),"")</f>
        <v/>
      </c>
      <c r="I91" s="42" t="str">
        <f>IF(ISBLANK(採点!DP102),"",採点!DP102)</f>
        <v/>
      </c>
      <c r="K91" s="66">
        <f ca="1">SUMIF(採点!$DB$5:$DG$13,"*"&amp;K89&amp;"*",採点!DB102:DM102)</f>
        <v>0</v>
      </c>
      <c r="L91" s="66">
        <f ca="1">SUMIF(採点!$DH$5:$DM$13,"*"&amp;K89&amp;"*",採点!DH102:DM102)</f>
        <v>0</v>
      </c>
      <c r="M91" s="66">
        <f ca="1">SUMIF(採点!$DB$5:$DG$13,"*"&amp;M89&amp;"*",採点!DB102:DM102)</f>
        <v>0</v>
      </c>
      <c r="N91" s="66">
        <f ca="1">SUMIF(採点!$DH$5:$DM$13,"*"&amp;M89&amp;"*",採点!DH102:DM102)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IFERROR(ROUNDDOWN(F92/初期設定!$C$48*100,0),"")</f>
        <v/>
      </c>
      <c r="I92" s="42" t="str">
        <f>IF(ISBLANK(採点!DP103),"",採点!DP103)</f>
        <v/>
      </c>
      <c r="K92" s="66">
        <f ca="1">SUMIF(採点!$DB$5:$DG$13,"*"&amp;K90&amp;"*",採点!DB103:DM103)</f>
        <v>0</v>
      </c>
      <c r="L92" s="66">
        <f ca="1">SUMIF(採点!$DH$5:$DM$13,"*"&amp;K90&amp;"*",採点!DH103:DM103)</f>
        <v>0</v>
      </c>
      <c r="M92" s="66">
        <f ca="1">SUMIF(採点!$DB$5:$DG$13,"*"&amp;M90&amp;"*",採点!DB103:DM103)</f>
        <v>0</v>
      </c>
      <c r="N92" s="66">
        <f ca="1">SUMIF(採点!$DH$5:$DM$13,"*"&amp;M90&amp;"*",採点!DH103:DM103)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IFERROR(ROUNDDOWN(F93/初期設定!$C$48*100,0),"")</f>
        <v/>
      </c>
      <c r="I93" s="42" t="str">
        <f>IF(ISBLANK(採点!DP104),"",採点!DP104)</f>
        <v/>
      </c>
      <c r="K93" s="66">
        <f ca="1">SUMIF(採点!$DB$5:$DG$13,"*"&amp;K91&amp;"*",採点!DB104:DM104)</f>
        <v>0</v>
      </c>
      <c r="L93" s="66">
        <f ca="1">SUMIF(採点!$DH$5:$DM$13,"*"&amp;K91&amp;"*",採点!DH104:DM104)</f>
        <v>0</v>
      </c>
      <c r="M93" s="66">
        <f ca="1">SUMIF(採点!$DB$5:$DG$13,"*"&amp;M91&amp;"*",採点!DB104:DM104)</f>
        <v>0</v>
      </c>
      <c r="N93" s="66">
        <f ca="1">SUMIF(採点!$DH$5:$DM$13,"*"&amp;M91&amp;"*",採点!DH104:DM104)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IFERROR(ROUNDDOWN(F94/初期設定!$C$48*100,0),"")</f>
        <v/>
      </c>
      <c r="I94" s="42" t="str">
        <f>IF(ISBLANK(採点!DP105),"",採点!DP105)</f>
        <v/>
      </c>
      <c r="K94" s="66">
        <f ca="1">SUMIF(採点!$DB$5:$DG$13,"*"&amp;K92&amp;"*",採点!DB105:DM105)</f>
        <v>0</v>
      </c>
      <c r="L94" s="66">
        <f ca="1">SUMIF(採点!$DH$5:$DM$13,"*"&amp;K92&amp;"*",採点!DH105:DM105)</f>
        <v>0</v>
      </c>
      <c r="M94" s="66">
        <f ca="1">SUMIF(採点!$DB$5:$DG$13,"*"&amp;M92&amp;"*",採点!DB105:DM105)</f>
        <v>0</v>
      </c>
      <c r="N94" s="66">
        <f ca="1">SUMIF(採点!$DH$5:$DM$13,"*"&amp;M92&amp;"*",採点!DH105:DM105)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IFERROR(ROUNDDOWN(F95/初期設定!$C$48*100,0),"")</f>
        <v/>
      </c>
      <c r="I95" s="42" t="str">
        <f>IF(ISBLANK(採点!DP106),"",採点!DP106)</f>
        <v/>
      </c>
      <c r="K95" s="66">
        <f ca="1">SUMIF(採点!$DB$5:$DG$13,"*"&amp;K93&amp;"*",採点!DB106:DM106)</f>
        <v>0</v>
      </c>
      <c r="L95" s="66">
        <f ca="1">SUMIF(採点!$DH$5:$DM$13,"*"&amp;K93&amp;"*",採点!DH106:DM106)</f>
        <v>0</v>
      </c>
      <c r="M95" s="66">
        <f ca="1">SUMIF(採点!$DB$5:$DG$13,"*"&amp;M93&amp;"*",採点!DB106:DM106)</f>
        <v>0</v>
      </c>
      <c r="N95" s="66">
        <f ca="1">SUMIF(採点!$DH$5:$DM$13,"*"&amp;M93&amp;"*",採点!DH106:DM106)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IFERROR(ROUNDDOWN(F96/初期設定!$C$48*100,0),"")</f>
        <v/>
      </c>
      <c r="I96" s="42" t="str">
        <f>IF(ISBLANK(採点!DP107),"",採点!DP107)</f>
        <v/>
      </c>
      <c r="K96" s="66">
        <f ca="1">SUMIF(採点!$DB$5:$DG$13,"*"&amp;K94&amp;"*",採点!DB107:DM107)</f>
        <v>0</v>
      </c>
      <c r="L96" s="66">
        <f ca="1">SUMIF(採点!$DH$5:$DM$13,"*"&amp;K94&amp;"*",採点!DH107:DM107)</f>
        <v>0</v>
      </c>
      <c r="M96" s="66">
        <f ca="1">SUMIF(採点!$DB$5:$DG$13,"*"&amp;M94&amp;"*",採点!DB107:DM107)</f>
        <v>0</v>
      </c>
      <c r="N96" s="66">
        <f ca="1">SUMIF(採点!$DH$5:$DM$13,"*"&amp;M94&amp;"*",採点!DH107:DM107)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IFERROR(ROUNDDOWN(F97/初期設定!$C$48*100,0),"")</f>
        <v/>
      </c>
      <c r="I97" s="42" t="str">
        <f>IF(ISBLANK(採点!DP108),"",採点!DP108)</f>
        <v/>
      </c>
      <c r="K97" s="66">
        <f ca="1">SUMIF(採点!$DB$5:$DG$13,"*"&amp;K95&amp;"*",採点!DB108:DM108)</f>
        <v>0</v>
      </c>
      <c r="L97" s="66">
        <f ca="1">SUMIF(採点!$DH$5:$DM$13,"*"&amp;K95&amp;"*",採点!DH108:DM108)</f>
        <v>0</v>
      </c>
      <c r="M97" s="66">
        <f ca="1">SUMIF(採点!$DB$5:$DG$13,"*"&amp;M95&amp;"*",採点!DB108:DM108)</f>
        <v>0</v>
      </c>
      <c r="N97" s="66">
        <f ca="1">SUMIF(採点!$DH$5:$DM$13,"*"&amp;M95&amp;"*",採点!DH108:DM108)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IFERROR(ROUNDDOWN(F98/初期設定!$C$48*100,0),"")</f>
        <v/>
      </c>
      <c r="I98" s="42" t="str">
        <f>IF(ISBLANK(採点!DP109),"",採点!DP109)</f>
        <v/>
      </c>
      <c r="K98" s="66">
        <f ca="1">SUMIF(採点!$DB$5:$DG$13,"*"&amp;K96&amp;"*",採点!DB109:DM109)</f>
        <v>0</v>
      </c>
      <c r="L98" s="66">
        <f ca="1">SUMIF(採点!$DH$5:$DM$13,"*"&amp;K96&amp;"*",採点!DH109:DM109)</f>
        <v>0</v>
      </c>
      <c r="M98" s="66">
        <f ca="1">SUMIF(採点!$DB$5:$DG$13,"*"&amp;M96&amp;"*",採点!DB109:DM109)</f>
        <v>0</v>
      </c>
      <c r="N98" s="66">
        <f ca="1">SUMIF(採点!$DH$5:$DM$13,"*"&amp;M96&amp;"*",採点!DH109:DM109)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IFERROR(ROUNDDOWN(F99/初期設定!$C$48*100,0),"")</f>
        <v/>
      </c>
      <c r="I99" s="42" t="str">
        <f>IF(ISBLANK(採点!DP110),"",採点!DP110)</f>
        <v/>
      </c>
      <c r="K99" s="66">
        <f ca="1">SUMIF(採点!$DB$5:$DG$13,"*"&amp;K97&amp;"*",採点!DB110:DM110)</f>
        <v>0</v>
      </c>
      <c r="L99" s="66">
        <f ca="1">SUMIF(採点!$DH$5:$DM$13,"*"&amp;K97&amp;"*",採点!DH110:DM110)</f>
        <v>0</v>
      </c>
      <c r="M99" s="66">
        <f ca="1">SUMIF(採点!$DB$5:$DG$13,"*"&amp;M97&amp;"*",採点!DB110:DM110)</f>
        <v>0</v>
      </c>
      <c r="N99" s="66">
        <f ca="1">SUMIF(採点!$DH$5:$DM$13,"*"&amp;M97&amp;"*",採点!DH110:DM110)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IFERROR(ROUNDDOWN(F100/初期設定!$C$48*100,0),"")</f>
        <v/>
      </c>
      <c r="I100" s="42" t="str">
        <f>IF(ISBLANK(採点!DP111),"",採点!DP111)</f>
        <v/>
      </c>
      <c r="K100" s="66">
        <f ca="1">SUMIF(採点!$DB$5:$DG$13,"*"&amp;K98&amp;"*",採点!DB111:DM111)</f>
        <v>0</v>
      </c>
      <c r="L100" s="66">
        <f ca="1">SUMIF(採点!$DH$5:$DM$13,"*"&amp;K98&amp;"*",採点!DH111:DM111)</f>
        <v>0</v>
      </c>
      <c r="M100" s="66">
        <f ca="1">SUMIF(採点!$DB$5:$DG$13,"*"&amp;M98&amp;"*",採点!DB111:DM111)</f>
        <v>0</v>
      </c>
      <c r="N100" s="66">
        <f ca="1">SUMIF(採点!$DH$5:$DM$13,"*"&amp;M98&amp;"*",採点!DH111:DM111)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IFERROR(ROUNDDOWN(F101/初期設定!$C$48*100,0),"")</f>
        <v/>
      </c>
      <c r="I101" s="42" t="str">
        <f>IF(ISBLANK(採点!DP112),"",採点!DP112)</f>
        <v/>
      </c>
      <c r="K101" s="66">
        <f ca="1">SUMIF(採点!$DB$5:$DG$13,"*"&amp;K99&amp;"*",採点!DB112:DM112)</f>
        <v>0</v>
      </c>
      <c r="L101" s="66">
        <f ca="1">SUMIF(採点!$DH$5:$DM$13,"*"&amp;K99&amp;"*",採点!DH112:DM112)</f>
        <v>0</v>
      </c>
      <c r="M101" s="66">
        <f ca="1">SUMIF(採点!$DB$5:$DG$13,"*"&amp;M99&amp;"*",採点!DB112:DM112)</f>
        <v>0</v>
      </c>
      <c r="N101" s="66">
        <f ca="1">SUMIF(採点!$DH$5:$DM$13,"*"&amp;M99&amp;"*",採点!DH112:DM112)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IFERROR(ROUNDDOWN(F102/初期設定!$C$48*100,0),"")</f>
        <v/>
      </c>
      <c r="I102" s="42" t="str">
        <f>IF(ISBLANK(採点!DP113),"",採点!DP113)</f>
        <v/>
      </c>
      <c r="K102" s="66">
        <f ca="1">SUMIF(採点!$DB$5:$DG$13,"*"&amp;K100&amp;"*",採点!DB113:DM113)</f>
        <v>0</v>
      </c>
      <c r="L102" s="66">
        <f ca="1">SUMIF(採点!$DH$5:$DM$13,"*"&amp;K100&amp;"*",採点!DH113:DM113)</f>
        <v>0</v>
      </c>
      <c r="M102" s="66">
        <f ca="1">SUMIF(採点!$DB$5:$DG$13,"*"&amp;M100&amp;"*",採点!DB113:DM113)</f>
        <v>0</v>
      </c>
      <c r="N102" s="66">
        <f ca="1">SUMIF(採点!$DH$5:$DM$13,"*"&amp;M100&amp;"*",採点!DH113:DM113)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IFERROR(ROUNDDOWN(F103/初期設定!$C$48*100,0),"")</f>
        <v/>
      </c>
      <c r="I103" s="42" t="str">
        <f>IF(ISBLANK(採点!DP114),"",採点!DP114)</f>
        <v/>
      </c>
      <c r="K103" s="66">
        <f ca="1">SUMIF(採点!$DB$5:$DG$13,"*"&amp;K101&amp;"*",採点!DB114:DM114)</f>
        <v>0</v>
      </c>
      <c r="L103" s="66">
        <f ca="1">SUMIF(採点!$DH$5:$DM$13,"*"&amp;K101&amp;"*",採点!DH114:DM114)</f>
        <v>0</v>
      </c>
      <c r="M103" s="66">
        <f ca="1">SUMIF(採点!$DB$5:$DG$13,"*"&amp;M101&amp;"*",採点!DB114:DM114)</f>
        <v>0</v>
      </c>
      <c r="N103" s="66">
        <f ca="1">SUMIF(採点!$DH$5:$DM$13,"*"&amp;M101&amp;"*",採点!DH114:DM114)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IFERROR(ROUNDDOWN(F104/初期設定!$C$48*100,0),"")</f>
        <v/>
      </c>
      <c r="I104" s="42" t="str">
        <f>IF(ISBLANK(採点!DP115),"",採点!DP115)</f>
        <v/>
      </c>
      <c r="K104" s="66">
        <f ca="1">SUMIF(採点!$DB$5:$DG$13,"*"&amp;K102&amp;"*",採点!DB115:DM115)</f>
        <v>0</v>
      </c>
      <c r="L104" s="66">
        <f ca="1">SUMIF(採点!$DH$5:$DM$13,"*"&amp;K102&amp;"*",採点!DH115:DM115)</f>
        <v>0</v>
      </c>
      <c r="M104" s="66">
        <f ca="1">SUMIF(採点!$DB$5:$DG$13,"*"&amp;M102&amp;"*",採点!DB115:DM115)</f>
        <v>0</v>
      </c>
      <c r="N104" s="66">
        <f ca="1">SUMIF(採点!$DH$5:$DM$13,"*"&amp;M102&amp;"*",採点!DH115:DM115)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IFERROR(ROUNDDOWN(F105/初期設定!$C$48*100,0),"")</f>
        <v/>
      </c>
      <c r="I105" s="42" t="str">
        <f>IF(ISBLANK(採点!DP116),"",採点!DP116)</f>
        <v/>
      </c>
      <c r="K105" s="66">
        <f ca="1">SUMIF(採点!$DB$5:$DG$13,"*"&amp;K103&amp;"*",採点!DB116:DM116)</f>
        <v>0</v>
      </c>
      <c r="L105" s="66">
        <f ca="1">SUMIF(採点!$DH$5:$DM$13,"*"&amp;K103&amp;"*",採点!DH116:DM116)</f>
        <v>0</v>
      </c>
      <c r="M105" s="66">
        <f ca="1">SUMIF(採点!$DB$5:$DG$13,"*"&amp;M103&amp;"*",採点!DB116:DM116)</f>
        <v>0</v>
      </c>
      <c r="N105" s="66">
        <f ca="1">SUMIF(採点!$DH$5:$DM$13,"*"&amp;M103&amp;"*",採点!DH116:DM116)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IFERROR(ROUNDDOWN(F106/初期設定!$C$48*100,0),"")</f>
        <v/>
      </c>
      <c r="I106" s="42" t="str">
        <f>IF(ISBLANK(採点!DP117),"",採点!DP117)</f>
        <v/>
      </c>
      <c r="K106" s="66">
        <f ca="1">SUMIF(採点!$DB$5:$DG$13,"*"&amp;K104&amp;"*",採点!DB117:DM117)</f>
        <v>0</v>
      </c>
      <c r="L106" s="66">
        <f ca="1">SUMIF(採点!$DH$5:$DM$13,"*"&amp;K104&amp;"*",採点!DH117:DM117)</f>
        <v>0</v>
      </c>
      <c r="M106" s="66">
        <f ca="1">SUMIF(採点!$DB$5:$DG$13,"*"&amp;M104&amp;"*",採点!DB117:DM117)</f>
        <v>0</v>
      </c>
      <c r="N106" s="66">
        <f ca="1">SUMIF(採点!$DH$5:$DM$13,"*"&amp;M104&amp;"*",採点!DH117:DM117)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IFERROR(ROUNDDOWN(F107/初期設定!$C$48*100,0),"")</f>
        <v/>
      </c>
      <c r="I107" s="42" t="str">
        <f>IF(ISBLANK(採点!DP118),"",採点!DP118)</f>
        <v/>
      </c>
      <c r="K107" s="66">
        <f ca="1">SUMIF(採点!$DB$5:$DG$13,"*"&amp;K105&amp;"*",採点!DB118:DM118)</f>
        <v>0</v>
      </c>
      <c r="L107" s="66">
        <f ca="1">SUMIF(採点!$DH$5:$DM$13,"*"&amp;K105&amp;"*",採点!DH118:DM118)</f>
        <v>0</v>
      </c>
      <c r="M107" s="66">
        <f ca="1">SUMIF(採点!$DB$5:$DG$13,"*"&amp;M105&amp;"*",採点!DB118:DM118)</f>
        <v>0</v>
      </c>
      <c r="N107" s="66">
        <f ca="1">SUMIF(採点!$DH$5:$DM$13,"*"&amp;M105&amp;"*",採点!DH118:DM118)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IFERROR(ROUNDDOWN(F108/初期設定!$C$48*100,0),"")</f>
        <v/>
      </c>
      <c r="I108" s="42" t="str">
        <f>IF(ISBLANK(採点!DP119),"",採点!DP119)</f>
        <v/>
      </c>
      <c r="K108" s="66">
        <f ca="1">SUMIF(採点!$DB$5:$DG$13,"*"&amp;K106&amp;"*",採点!DB119:DM119)</f>
        <v>0</v>
      </c>
      <c r="L108" s="66">
        <f ca="1">SUMIF(採点!$DH$5:$DM$13,"*"&amp;K106&amp;"*",採点!DH119:DM119)</f>
        <v>0</v>
      </c>
      <c r="M108" s="66">
        <f ca="1">SUMIF(採点!$DB$5:$DG$13,"*"&amp;M106&amp;"*",採点!DB119:DM119)</f>
        <v>0</v>
      </c>
      <c r="N108" s="66">
        <f ca="1">SUMIF(採点!$DH$5:$DM$13,"*"&amp;M106&amp;"*",採点!DH119:DM119)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IFERROR(ROUNDDOWN(F109/初期設定!$C$48*100,0),"")</f>
        <v/>
      </c>
      <c r="I109" s="42" t="str">
        <f>IF(ISBLANK(採点!DP120),"",採点!DP120)</f>
        <v/>
      </c>
      <c r="K109" s="66">
        <f ca="1">SUMIF(採点!$DB$5:$DG$13,"*"&amp;K107&amp;"*",採点!DB120:DM120)</f>
        <v>0</v>
      </c>
      <c r="L109" s="66">
        <f ca="1">SUMIF(採点!$DH$5:$DM$13,"*"&amp;K107&amp;"*",採点!DH120:DM120)</f>
        <v>0</v>
      </c>
      <c r="M109" s="66">
        <f ca="1">SUMIF(採点!$DB$5:$DG$13,"*"&amp;M107&amp;"*",採点!DB120:DM120)</f>
        <v>0</v>
      </c>
      <c r="N109" s="66">
        <f ca="1">SUMIF(採点!$DH$5:$DM$13,"*"&amp;M107&amp;"*",採点!DH120:DM120)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IFERROR(ROUNDDOWN(F110/初期設定!$C$48*100,0),"")</f>
        <v/>
      </c>
      <c r="I110" s="42" t="str">
        <f>IF(ISBLANK(採点!DP121),"",採点!DP121)</f>
        <v/>
      </c>
      <c r="K110" s="66">
        <f ca="1">SUMIF(採点!$DB$5:$DG$13,"*"&amp;K108&amp;"*",採点!DB121:DM121)</f>
        <v>0</v>
      </c>
      <c r="L110" s="66">
        <f ca="1">SUMIF(採点!$DH$5:$DM$13,"*"&amp;K108&amp;"*",採点!DH121:DM121)</f>
        <v>0</v>
      </c>
      <c r="M110" s="66">
        <f ca="1">SUMIF(採点!$DB$5:$DG$13,"*"&amp;M108&amp;"*",採点!DB121:DM121)</f>
        <v>0</v>
      </c>
      <c r="N110" s="66">
        <f ca="1">SUMIF(採点!$DH$5:$DM$13,"*"&amp;M108&amp;"*",採点!DH121:DM121)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IFERROR(ROUNDDOWN(F111/初期設定!$C$48*100,0),"")</f>
        <v/>
      </c>
      <c r="I111" s="42" t="str">
        <f>IF(ISBLANK(採点!DP122),"",採点!DP122)</f>
        <v/>
      </c>
      <c r="K111" s="66">
        <f ca="1">SUMIF(採点!$DB$5:$DG$13,"*"&amp;K109&amp;"*",採点!DB122:DM122)</f>
        <v>0</v>
      </c>
      <c r="L111" s="66">
        <f ca="1">SUMIF(採点!$DH$5:$DM$13,"*"&amp;K109&amp;"*",採点!DH122:DM122)</f>
        <v>0</v>
      </c>
      <c r="M111" s="66">
        <f ca="1">SUMIF(採点!$DB$5:$DG$13,"*"&amp;M109&amp;"*",採点!DB122:DM122)</f>
        <v>0</v>
      </c>
      <c r="N111" s="66">
        <f ca="1">SUMIF(採点!$DH$5:$DM$13,"*"&amp;M109&amp;"*",採点!DH122:DM122)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IFERROR(ROUNDDOWN(F112/初期設定!$C$48*100,0),"")</f>
        <v/>
      </c>
      <c r="I112" s="42" t="str">
        <f>IF(ISBLANK(採点!DP123),"",採点!DP123)</f>
        <v/>
      </c>
      <c r="K112" s="66">
        <f ca="1">SUMIF(採点!$DB$5:$DG$13,"*"&amp;K110&amp;"*",採点!DB123:DM123)</f>
        <v>0</v>
      </c>
      <c r="L112" s="66">
        <f ca="1">SUMIF(採点!$DH$5:$DM$13,"*"&amp;K110&amp;"*",採点!DH123:DM123)</f>
        <v>0</v>
      </c>
      <c r="M112" s="66">
        <f ca="1">SUMIF(採点!$DB$5:$DG$13,"*"&amp;M110&amp;"*",採点!DB123:DM123)</f>
        <v>0</v>
      </c>
      <c r="N112" s="66">
        <f ca="1">SUMIF(採点!$DH$5:$DM$13,"*"&amp;M110&amp;"*",採点!DH123:DM123)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IFERROR(ROUNDDOWN(F113/初期設定!$C$48*100,0),"")</f>
        <v/>
      </c>
      <c r="I113" s="42" t="str">
        <f>IF(ISBLANK(採点!DP124),"",採点!DP124)</f>
        <v/>
      </c>
      <c r="K113" s="66">
        <f ca="1">SUMIF(採点!$DB$5:$DG$13,"*"&amp;K111&amp;"*",採点!DB124:DM124)</f>
        <v>0</v>
      </c>
      <c r="L113" s="66">
        <f ca="1">SUMIF(採点!$DH$5:$DM$13,"*"&amp;K111&amp;"*",採点!DH124:DM124)</f>
        <v>0</v>
      </c>
      <c r="M113" s="66">
        <f ca="1">SUMIF(採点!$DB$5:$DG$13,"*"&amp;M111&amp;"*",採点!DB124:DM124)</f>
        <v>0</v>
      </c>
      <c r="N113" s="66">
        <f ca="1">SUMIF(採点!$DH$5:$DM$13,"*"&amp;M111&amp;"*",採点!DH124:DM124)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IFERROR(ROUNDDOWN(F114/初期設定!$C$48*100,0),"")</f>
        <v/>
      </c>
      <c r="I114" s="42" t="str">
        <f>IF(ISBLANK(採点!DP125),"",採点!DP125)</f>
        <v/>
      </c>
      <c r="K114" s="66">
        <f ca="1">SUMIF(採点!$DB$5:$DG$13,"*"&amp;K112&amp;"*",採点!DB125:DM125)</f>
        <v>0</v>
      </c>
      <c r="L114" s="66">
        <f ca="1">SUMIF(採点!$DH$5:$DM$13,"*"&amp;K112&amp;"*",採点!DH125:DM125)</f>
        <v>0</v>
      </c>
      <c r="M114" s="66">
        <f ca="1">SUMIF(採点!$DB$5:$DG$13,"*"&amp;M112&amp;"*",採点!DB125:DM125)</f>
        <v>0</v>
      </c>
      <c r="N114" s="66">
        <f ca="1">SUMIF(採点!$DH$5:$DM$13,"*"&amp;M112&amp;"*",採点!DH125:DM125)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IFERROR(ROUNDDOWN(F115/初期設定!$C$48*100,0),"")</f>
        <v/>
      </c>
      <c r="I115" s="42" t="str">
        <f>IF(ISBLANK(採点!DP126),"",採点!DP126)</f>
        <v/>
      </c>
      <c r="K115" s="66">
        <f ca="1">SUMIF(採点!$DB$5:$DG$13,"*"&amp;K113&amp;"*",採点!DB126:DM126)</f>
        <v>0</v>
      </c>
      <c r="L115" s="66">
        <f ca="1">SUMIF(採点!$DH$5:$DM$13,"*"&amp;K113&amp;"*",採点!DH126:DM126)</f>
        <v>0</v>
      </c>
      <c r="M115" s="66">
        <f ca="1">SUMIF(採点!$DB$5:$DG$13,"*"&amp;M113&amp;"*",採点!DB126:DM126)</f>
        <v>0</v>
      </c>
      <c r="N115" s="66">
        <f ca="1">SUMIF(採点!$DH$5:$DM$13,"*"&amp;M113&amp;"*",採点!DH126:DM126)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IFERROR(ROUNDDOWN(F116/初期設定!$C$48*100,0),"")</f>
        <v/>
      </c>
      <c r="I116" s="42" t="str">
        <f>IF(ISBLANK(採点!DP127),"",採点!DP127)</f>
        <v/>
      </c>
      <c r="K116" s="66">
        <f ca="1">SUMIF(採点!$DB$5:$DG$13,"*"&amp;K114&amp;"*",採点!DB127:DM127)</f>
        <v>0</v>
      </c>
      <c r="L116" s="66">
        <f ca="1">SUMIF(採点!$DH$5:$DM$13,"*"&amp;K114&amp;"*",採点!DH127:DM127)</f>
        <v>0</v>
      </c>
      <c r="M116" s="66">
        <f ca="1">SUMIF(採点!$DB$5:$DG$13,"*"&amp;M114&amp;"*",採点!DB127:DM127)</f>
        <v>0</v>
      </c>
      <c r="N116" s="66">
        <f ca="1">SUMIF(採点!$DH$5:$DM$13,"*"&amp;M114&amp;"*",採点!DH127:DM127)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IFERROR(ROUNDDOWN(F117/初期設定!$C$48*100,0),"")</f>
        <v/>
      </c>
      <c r="I117" s="42" t="str">
        <f>IF(ISBLANK(採点!DP128),"",採点!DP128)</f>
        <v/>
      </c>
      <c r="K117" s="66">
        <f ca="1">SUMIF(採点!$DB$5:$DG$13,"*"&amp;K115&amp;"*",採点!DB128:DM128)</f>
        <v>0</v>
      </c>
      <c r="L117" s="66">
        <f ca="1">SUMIF(採点!$DH$5:$DM$13,"*"&amp;K115&amp;"*",採点!DH128:DM128)</f>
        <v>0</v>
      </c>
      <c r="M117" s="66">
        <f ca="1">SUMIF(採点!$DB$5:$DG$13,"*"&amp;M115&amp;"*",採点!DB128:DM128)</f>
        <v>0</v>
      </c>
      <c r="N117" s="66">
        <f ca="1">SUMIF(採点!$DH$5:$DM$13,"*"&amp;M115&amp;"*",採点!DH128:DM128)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IFERROR(ROUNDDOWN(F118/初期設定!$C$48*100,0),"")</f>
        <v/>
      </c>
      <c r="I118" s="42" t="str">
        <f>IF(ISBLANK(採点!DP129),"",採点!DP129)</f>
        <v/>
      </c>
      <c r="K118" s="66">
        <f ca="1">SUMIF(採点!$DB$5:$DG$13,"*"&amp;K116&amp;"*",採点!DB129:DM129)</f>
        <v>0</v>
      </c>
      <c r="L118" s="66">
        <f ca="1">SUMIF(採点!$DH$5:$DM$13,"*"&amp;K116&amp;"*",採点!DH129:DM129)</f>
        <v>0</v>
      </c>
      <c r="M118" s="66">
        <f ca="1">SUMIF(採点!$DB$5:$DG$13,"*"&amp;M116&amp;"*",採点!DB129:DM129)</f>
        <v>0</v>
      </c>
      <c r="N118" s="66">
        <f ca="1">SUMIF(採点!$DH$5:$DM$13,"*"&amp;M116&amp;"*",採点!DH129:DM129)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IFERROR(ROUNDDOWN(F119/初期設定!$C$48*100,0),"")</f>
        <v/>
      </c>
      <c r="I119" s="42" t="str">
        <f>IF(ISBLANK(採点!DP130),"",採点!DP130)</f>
        <v/>
      </c>
      <c r="K119" s="66">
        <f ca="1">SUMIF(採点!$DB$5:$DG$13,"*"&amp;K117&amp;"*",採点!DB130:DM130)</f>
        <v>0</v>
      </c>
      <c r="L119" s="66">
        <f ca="1">SUMIF(採点!$DH$5:$DM$13,"*"&amp;K117&amp;"*",採点!DH130:DM130)</f>
        <v>0</v>
      </c>
      <c r="M119" s="66">
        <f ca="1">SUMIF(採点!$DB$5:$DG$13,"*"&amp;M117&amp;"*",採点!DB130:DM130)</f>
        <v>0</v>
      </c>
      <c r="N119" s="66">
        <f ca="1">SUMIF(採点!$DH$5:$DM$13,"*"&amp;M117&amp;"*",採点!DH130:DM130)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IFERROR(ROUNDDOWN(F120/初期設定!$C$48*100,0),"")</f>
        <v/>
      </c>
      <c r="I120" s="42" t="str">
        <f>IF(ISBLANK(採点!DP131),"",採点!DP131)</f>
        <v/>
      </c>
      <c r="K120" s="66">
        <f ca="1">SUMIF(採点!$DB$5:$DG$13,"*"&amp;K118&amp;"*",採点!DB131:DM131)</f>
        <v>0</v>
      </c>
      <c r="L120" s="66">
        <f ca="1">SUMIF(採点!$DH$5:$DM$13,"*"&amp;K118&amp;"*",採点!DH131:DM131)</f>
        <v>0</v>
      </c>
      <c r="M120" s="66">
        <f ca="1">SUMIF(採点!$DB$5:$DG$13,"*"&amp;M118&amp;"*",採点!DB131:DM131)</f>
        <v>0</v>
      </c>
      <c r="N120" s="66">
        <f ca="1">SUMIF(採点!$DH$5:$DM$13,"*"&amp;M118&amp;"*",採点!DH131:DM131)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IFERROR(ROUNDDOWN(F121/初期設定!$C$48*100,0),"")</f>
        <v/>
      </c>
      <c r="I121" s="42" t="str">
        <f>IF(ISBLANK(採点!DP132),"",採点!DP132)</f>
        <v/>
      </c>
      <c r="K121" s="66">
        <f ca="1">SUMIF(採点!$DB$5:$DG$13,"*"&amp;K119&amp;"*",採点!DB132:DM132)</f>
        <v>0</v>
      </c>
      <c r="L121" s="66">
        <f ca="1">SUMIF(採点!$DH$5:$DM$13,"*"&amp;K119&amp;"*",採点!DH132:DM132)</f>
        <v>0</v>
      </c>
      <c r="M121" s="66">
        <f ca="1">SUMIF(採点!$DB$5:$DG$13,"*"&amp;M119&amp;"*",採点!DB132:DM132)</f>
        <v>0</v>
      </c>
      <c r="N121" s="66">
        <f ca="1">SUMIF(採点!$DH$5:$DM$13,"*"&amp;M119&amp;"*",採点!DH132:DM132)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IFERROR(ROUNDDOWN(F122/初期設定!$C$48*100,0),"")</f>
        <v/>
      </c>
      <c r="I122" s="42" t="str">
        <f>IF(ISBLANK(採点!DP133),"",採点!DP133)</f>
        <v/>
      </c>
      <c r="K122" s="66">
        <f ca="1">SUMIF(採点!$DB$5:$DG$13,"*"&amp;K120&amp;"*",採点!DB133:DM133)</f>
        <v>0</v>
      </c>
      <c r="L122" s="66">
        <f ca="1">SUMIF(採点!$DH$5:$DM$13,"*"&amp;K120&amp;"*",採点!DH133:DM133)</f>
        <v>0</v>
      </c>
      <c r="M122" s="66">
        <f ca="1">SUMIF(採点!$DB$5:$DG$13,"*"&amp;M120&amp;"*",採点!DB133:DM133)</f>
        <v>0</v>
      </c>
      <c r="N122" s="66">
        <f ca="1">SUMIF(採点!$DH$5:$DM$13,"*"&amp;M120&amp;"*",採点!DH133:DM133)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IFERROR(ROUNDDOWN(F123/初期設定!$C$48*100,0),"")</f>
        <v/>
      </c>
      <c r="I123" s="42" t="str">
        <f>IF(ISBLANK(採点!DP134),"",採点!DP134)</f>
        <v/>
      </c>
      <c r="K123" s="66">
        <f ca="1">SUMIF(採点!$DB$5:$DG$13,"*"&amp;K121&amp;"*",採点!DB134:DM134)</f>
        <v>0</v>
      </c>
      <c r="L123" s="66">
        <f ca="1">SUMIF(採点!$DH$5:$DM$13,"*"&amp;K121&amp;"*",採点!DH134:DM134)</f>
        <v>0</v>
      </c>
      <c r="M123" s="66">
        <f ca="1">SUMIF(採点!$DB$5:$DG$13,"*"&amp;M121&amp;"*",採点!DB134:DM134)</f>
        <v>0</v>
      </c>
      <c r="N123" s="66">
        <f ca="1">SUMIF(採点!$DH$5:$DM$13,"*"&amp;M121&amp;"*",採点!DH134:DM134)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IFERROR(ROUNDDOWN(F124/初期設定!$C$48*100,0),"")</f>
        <v/>
      </c>
      <c r="I124" s="42" t="str">
        <f>IF(ISBLANK(採点!DP135),"",採点!DP135)</f>
        <v/>
      </c>
      <c r="K124" s="66">
        <f ca="1">SUMIF(採点!$DB$5:$DG$13,"*"&amp;K122&amp;"*",採点!DB135:DM135)</f>
        <v>0</v>
      </c>
      <c r="L124" s="66">
        <f ca="1">SUMIF(採点!$DH$5:$DM$13,"*"&amp;K122&amp;"*",採点!DH135:DM135)</f>
        <v>0</v>
      </c>
      <c r="M124" s="66">
        <f ca="1">SUMIF(採点!$DB$5:$DG$13,"*"&amp;M122&amp;"*",採点!DB135:DM135)</f>
        <v>0</v>
      </c>
      <c r="N124" s="66">
        <f ca="1">SUMIF(採点!$DH$5:$DM$13,"*"&amp;M122&amp;"*",採点!DH135:DM135)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IFERROR(ROUNDDOWN(F125/初期設定!$C$48*100,0),"")</f>
        <v/>
      </c>
      <c r="I125" s="42" t="str">
        <f>IF(ISBLANK(採点!DP136),"",採点!DP136)</f>
        <v/>
      </c>
      <c r="K125" s="66">
        <f ca="1">SUMIF(採点!$DB$5:$DG$13,"*"&amp;K123&amp;"*",採点!DB136:DM136)</f>
        <v>0</v>
      </c>
      <c r="L125" s="66">
        <f ca="1">SUMIF(採点!$DH$5:$DM$13,"*"&amp;K123&amp;"*",採点!DH136:DM136)</f>
        <v>0</v>
      </c>
      <c r="M125" s="66">
        <f ca="1">SUMIF(採点!$DB$5:$DG$13,"*"&amp;M123&amp;"*",採点!DB136:DM136)</f>
        <v>0</v>
      </c>
      <c r="N125" s="66">
        <f ca="1">SUMIF(採点!$DH$5:$DM$13,"*"&amp;M123&amp;"*",採点!DH136:DM136)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IFERROR(ROUNDDOWN(F126/初期設定!$C$48*100,0),"")</f>
        <v/>
      </c>
      <c r="I126" s="42" t="str">
        <f>IF(ISBLANK(採点!DP137),"",採点!DP137)</f>
        <v/>
      </c>
      <c r="K126" s="66">
        <f ca="1">SUMIF(採点!$DB$5:$DG$13,"*"&amp;K124&amp;"*",採点!DB137:DM137)</f>
        <v>0</v>
      </c>
      <c r="L126" s="66">
        <f ca="1">SUMIF(採点!$DH$5:$DM$13,"*"&amp;K124&amp;"*",採点!DH137:DM137)</f>
        <v>0</v>
      </c>
      <c r="M126" s="66">
        <f ca="1">SUMIF(採点!$DB$5:$DG$13,"*"&amp;M124&amp;"*",採点!DB137:DM137)</f>
        <v>0</v>
      </c>
      <c r="N126" s="66">
        <f ca="1">SUMIF(採点!$DH$5:$DM$13,"*"&amp;M124&amp;"*",採点!DH137:DM137)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IFERROR(ROUNDDOWN(F127/初期設定!$C$48*100,0),"")</f>
        <v/>
      </c>
      <c r="I127" s="42" t="str">
        <f>IF(ISBLANK(採点!DP138),"",採点!DP138)</f>
        <v/>
      </c>
      <c r="K127" s="66">
        <f ca="1">SUMIF(採点!$DB$5:$DG$13,"*"&amp;K125&amp;"*",採点!DB138:DM138)</f>
        <v>0</v>
      </c>
      <c r="L127" s="66">
        <f ca="1">SUMIF(採点!$DH$5:$DM$13,"*"&amp;K125&amp;"*",採点!DH138:DM138)</f>
        <v>0</v>
      </c>
      <c r="M127" s="66">
        <f ca="1">SUMIF(採点!$DB$5:$DG$13,"*"&amp;M125&amp;"*",採点!DB138:DM138)</f>
        <v>0</v>
      </c>
      <c r="N127" s="66">
        <f ca="1">SUMIF(採点!$DH$5:$DM$13,"*"&amp;M125&amp;"*",採点!DH138:DM138)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IFERROR(ROUNDDOWN(F128/初期設定!$C$48*100,0),"")</f>
        <v/>
      </c>
      <c r="I128" s="42" t="str">
        <f>IF(ISBLANK(採点!DP139),"",採点!DP139)</f>
        <v/>
      </c>
      <c r="K128" s="66">
        <f ca="1">SUMIF(採点!$DB$5:$DG$13,"*"&amp;K126&amp;"*",採点!DB139:DM139)</f>
        <v>0</v>
      </c>
      <c r="L128" s="66">
        <f ca="1">SUMIF(採点!$DH$5:$DM$13,"*"&amp;K126&amp;"*",採点!DH139:DM139)</f>
        <v>0</v>
      </c>
      <c r="M128" s="66">
        <f ca="1">SUMIF(採点!$DB$5:$DG$13,"*"&amp;M126&amp;"*",採点!DB139:DM139)</f>
        <v>0</v>
      </c>
      <c r="N128" s="66">
        <f ca="1">SUMIF(採点!$DH$5:$DM$13,"*"&amp;M126&amp;"*",採点!DH139:DM139)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IFERROR(ROUNDDOWN(F129/初期設定!$C$48*100,0),"")</f>
        <v/>
      </c>
      <c r="I129" s="42" t="str">
        <f>IF(ISBLANK(採点!DP140),"",採点!DP140)</f>
        <v/>
      </c>
      <c r="K129" s="66">
        <f ca="1">SUMIF(採点!$DB$5:$DG$13,"*"&amp;K127&amp;"*",採点!DB140:DM140)</f>
        <v>0</v>
      </c>
      <c r="L129" s="66">
        <f ca="1">SUMIF(採点!$DH$5:$DM$13,"*"&amp;K127&amp;"*",採点!DH140:DM140)</f>
        <v>0</v>
      </c>
      <c r="M129" s="66">
        <f ca="1">SUMIF(採点!$DB$5:$DG$13,"*"&amp;M127&amp;"*",採点!DB140:DM140)</f>
        <v>0</v>
      </c>
      <c r="N129" s="66">
        <f ca="1">SUMIF(採点!$DH$5:$DM$13,"*"&amp;M127&amp;"*",採点!DH140:DM140)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IFERROR(ROUNDDOWN(F130/初期設定!$C$48*100,0),"")</f>
        <v/>
      </c>
      <c r="I130" s="42" t="str">
        <f>IF(ISBLANK(採点!DP141),"",採点!DP141)</f>
        <v/>
      </c>
      <c r="K130" s="66">
        <f ca="1">SUMIF(採点!$DB$5:$DG$13,"*"&amp;K128&amp;"*",採点!DB141:DM141)</f>
        <v>0</v>
      </c>
      <c r="L130" s="66">
        <f ca="1">SUMIF(採点!$DH$5:$DM$13,"*"&amp;K128&amp;"*",採点!DH141:DM141)</f>
        <v>0</v>
      </c>
      <c r="M130" s="66">
        <f ca="1">SUMIF(採点!$DB$5:$DG$13,"*"&amp;M128&amp;"*",採点!DB141:DM141)</f>
        <v>0</v>
      </c>
      <c r="N130" s="66">
        <f ca="1">SUMIF(採点!$DH$5:$DM$13,"*"&amp;M128&amp;"*",採点!DH141:DM141)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IFERROR(ROUNDDOWN(F131/初期設定!$C$48*100,0),"")</f>
        <v/>
      </c>
      <c r="I131" s="42" t="str">
        <f>IF(ISBLANK(採点!DP142),"",採点!DP142)</f>
        <v/>
      </c>
      <c r="K131" s="66">
        <f ca="1">SUMIF(採点!$DB$5:$DG$13,"*"&amp;K129&amp;"*",採点!DB142:DM142)</f>
        <v>0</v>
      </c>
      <c r="L131" s="66">
        <f ca="1">SUMIF(採点!$DH$5:$DM$13,"*"&amp;K129&amp;"*",採点!DH142:DM142)</f>
        <v>0</v>
      </c>
      <c r="M131" s="66">
        <f ca="1">SUMIF(採点!$DB$5:$DG$13,"*"&amp;M129&amp;"*",採点!DB142:DM142)</f>
        <v>0</v>
      </c>
      <c r="N131" s="66">
        <f ca="1">SUMIF(採点!$DH$5:$DM$13,"*"&amp;M129&amp;"*",採点!DH142:DM142)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IFERROR(ROUNDDOWN(F132/初期設定!$C$48*100,0),"")</f>
        <v/>
      </c>
      <c r="I132" s="42" t="str">
        <f>IF(ISBLANK(採点!DP143),"",採点!DP143)</f>
        <v/>
      </c>
      <c r="K132" s="66">
        <f ca="1">SUMIF(採点!$DB$5:$DG$13,"*"&amp;K130&amp;"*",採点!DB143:DM143)</f>
        <v>0</v>
      </c>
      <c r="L132" s="66">
        <f ca="1">SUMIF(採点!$DH$5:$DM$13,"*"&amp;K130&amp;"*",採点!DH143:DM143)</f>
        <v>0</v>
      </c>
      <c r="M132" s="66">
        <f ca="1">SUMIF(採点!$DB$5:$DG$13,"*"&amp;M130&amp;"*",採点!DB143:DM143)</f>
        <v>0</v>
      </c>
      <c r="N132" s="66">
        <f ca="1">SUMIF(採点!$DH$5:$DM$13,"*"&amp;M130&amp;"*",採点!DH143:DM143)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IFERROR(ROUNDDOWN(F133/初期設定!$C$48*100,0),"")</f>
        <v/>
      </c>
      <c r="I133" s="42" t="str">
        <f>IF(ISBLANK(採点!DP144),"",採点!DP144)</f>
        <v/>
      </c>
      <c r="K133" s="66">
        <f ca="1">SUMIF(採点!$DB$5:$DG$13,"*"&amp;K131&amp;"*",採点!DB144:DM144)</f>
        <v>0</v>
      </c>
      <c r="L133" s="66">
        <f ca="1">SUMIF(採点!$DH$5:$DM$13,"*"&amp;K131&amp;"*",採点!DH144:DM144)</f>
        <v>0</v>
      </c>
      <c r="M133" s="66">
        <f ca="1">SUMIF(採点!$DB$5:$DG$13,"*"&amp;M131&amp;"*",採点!DB144:DM144)</f>
        <v>0</v>
      </c>
      <c r="N133" s="66">
        <f ca="1">SUMIF(採点!$DH$5:$DM$13,"*"&amp;M131&amp;"*",採点!DH144:DM144)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IFERROR(ROUNDDOWN(F134/初期設定!$C$48*100,0),"")</f>
        <v/>
      </c>
      <c r="I134" s="42" t="str">
        <f>IF(ISBLANK(採点!DP145),"",採点!DP145)</f>
        <v/>
      </c>
      <c r="K134" s="66">
        <f ca="1">SUMIF(採点!$DB$5:$DG$13,"*"&amp;K132&amp;"*",採点!DB145:DM145)</f>
        <v>0</v>
      </c>
      <c r="L134" s="66">
        <f ca="1">SUMIF(採点!$DH$5:$DM$13,"*"&amp;K132&amp;"*",採点!DH145:DM145)</f>
        <v>0</v>
      </c>
      <c r="M134" s="66">
        <f ca="1">SUMIF(採点!$DB$5:$DG$13,"*"&amp;M132&amp;"*",採点!DB145:DM145)</f>
        <v>0</v>
      </c>
      <c r="N134" s="66">
        <f ca="1">SUMIF(採点!$DH$5:$DM$13,"*"&amp;M132&amp;"*",採点!DH145:DM145)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IFERROR(ROUNDDOWN(F135/初期設定!$C$48*100,0),"")</f>
        <v/>
      </c>
      <c r="I135" s="42" t="str">
        <f>IF(ISBLANK(採点!DP146),"",採点!DP146)</f>
        <v/>
      </c>
      <c r="K135" s="66">
        <f ca="1">SUMIF(採点!$DB$5:$DG$13,"*"&amp;K133&amp;"*",採点!DB146:DM146)</f>
        <v>0</v>
      </c>
      <c r="L135" s="66">
        <f ca="1">SUMIF(採点!$DH$5:$DM$13,"*"&amp;K133&amp;"*",採点!DH146:DM146)</f>
        <v>0</v>
      </c>
      <c r="M135" s="66">
        <f ca="1">SUMIF(採点!$DB$5:$DG$13,"*"&amp;M133&amp;"*",採点!DB146:DM146)</f>
        <v>0</v>
      </c>
      <c r="N135" s="66">
        <f ca="1">SUMIF(採点!$DH$5:$DM$13,"*"&amp;M133&amp;"*",採点!DH146:DM146)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IFERROR(ROUNDDOWN(F136/初期設定!$C$48*100,0),"")</f>
        <v/>
      </c>
      <c r="I136" s="42" t="str">
        <f>IF(ISBLANK(採点!DP147),"",採点!DP147)</f>
        <v/>
      </c>
      <c r="K136" s="66">
        <f ca="1">SUMIF(採点!$DB$5:$DG$13,"*"&amp;K134&amp;"*",採点!DB147:DM147)</f>
        <v>0</v>
      </c>
      <c r="L136" s="66">
        <f ca="1">SUMIF(採点!$DH$5:$DM$13,"*"&amp;K134&amp;"*",採点!DH147:DM147)</f>
        <v>0</v>
      </c>
      <c r="M136" s="66">
        <f ca="1">SUMIF(採点!$DB$5:$DG$13,"*"&amp;M134&amp;"*",採点!DB147:DM147)</f>
        <v>0</v>
      </c>
      <c r="N136" s="66">
        <f ca="1">SUMIF(採点!$DH$5:$DM$13,"*"&amp;M134&amp;"*",採点!DH147:DM147)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IFERROR(ROUNDDOWN(F137/初期設定!$C$48*100,0),"")</f>
        <v/>
      </c>
      <c r="I137" s="42" t="str">
        <f>IF(ISBLANK(採点!DP148),"",採点!DP148)</f>
        <v/>
      </c>
      <c r="K137" s="66">
        <f ca="1">SUMIF(採点!$DB$5:$DG$13,"*"&amp;K135&amp;"*",採点!DB148:DM148)</f>
        <v>0</v>
      </c>
      <c r="L137" s="66">
        <f ca="1">SUMIF(採点!$DH$5:$DM$13,"*"&amp;K135&amp;"*",採点!DH148:DM148)</f>
        <v>0</v>
      </c>
      <c r="M137" s="66">
        <f ca="1">SUMIF(採点!$DB$5:$DG$13,"*"&amp;M135&amp;"*",採点!DB148:DM148)</f>
        <v>0</v>
      </c>
      <c r="N137" s="66">
        <f ca="1">SUMIF(採点!$DH$5:$DM$13,"*"&amp;M135&amp;"*",採点!DH148:DM148)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IFERROR(ROUNDDOWN(F138/初期設定!$C$48*100,0),"")</f>
        <v/>
      </c>
      <c r="I138" s="42" t="str">
        <f>IF(ISBLANK(採点!DP149),"",採点!DP149)</f>
        <v/>
      </c>
      <c r="K138" s="66">
        <f ca="1">SUMIF(採点!$DB$5:$DG$13,"*"&amp;K136&amp;"*",採点!DB149:DM149)</f>
        <v>0</v>
      </c>
      <c r="L138" s="66">
        <f ca="1">SUMIF(採点!$DH$5:$DM$13,"*"&amp;K136&amp;"*",採点!DH149:DM149)</f>
        <v>0</v>
      </c>
      <c r="M138" s="66">
        <f ca="1">SUMIF(採点!$DB$5:$DG$13,"*"&amp;M136&amp;"*",採点!DB149:DM149)</f>
        <v>0</v>
      </c>
      <c r="N138" s="66">
        <f ca="1">SUMIF(採点!$DH$5:$DM$13,"*"&amp;M136&amp;"*",採点!DH149:DM149)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IFERROR(ROUNDDOWN(F139/初期設定!$C$48*100,0),"")</f>
        <v/>
      </c>
      <c r="I139" s="42" t="str">
        <f>IF(ISBLANK(採点!DP150),"",採点!DP150)</f>
        <v/>
      </c>
      <c r="K139" s="66">
        <f ca="1">SUMIF(採点!$DB$5:$DG$13,"*"&amp;K137&amp;"*",採点!DB150:DM150)</f>
        <v>0</v>
      </c>
      <c r="L139" s="66">
        <f ca="1">SUMIF(採点!$DH$5:$DM$13,"*"&amp;K137&amp;"*",採点!DH150:DM150)</f>
        <v>0</v>
      </c>
      <c r="M139" s="66">
        <f ca="1">SUMIF(採点!$DB$5:$DG$13,"*"&amp;M137&amp;"*",採点!DB150:DM150)</f>
        <v>0</v>
      </c>
      <c r="N139" s="66">
        <f ca="1">SUMIF(採点!$DH$5:$DM$13,"*"&amp;M137&amp;"*",採点!DH150:DM150)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IFERROR(ROUNDDOWN(F140/初期設定!$C$48*100,0),"")</f>
        <v/>
      </c>
      <c r="I140" s="42" t="str">
        <f>IF(ISBLANK(採点!DP151),"",採点!DP151)</f>
        <v/>
      </c>
      <c r="K140" s="66">
        <f ca="1">SUMIF(採点!$DB$5:$DG$13,"*"&amp;K138&amp;"*",採点!DB151:DM151)</f>
        <v>0</v>
      </c>
      <c r="L140" s="66">
        <f ca="1">SUMIF(採点!$DH$5:$DM$13,"*"&amp;K138&amp;"*",採点!DH151:DM151)</f>
        <v>0</v>
      </c>
      <c r="M140" s="66">
        <f ca="1">SUMIF(採点!$DB$5:$DG$13,"*"&amp;M138&amp;"*",採点!DB151:DM151)</f>
        <v>0</v>
      </c>
      <c r="N140" s="66">
        <f ca="1">SUMIF(採点!$DH$5:$DM$13,"*"&amp;M138&amp;"*",採点!DH151:DM151)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IFERROR(ROUNDDOWN(F141/初期設定!$C$48*100,0),"")</f>
        <v/>
      </c>
      <c r="I141" s="42" t="str">
        <f>IF(ISBLANK(採点!DP152),"",採点!DP152)</f>
        <v/>
      </c>
      <c r="K141" s="66">
        <f ca="1">SUMIF(採点!$DB$5:$DG$13,"*"&amp;K139&amp;"*",採点!DB152:DM152)</f>
        <v>0</v>
      </c>
      <c r="L141" s="66">
        <f ca="1">SUMIF(採点!$DH$5:$DM$13,"*"&amp;K139&amp;"*",採点!DH152:DM152)</f>
        <v>0</v>
      </c>
      <c r="M141" s="66">
        <f ca="1">SUMIF(採点!$DB$5:$DG$13,"*"&amp;M139&amp;"*",採点!DB152:DM152)</f>
        <v>0</v>
      </c>
      <c r="N141" s="66">
        <f ca="1">SUMIF(採点!$DH$5:$DM$13,"*"&amp;M139&amp;"*",採点!DH152:DM152)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IFERROR(ROUNDDOWN(F142/初期設定!$C$48*100,0),"")</f>
        <v/>
      </c>
      <c r="I142" s="42" t="str">
        <f>IF(ISBLANK(採点!DP153),"",採点!DP153)</f>
        <v/>
      </c>
      <c r="K142" s="66">
        <f ca="1">SUMIF(採点!$DB$5:$DG$13,"*"&amp;K140&amp;"*",採点!DB153:DM153)</f>
        <v>0</v>
      </c>
      <c r="L142" s="66">
        <f ca="1">SUMIF(採点!$DH$5:$DM$13,"*"&amp;K140&amp;"*",採点!DH153:DM153)</f>
        <v>0</v>
      </c>
      <c r="M142" s="66">
        <f ca="1">SUMIF(採点!$DB$5:$DG$13,"*"&amp;M140&amp;"*",採点!DB153:DM153)</f>
        <v>0</v>
      </c>
      <c r="N142" s="66">
        <f ca="1">SUMIF(採点!$DH$5:$DM$13,"*"&amp;M140&amp;"*",採点!DH153:DM153)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IFERROR(ROUNDDOWN(F143/初期設定!$C$48*100,0),"")</f>
        <v/>
      </c>
      <c r="I143" s="42" t="str">
        <f>IF(ISBLANK(採点!DP154),"",採点!DP154)</f>
        <v/>
      </c>
      <c r="K143" s="66">
        <f ca="1">SUMIF(採点!$DB$5:$DG$13,"*"&amp;K141&amp;"*",採点!DB154:DM154)</f>
        <v>0</v>
      </c>
      <c r="L143" s="66">
        <f ca="1">SUMIF(採点!$DH$5:$DM$13,"*"&amp;K141&amp;"*",採点!DH154:DM154)</f>
        <v>0</v>
      </c>
      <c r="M143" s="66">
        <f ca="1">SUMIF(採点!$DB$5:$DG$13,"*"&amp;M141&amp;"*",採点!DB154:DM154)</f>
        <v>0</v>
      </c>
      <c r="N143" s="66">
        <f ca="1">SUMIF(採点!$DH$5:$DM$13,"*"&amp;M141&amp;"*",採点!DH154:DM154)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IFERROR(ROUNDDOWN(F144/初期設定!$C$48*100,0),"")</f>
        <v/>
      </c>
      <c r="I144" s="42" t="str">
        <f>IF(ISBLANK(採点!DP155),"",採点!DP155)</f>
        <v/>
      </c>
      <c r="K144" s="66">
        <f ca="1">SUMIF(採点!$DB$5:$DG$13,"*"&amp;K142&amp;"*",採点!DB155:DM155)</f>
        <v>0</v>
      </c>
      <c r="L144" s="66">
        <f ca="1">SUMIF(採点!$DH$5:$DM$13,"*"&amp;K142&amp;"*",採点!DH155:DM155)</f>
        <v>0</v>
      </c>
      <c r="M144" s="66">
        <f ca="1">SUMIF(採点!$DB$5:$DG$13,"*"&amp;M142&amp;"*",採点!DB155:DM155)</f>
        <v>0</v>
      </c>
      <c r="N144" s="66">
        <f ca="1">SUMIF(採点!$DH$5:$DM$13,"*"&amp;M142&amp;"*",採点!DH155:DM155)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IFERROR(ROUNDDOWN(F145/初期設定!$C$48*100,0),"")</f>
        <v/>
      </c>
      <c r="I145" s="42" t="str">
        <f>IF(ISBLANK(採点!DP156),"",採点!DP156)</f>
        <v/>
      </c>
      <c r="K145" s="66">
        <f ca="1">SUMIF(採点!$DB$5:$DG$13,"*"&amp;K143&amp;"*",採点!DB156:DM156)</f>
        <v>0</v>
      </c>
      <c r="L145" s="66">
        <f ca="1">SUMIF(採点!$DH$5:$DM$13,"*"&amp;K143&amp;"*",採点!DH156:DM156)</f>
        <v>0</v>
      </c>
      <c r="M145" s="66">
        <f ca="1">SUMIF(採点!$DB$5:$DG$13,"*"&amp;M143&amp;"*",採点!DB156:DM156)</f>
        <v>0</v>
      </c>
      <c r="N145" s="66">
        <f ca="1">SUMIF(採点!$DH$5:$DM$13,"*"&amp;M143&amp;"*",採点!DH156:DM156)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IFERROR(ROUNDDOWN(F146/初期設定!$C$48*100,0),"")</f>
        <v/>
      </c>
      <c r="I146" s="42" t="str">
        <f>IF(ISBLANK(採点!DP157),"",採点!DP157)</f>
        <v/>
      </c>
      <c r="K146" s="66">
        <f ca="1">SUMIF(採点!$DB$5:$DG$13,"*"&amp;K144&amp;"*",採点!DB157:DM157)</f>
        <v>0</v>
      </c>
      <c r="L146" s="66">
        <f ca="1">SUMIF(採点!$DH$5:$DM$13,"*"&amp;K144&amp;"*",採点!DH157:DM157)</f>
        <v>0</v>
      </c>
      <c r="M146" s="66">
        <f ca="1">SUMIF(採点!$DB$5:$DG$13,"*"&amp;M144&amp;"*",採点!DB157:DM157)</f>
        <v>0</v>
      </c>
      <c r="N146" s="66">
        <f ca="1">SUMIF(採点!$DH$5:$DM$13,"*"&amp;M144&amp;"*",採点!DH157:DM157)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IFERROR(ROUNDDOWN(F147/初期設定!$C$48*100,0),"")</f>
        <v/>
      </c>
      <c r="I147" s="42" t="str">
        <f>IF(ISBLANK(採点!DP158),"",採点!DP158)</f>
        <v/>
      </c>
      <c r="K147" s="66">
        <f ca="1">SUMIF(採点!$DB$5:$DG$13,"*"&amp;K145&amp;"*",採点!DB158:DM158)</f>
        <v>0</v>
      </c>
      <c r="L147" s="66">
        <f ca="1">SUMIF(採点!$DH$5:$DM$13,"*"&amp;K145&amp;"*",採点!DH158:DM158)</f>
        <v>0</v>
      </c>
      <c r="M147" s="66">
        <f ca="1">SUMIF(採点!$DB$5:$DG$13,"*"&amp;M145&amp;"*",採点!DB158:DM158)</f>
        <v>0</v>
      </c>
      <c r="N147" s="66">
        <f ca="1">SUMIF(採点!$DH$5:$DM$13,"*"&amp;M145&amp;"*",採点!DH158:DM158)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IFERROR(ROUNDDOWN(F148/初期設定!$C$48*100,0),"")</f>
        <v/>
      </c>
      <c r="I148" s="42" t="str">
        <f>IF(ISBLANK(採点!DP159),"",採点!DP159)</f>
        <v/>
      </c>
      <c r="K148" s="66">
        <f ca="1">SUMIF(採点!$DB$5:$DG$13,"*"&amp;K146&amp;"*",採点!DB159:DM159)</f>
        <v>0</v>
      </c>
      <c r="L148" s="66">
        <f ca="1">SUMIF(採点!$DH$5:$DM$13,"*"&amp;K146&amp;"*",採点!DH159:DM159)</f>
        <v>0</v>
      </c>
      <c r="M148" s="66">
        <f ca="1">SUMIF(採点!$DB$5:$DG$13,"*"&amp;M146&amp;"*",採点!DB159:DM159)</f>
        <v>0</v>
      </c>
      <c r="N148" s="66">
        <f ca="1">SUMIF(採点!$DH$5:$DM$13,"*"&amp;M146&amp;"*",採点!DH159:DM159)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IFERROR(ROUNDDOWN(F149/初期設定!$C$48*100,0),"")</f>
        <v/>
      </c>
      <c r="I149" s="42" t="str">
        <f>IF(ISBLANK(採点!DP160),"",採点!DP160)</f>
        <v/>
      </c>
      <c r="K149" s="66">
        <f ca="1">SUMIF(採点!$DB$5:$DG$13,"*"&amp;K147&amp;"*",採点!DB160:DM160)</f>
        <v>0</v>
      </c>
      <c r="L149" s="66">
        <f ca="1">SUMIF(採点!$DH$5:$DM$13,"*"&amp;K147&amp;"*",採点!DH160:DM160)</f>
        <v>0</v>
      </c>
      <c r="M149" s="66">
        <f ca="1">SUMIF(採点!$DB$5:$DG$13,"*"&amp;M147&amp;"*",採点!DB160:DM160)</f>
        <v>0</v>
      </c>
      <c r="N149" s="66">
        <f ca="1">SUMIF(採点!$DH$5:$DM$13,"*"&amp;M147&amp;"*",採点!DH160:DM160)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IFERROR(ROUNDDOWN(F150/初期設定!$C$48*100,0),"")</f>
        <v/>
      </c>
      <c r="I150" s="42" t="str">
        <f>IF(ISBLANK(採点!DP161),"",採点!DP161)</f>
        <v/>
      </c>
      <c r="K150" s="66">
        <f ca="1">SUMIF(採点!$DB$5:$DG$13,"*"&amp;K148&amp;"*",採点!DB161:DM161)</f>
        <v>0</v>
      </c>
      <c r="L150" s="66">
        <f ca="1">SUMIF(採点!$DH$5:$DM$13,"*"&amp;K148&amp;"*",採点!DH161:DM161)</f>
        <v>0</v>
      </c>
      <c r="M150" s="66">
        <f ca="1">SUMIF(採点!$DB$5:$DG$13,"*"&amp;M148&amp;"*",採点!DB161:DM161)</f>
        <v>0</v>
      </c>
      <c r="N150" s="66">
        <f ca="1">SUMIF(採点!$DH$5:$DM$13,"*"&amp;M148&amp;"*",採点!DH161:DM161)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IFERROR(ROUNDDOWN(F151/初期設定!$C$48*100,0),"")</f>
        <v/>
      </c>
      <c r="I151" s="42" t="str">
        <f>IF(ISBLANK(採点!DP162),"",採点!DP162)</f>
        <v/>
      </c>
      <c r="K151" s="66">
        <f ca="1">SUMIF(採点!$DB$5:$DG$13,"*"&amp;K149&amp;"*",採点!DB162:DM162)</f>
        <v>0</v>
      </c>
      <c r="L151" s="66">
        <f ca="1">SUMIF(採点!$DH$5:$DM$13,"*"&amp;K149&amp;"*",採点!DH162:DM162)</f>
        <v>0</v>
      </c>
      <c r="M151" s="66">
        <f ca="1">SUMIF(採点!$DB$5:$DG$13,"*"&amp;M149&amp;"*",採点!DB162:DM162)</f>
        <v>0</v>
      </c>
      <c r="N151" s="66">
        <f ca="1">SUMIF(採点!$DH$5:$DM$13,"*"&amp;M149&amp;"*",採点!DH162:DM162)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IFERROR(ROUNDDOWN(F152/初期設定!$C$48*100,0),"")</f>
        <v/>
      </c>
      <c r="I152" s="42" t="str">
        <f>IF(ISBLANK(採点!DP163),"",採点!DP163)</f>
        <v/>
      </c>
      <c r="K152" s="66">
        <f ca="1">SUMIF(採点!$DB$5:$DG$13,"*"&amp;K150&amp;"*",採点!DB163:DM163)</f>
        <v>0</v>
      </c>
      <c r="L152" s="66">
        <f ca="1">SUMIF(採点!$DH$5:$DM$13,"*"&amp;K150&amp;"*",採点!DH163:DM163)</f>
        <v>0</v>
      </c>
      <c r="M152" s="66">
        <f ca="1">SUMIF(採点!$DB$5:$DG$13,"*"&amp;M150&amp;"*",採点!DB163:DM163)</f>
        <v>0</v>
      </c>
      <c r="N152" s="66">
        <f ca="1">SUMIF(採点!$DH$5:$DM$13,"*"&amp;M150&amp;"*",採点!DH163:DM163)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IFERROR(ROUNDDOWN(F153/初期設定!$C$48*100,0),"")</f>
        <v/>
      </c>
      <c r="I153" s="42" t="str">
        <f>IF(ISBLANK(採点!DP164),"",採点!DP164)</f>
        <v/>
      </c>
      <c r="K153" s="66">
        <f ca="1">SUMIF(採点!$DB$5:$DG$13,"*"&amp;K151&amp;"*",採点!DB164:DM164)</f>
        <v>0</v>
      </c>
      <c r="L153" s="66">
        <f ca="1">SUMIF(採点!$DH$5:$DM$13,"*"&amp;K151&amp;"*",採点!DH164:DM164)</f>
        <v>0</v>
      </c>
      <c r="M153" s="66">
        <f ca="1">SUMIF(採点!$DB$5:$DG$13,"*"&amp;M151&amp;"*",採点!DB164:DM164)</f>
        <v>0</v>
      </c>
      <c r="N153" s="66">
        <f ca="1">SUMIF(採点!$DH$5:$DM$13,"*"&amp;M151&amp;"*",採点!DH164:DM164)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IFERROR(ROUNDDOWN(F154/初期設定!$C$48*100,0),"")</f>
        <v/>
      </c>
      <c r="I154" s="42" t="str">
        <f>IF(ISBLANK(採点!DP165),"",採点!DP165)</f>
        <v/>
      </c>
      <c r="K154" s="66">
        <f ca="1">SUMIF(採点!$DB$5:$DG$13,"*"&amp;K152&amp;"*",採点!DB165:DM165)</f>
        <v>0</v>
      </c>
      <c r="L154" s="66">
        <f ca="1">SUMIF(採点!$DH$5:$DM$13,"*"&amp;K152&amp;"*",採点!DH165:DM165)</f>
        <v>0</v>
      </c>
      <c r="M154" s="66">
        <f ca="1">SUMIF(採点!$DB$5:$DG$13,"*"&amp;M152&amp;"*",採点!DB165:DM165)</f>
        <v>0</v>
      </c>
      <c r="N154" s="66">
        <f ca="1">SUMIF(採点!$DH$5:$DM$13,"*"&amp;M152&amp;"*",採点!DH165:DM165)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IFERROR(ROUNDDOWN(F155/初期設定!$C$48*100,0),"")</f>
        <v/>
      </c>
      <c r="I155" s="42" t="str">
        <f>IF(ISBLANK(採点!DP166),"",採点!DP166)</f>
        <v/>
      </c>
      <c r="K155" s="66">
        <f ca="1">SUMIF(採点!$DB$5:$DG$13,"*"&amp;K153&amp;"*",採点!DB166:DM166)</f>
        <v>0</v>
      </c>
      <c r="L155" s="66">
        <f ca="1">SUMIF(採点!$DH$5:$DM$13,"*"&amp;K153&amp;"*",採点!DH166:DM166)</f>
        <v>0</v>
      </c>
      <c r="M155" s="66">
        <f ca="1">SUMIF(採点!$DB$5:$DG$13,"*"&amp;M153&amp;"*",採点!DB166:DM166)</f>
        <v>0</v>
      </c>
      <c r="N155" s="66">
        <f ca="1">SUMIF(採点!$DH$5:$DM$13,"*"&amp;M153&amp;"*",採点!DH166:DM166)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IFERROR(ROUNDDOWN(F156/初期設定!$C$48*100,0),"")</f>
        <v/>
      </c>
      <c r="I156" s="42" t="str">
        <f>IF(ISBLANK(採点!DP167),"",採点!DP167)</f>
        <v/>
      </c>
      <c r="K156" s="66">
        <f ca="1">SUMIF(採点!$DB$5:$DG$13,"*"&amp;K154&amp;"*",採点!DB167:DM167)</f>
        <v>0</v>
      </c>
      <c r="L156" s="66">
        <f ca="1">SUMIF(採点!$DH$5:$DM$13,"*"&amp;K154&amp;"*",採点!DH167:DM167)</f>
        <v>0</v>
      </c>
      <c r="M156" s="66">
        <f ca="1">SUMIF(採点!$DB$5:$DG$13,"*"&amp;M154&amp;"*",採点!DB167:DM167)</f>
        <v>0</v>
      </c>
      <c r="N156" s="66">
        <f ca="1">SUMIF(採点!$DH$5:$DM$13,"*"&amp;M154&amp;"*",採点!DH167:DM167)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IFERROR(ROUNDDOWN(F157/初期設定!$C$48*100,0),"")</f>
        <v/>
      </c>
      <c r="I157" s="42" t="str">
        <f>IF(ISBLANK(採点!DP168),"",採点!DP168)</f>
        <v/>
      </c>
      <c r="K157" s="66">
        <f ca="1">SUMIF(採点!$DB$5:$DG$13,"*"&amp;K155&amp;"*",採点!DB168:DM168)</f>
        <v>0</v>
      </c>
      <c r="L157" s="66">
        <f ca="1">SUMIF(採点!$DH$5:$DM$13,"*"&amp;K155&amp;"*",採点!DH168:DM168)</f>
        <v>0</v>
      </c>
      <c r="M157" s="66">
        <f ca="1">SUMIF(採点!$DB$5:$DG$13,"*"&amp;M155&amp;"*",採点!DB168:DM168)</f>
        <v>0</v>
      </c>
      <c r="N157" s="66">
        <f ca="1">SUMIF(採点!$DH$5:$DM$13,"*"&amp;M155&amp;"*",採点!DH168:DM168)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IFERROR(ROUNDDOWN(F158/初期設定!$C$48*100,0),"")</f>
        <v/>
      </c>
      <c r="I158" s="42" t="str">
        <f>IF(ISBLANK(採点!DP169),"",採点!DP169)</f>
        <v/>
      </c>
      <c r="K158" s="66">
        <f ca="1">SUMIF(採点!$DB$5:$DG$13,"*"&amp;K156&amp;"*",採点!DB169:DM169)</f>
        <v>0</v>
      </c>
      <c r="L158" s="66">
        <f ca="1">SUMIF(採点!$DH$5:$DM$13,"*"&amp;K156&amp;"*",採点!DH169:DM169)</f>
        <v>0</v>
      </c>
      <c r="M158" s="66">
        <f ca="1">SUMIF(採点!$DB$5:$DG$13,"*"&amp;M156&amp;"*",採点!DB169:DM169)</f>
        <v>0</v>
      </c>
      <c r="N158" s="66">
        <f ca="1">SUMIF(採点!$DH$5:$DM$13,"*"&amp;M156&amp;"*",採点!DH169:DM169)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IFERROR(ROUNDDOWN(F159/初期設定!$C$48*100,0),"")</f>
        <v/>
      </c>
      <c r="I159" s="42" t="str">
        <f>IF(ISBLANK(採点!DP170),"",採点!DP170)</f>
        <v/>
      </c>
      <c r="K159" s="66">
        <f ca="1">SUMIF(採点!$DB$5:$DG$13,"*"&amp;K157&amp;"*",採点!DB170:DM170)</f>
        <v>0</v>
      </c>
      <c r="L159" s="66">
        <f ca="1">SUMIF(採点!$DH$5:$DM$13,"*"&amp;K157&amp;"*",採点!DH170:DM170)</f>
        <v>0</v>
      </c>
      <c r="M159" s="66">
        <f ca="1">SUMIF(採点!$DB$5:$DG$13,"*"&amp;M157&amp;"*",採点!DB170:DM170)</f>
        <v>0</v>
      </c>
      <c r="N159" s="66">
        <f ca="1">SUMIF(採点!$DH$5:$DM$13,"*"&amp;M157&amp;"*",採点!DH170:DM170)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IFERROR(ROUNDDOWN(F160/初期設定!$C$48*100,0),"")</f>
        <v/>
      </c>
      <c r="I160" s="42" t="str">
        <f>IF(ISBLANK(採点!DP171),"",採点!DP171)</f>
        <v/>
      </c>
      <c r="K160" s="66">
        <f ca="1">SUMIF(採点!$DB$5:$DG$13,"*"&amp;K158&amp;"*",採点!DB171:DM171)</f>
        <v>0</v>
      </c>
      <c r="L160" s="66">
        <f ca="1">SUMIF(採点!$DH$5:$DM$13,"*"&amp;K158&amp;"*",採点!DH171:DM171)</f>
        <v>0</v>
      </c>
      <c r="M160" s="66">
        <f ca="1">SUMIF(採点!$DB$5:$DG$13,"*"&amp;M158&amp;"*",採点!DB171:DM171)</f>
        <v>0</v>
      </c>
      <c r="N160" s="66">
        <f ca="1">SUMIF(採点!$DH$5:$DM$13,"*"&amp;M158&amp;"*",採点!DH171:DM171)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IFERROR(ROUNDDOWN(F161/初期設定!$C$48*100,0),"")</f>
        <v/>
      </c>
      <c r="I161" s="42" t="str">
        <f>IF(ISBLANK(採点!DP172),"",採点!DP172)</f>
        <v/>
      </c>
      <c r="K161" s="66">
        <f ca="1">SUMIF(採点!$DB$5:$DG$13,"*"&amp;K159&amp;"*",採点!DB172:DM172)</f>
        <v>0</v>
      </c>
      <c r="L161" s="66">
        <f ca="1">SUMIF(採点!$DH$5:$DM$13,"*"&amp;K159&amp;"*",採点!DH172:DM172)</f>
        <v>0</v>
      </c>
      <c r="M161" s="66">
        <f ca="1">SUMIF(採点!$DB$5:$DG$13,"*"&amp;M159&amp;"*",採点!DB172:DM172)</f>
        <v>0</v>
      </c>
      <c r="N161" s="66">
        <f ca="1">SUMIF(採点!$DH$5:$DM$13,"*"&amp;M159&amp;"*",採点!DH172:DM172)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IFERROR(ROUNDDOWN(F162/初期設定!$C$48*100,0),"")</f>
        <v/>
      </c>
      <c r="I162" s="42" t="str">
        <f>IF(ISBLANK(採点!DP173),"",採点!DP173)</f>
        <v/>
      </c>
      <c r="K162" s="66">
        <f ca="1">SUMIF(採点!$DB$5:$DG$13,"*"&amp;K160&amp;"*",採点!DB173:DM173)</f>
        <v>0</v>
      </c>
      <c r="L162" s="66">
        <f ca="1">SUMIF(採点!$DH$5:$DM$13,"*"&amp;K160&amp;"*",採点!DH173:DM173)</f>
        <v>0</v>
      </c>
      <c r="M162" s="66">
        <f ca="1">SUMIF(採点!$DB$5:$DG$13,"*"&amp;M160&amp;"*",採点!DB173:DM173)</f>
        <v>0</v>
      </c>
      <c r="N162" s="66">
        <f ca="1">SUMIF(採点!$DH$5:$DM$13,"*"&amp;M160&amp;"*",採点!DH173:DM173)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IFERROR(ROUNDDOWN(F163/初期設定!$C$48*100,0),"")</f>
        <v/>
      </c>
      <c r="I163" s="42" t="str">
        <f>IF(ISBLANK(採点!DP174),"",採点!DP174)</f>
        <v/>
      </c>
      <c r="K163" s="66">
        <f ca="1">SUMIF(採点!$DB$5:$DG$13,"*"&amp;K161&amp;"*",採点!DB174:DM174)</f>
        <v>0</v>
      </c>
      <c r="L163" s="66">
        <f ca="1">SUMIF(採点!$DH$5:$DM$13,"*"&amp;K161&amp;"*",採点!DH174:DM174)</f>
        <v>0</v>
      </c>
      <c r="M163" s="66">
        <f ca="1">SUMIF(採点!$DB$5:$DG$13,"*"&amp;M161&amp;"*",採点!DB174:DM174)</f>
        <v>0</v>
      </c>
      <c r="N163" s="66">
        <f ca="1">SUMIF(採点!$DH$5:$DM$13,"*"&amp;M161&amp;"*",採点!DH174:DM174)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IFERROR(ROUNDDOWN(F164/初期設定!$C$48*100,0),"")</f>
        <v/>
      </c>
      <c r="I164" s="42" t="str">
        <f>IF(ISBLANK(採点!DP175),"",採点!DP175)</f>
        <v/>
      </c>
      <c r="K164" s="66">
        <f ca="1">SUMIF(採点!$DB$5:$DG$13,"*"&amp;K162&amp;"*",採点!DB175:DM175)</f>
        <v>0</v>
      </c>
      <c r="L164" s="66">
        <f ca="1">SUMIF(採点!$DH$5:$DM$13,"*"&amp;K162&amp;"*",採点!DH175:DM175)</f>
        <v>0</v>
      </c>
      <c r="M164" s="66">
        <f ca="1">SUMIF(採点!$DB$5:$DG$13,"*"&amp;M162&amp;"*",採点!DB175:DM175)</f>
        <v>0</v>
      </c>
      <c r="N164" s="66">
        <f ca="1">SUMIF(採点!$DH$5:$DM$13,"*"&amp;M162&amp;"*",採点!DH175:DM175)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IFERROR(ROUNDDOWN(F165/初期設定!$C$48*100,0),"")</f>
        <v/>
      </c>
      <c r="I165" s="42" t="str">
        <f>IF(ISBLANK(採点!DP176),"",採点!DP176)</f>
        <v/>
      </c>
      <c r="K165" s="66">
        <f ca="1">SUMIF(採点!$DB$5:$DG$13,"*"&amp;K163&amp;"*",採点!DB176:DM176)</f>
        <v>0</v>
      </c>
      <c r="L165" s="66">
        <f ca="1">SUMIF(採点!$DH$5:$DM$13,"*"&amp;K163&amp;"*",採点!DH176:DM176)</f>
        <v>0</v>
      </c>
      <c r="M165" s="66">
        <f ca="1">SUMIF(採点!$DB$5:$DG$13,"*"&amp;M163&amp;"*",採点!DB176:DM176)</f>
        <v>0</v>
      </c>
      <c r="N165" s="66">
        <f ca="1">SUMIF(採点!$DH$5:$DM$13,"*"&amp;M163&amp;"*",採点!DH176:DM176)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IFERROR(ROUNDDOWN(F166/初期設定!$C$48*100,0),"")</f>
        <v/>
      </c>
      <c r="I166" s="42" t="str">
        <f>IF(ISBLANK(採点!DP177),"",採点!DP177)</f>
        <v/>
      </c>
      <c r="K166" s="66">
        <f ca="1">SUMIF(採点!$DB$5:$DG$13,"*"&amp;K164&amp;"*",採点!DB177:DM177)</f>
        <v>0</v>
      </c>
      <c r="L166" s="66">
        <f ca="1">SUMIF(採点!$DH$5:$DM$13,"*"&amp;K164&amp;"*",採点!DH177:DM177)</f>
        <v>0</v>
      </c>
      <c r="M166" s="66">
        <f ca="1">SUMIF(採点!$DB$5:$DG$13,"*"&amp;M164&amp;"*",採点!DB177:DM177)</f>
        <v>0</v>
      </c>
      <c r="N166" s="66">
        <f ca="1">SUMIF(採点!$DH$5:$DM$13,"*"&amp;M164&amp;"*",採点!DH177:DM177)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IFERROR(ROUNDDOWN(F167/初期設定!$C$48*100,0),"")</f>
        <v/>
      </c>
      <c r="I167" s="42" t="str">
        <f>IF(ISBLANK(採点!DP178),"",採点!DP178)</f>
        <v/>
      </c>
      <c r="K167" s="66">
        <f ca="1">SUMIF(採点!$DB$5:$DG$13,"*"&amp;K165&amp;"*",採点!DB178:DM178)</f>
        <v>0</v>
      </c>
      <c r="L167" s="66">
        <f ca="1">SUMIF(採点!$DH$5:$DM$13,"*"&amp;K165&amp;"*",採点!DH178:DM178)</f>
        <v>0</v>
      </c>
      <c r="M167" s="66">
        <f ca="1">SUMIF(採点!$DB$5:$DG$13,"*"&amp;M165&amp;"*",採点!DB178:DM178)</f>
        <v>0</v>
      </c>
      <c r="N167" s="66">
        <f ca="1">SUMIF(採点!$DH$5:$DM$13,"*"&amp;M165&amp;"*",採点!DH178:DM178)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IFERROR(ROUNDDOWN(F168/初期設定!$C$48*100,0),"")</f>
        <v/>
      </c>
      <c r="I168" s="42" t="str">
        <f>IF(ISBLANK(採点!DP179),"",採点!DP179)</f>
        <v/>
      </c>
      <c r="K168" s="66">
        <f ca="1">SUMIF(採点!$DB$5:$DG$13,"*"&amp;K166&amp;"*",採点!DB179:DM179)</f>
        <v>0</v>
      </c>
      <c r="L168" s="66">
        <f ca="1">SUMIF(採点!$DH$5:$DM$13,"*"&amp;K166&amp;"*",採点!DH179:DM179)</f>
        <v>0</v>
      </c>
      <c r="M168" s="66">
        <f ca="1">SUMIF(採点!$DB$5:$DG$13,"*"&amp;M166&amp;"*",採点!DB179:DM179)</f>
        <v>0</v>
      </c>
      <c r="N168" s="66">
        <f ca="1">SUMIF(採点!$DH$5:$DM$13,"*"&amp;M166&amp;"*",採点!DH179:DM179)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IFERROR(ROUNDDOWN(F169/初期設定!$C$48*100,0),"")</f>
        <v/>
      </c>
      <c r="I169" s="42" t="str">
        <f>IF(ISBLANK(採点!DP180),"",採点!DP180)</f>
        <v/>
      </c>
      <c r="K169" s="66">
        <f ca="1">SUMIF(採点!$DB$5:$DG$13,"*"&amp;K167&amp;"*",採点!DB180:DM180)</f>
        <v>0</v>
      </c>
      <c r="L169" s="66">
        <f ca="1">SUMIF(採点!$DH$5:$DM$13,"*"&amp;K167&amp;"*",採点!DH180:DM180)</f>
        <v>0</v>
      </c>
      <c r="M169" s="66">
        <f ca="1">SUMIF(採点!$DB$5:$DG$13,"*"&amp;M167&amp;"*",採点!DB180:DM180)</f>
        <v>0</v>
      </c>
      <c r="N169" s="66">
        <f ca="1">SUMIF(採点!$DH$5:$DM$13,"*"&amp;M167&amp;"*",採点!DH180:DM180)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IFERROR(ROUNDDOWN(F170/初期設定!$C$48*100,0),"")</f>
        <v/>
      </c>
      <c r="I170" s="42" t="str">
        <f>IF(ISBLANK(採点!DP181),"",採点!DP181)</f>
        <v/>
      </c>
      <c r="K170" s="66">
        <f ca="1">SUMIF(採点!$DB$5:$DG$13,"*"&amp;K168&amp;"*",採点!DB181:DM181)</f>
        <v>0</v>
      </c>
      <c r="L170" s="66">
        <f ca="1">SUMIF(採点!$DH$5:$DM$13,"*"&amp;K168&amp;"*",採点!DH181:DM181)</f>
        <v>0</v>
      </c>
      <c r="M170" s="66">
        <f ca="1">SUMIF(採点!$DB$5:$DG$13,"*"&amp;M168&amp;"*",採点!DB181:DM181)</f>
        <v>0</v>
      </c>
      <c r="N170" s="66">
        <f ca="1">SUMIF(採点!$DH$5:$DM$13,"*"&amp;M168&amp;"*",採点!DH181:DM181)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IFERROR(ROUNDDOWN(F171/初期設定!$C$48*100,0),"")</f>
        <v/>
      </c>
      <c r="I171" s="42" t="str">
        <f>IF(ISBLANK(採点!DP182),"",採点!DP182)</f>
        <v/>
      </c>
      <c r="K171" s="66">
        <f ca="1">SUMIF(採点!$DB$5:$DG$13,"*"&amp;K169&amp;"*",採点!DB182:DM182)</f>
        <v>0</v>
      </c>
      <c r="L171" s="66">
        <f ca="1">SUMIF(採点!$DH$5:$DM$13,"*"&amp;K169&amp;"*",採点!DH182:DM182)</f>
        <v>0</v>
      </c>
      <c r="M171" s="66">
        <f ca="1">SUMIF(採点!$DB$5:$DG$13,"*"&amp;M169&amp;"*",採点!DB182:DM182)</f>
        <v>0</v>
      </c>
      <c r="N171" s="66">
        <f ca="1">SUMIF(採点!$DH$5:$DM$13,"*"&amp;M169&amp;"*",採点!DH182:DM182)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IFERROR(ROUNDDOWN(F172/初期設定!$C$48*100,0),"")</f>
        <v/>
      </c>
      <c r="I172" s="42" t="str">
        <f>IF(ISBLANK(採点!DP183),"",採点!DP183)</f>
        <v/>
      </c>
      <c r="K172" s="66">
        <f ca="1">SUMIF(採点!$DB$5:$DG$13,"*"&amp;K170&amp;"*",採点!DB183:DM183)</f>
        <v>0</v>
      </c>
      <c r="L172" s="66">
        <f ca="1">SUMIF(採点!$DH$5:$DM$13,"*"&amp;K170&amp;"*",採点!DH183:DM183)</f>
        <v>0</v>
      </c>
      <c r="M172" s="66">
        <f ca="1">SUMIF(採点!$DB$5:$DG$13,"*"&amp;M170&amp;"*",採点!DB183:DM183)</f>
        <v>0</v>
      </c>
      <c r="N172" s="66">
        <f ca="1">SUMIF(採点!$DH$5:$DM$13,"*"&amp;M170&amp;"*",採点!DH183:DM183)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IFERROR(ROUNDDOWN(F173/初期設定!$C$48*100,0),"")</f>
        <v/>
      </c>
      <c r="I173" s="42" t="str">
        <f>IF(ISBLANK(採点!DP184),"",採点!DP184)</f>
        <v/>
      </c>
      <c r="K173" s="66">
        <f ca="1">SUMIF(採点!$DB$5:$DG$13,"*"&amp;K171&amp;"*",採点!DB184:DM184)</f>
        <v>0</v>
      </c>
      <c r="L173" s="66">
        <f ca="1">SUMIF(採点!$DH$5:$DM$13,"*"&amp;K171&amp;"*",採点!DH184:DM184)</f>
        <v>0</v>
      </c>
      <c r="M173" s="66">
        <f ca="1">SUMIF(採点!$DB$5:$DG$13,"*"&amp;M171&amp;"*",採点!DB184:DM184)</f>
        <v>0</v>
      </c>
      <c r="N173" s="66">
        <f ca="1">SUMIF(採点!$DH$5:$DM$13,"*"&amp;M171&amp;"*",採点!DH184:DM184)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IFERROR(ROUNDDOWN(F174/初期設定!$C$48*100,0),"")</f>
        <v/>
      </c>
      <c r="I174" s="42" t="str">
        <f>IF(ISBLANK(採点!DP185),"",採点!DP185)</f>
        <v/>
      </c>
      <c r="K174" s="66">
        <f ca="1">SUMIF(採点!$DB$5:$DG$13,"*"&amp;K172&amp;"*",採点!DB185:DM185)</f>
        <v>0</v>
      </c>
      <c r="L174" s="66">
        <f ca="1">SUMIF(採点!$DH$5:$DM$13,"*"&amp;K172&amp;"*",採点!DH185:DM185)</f>
        <v>0</v>
      </c>
      <c r="M174" s="66">
        <f ca="1">SUMIF(採点!$DB$5:$DG$13,"*"&amp;M172&amp;"*",採点!DB185:DM185)</f>
        <v>0</v>
      </c>
      <c r="N174" s="66">
        <f ca="1">SUMIF(採点!$DH$5:$DM$13,"*"&amp;M172&amp;"*",採点!DH185:DM185)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IFERROR(ROUNDDOWN(F175/初期設定!$C$48*100,0),"")</f>
        <v/>
      </c>
      <c r="I175" s="42" t="str">
        <f>IF(ISBLANK(採点!DP186),"",採点!DP186)</f>
        <v/>
      </c>
      <c r="K175" s="66">
        <f ca="1">SUMIF(採点!$DB$5:$DG$13,"*"&amp;K173&amp;"*",採点!DB186:DM186)</f>
        <v>0</v>
      </c>
      <c r="L175" s="66">
        <f ca="1">SUMIF(採点!$DH$5:$DM$13,"*"&amp;K173&amp;"*",採点!DH186:DM186)</f>
        <v>0</v>
      </c>
      <c r="M175" s="66">
        <f ca="1">SUMIF(採点!$DB$5:$DG$13,"*"&amp;M173&amp;"*",採点!DB186:DM186)</f>
        <v>0</v>
      </c>
      <c r="N175" s="66">
        <f ca="1">SUMIF(採点!$DH$5:$DM$13,"*"&amp;M173&amp;"*",採点!DH186:DM186)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IFERROR(ROUNDDOWN(F176/初期設定!$C$48*100,0),"")</f>
        <v/>
      </c>
      <c r="I176" s="42" t="str">
        <f>IF(ISBLANK(採点!DP187),"",採点!DP187)</f>
        <v/>
      </c>
      <c r="K176" s="66">
        <f ca="1">SUMIF(採点!$DB$5:$DG$13,"*"&amp;K174&amp;"*",採点!DB187:DM187)</f>
        <v>0</v>
      </c>
      <c r="L176" s="66">
        <f ca="1">SUMIF(採点!$DH$5:$DM$13,"*"&amp;K174&amp;"*",採点!DH187:DM187)</f>
        <v>0</v>
      </c>
      <c r="M176" s="66">
        <f ca="1">SUMIF(採点!$DB$5:$DG$13,"*"&amp;M174&amp;"*",採点!DB187:DM187)</f>
        <v>0</v>
      </c>
      <c r="N176" s="66">
        <f ca="1">SUMIF(採点!$DH$5:$DM$13,"*"&amp;M174&amp;"*",採点!DH187:DM187)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IFERROR(ROUNDDOWN(F177/初期設定!$C$48*100,0),"")</f>
        <v/>
      </c>
      <c r="I177" s="42" t="str">
        <f>IF(ISBLANK(採点!DP188),"",採点!DP188)</f>
        <v/>
      </c>
      <c r="K177" s="66">
        <f ca="1">SUMIF(採点!$DB$5:$DG$13,"*"&amp;K175&amp;"*",採点!DB188:DM188)</f>
        <v>0</v>
      </c>
      <c r="L177" s="66">
        <f ca="1">SUMIF(採点!$DH$5:$DM$13,"*"&amp;K175&amp;"*",採点!DH188:DM188)</f>
        <v>0</v>
      </c>
      <c r="M177" s="66">
        <f ca="1">SUMIF(採点!$DB$5:$DG$13,"*"&amp;M175&amp;"*",採点!DB188:DM188)</f>
        <v>0</v>
      </c>
      <c r="N177" s="66">
        <f ca="1">SUMIF(採点!$DH$5:$DM$13,"*"&amp;M175&amp;"*",採点!DH188:DM188)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IFERROR(ROUNDDOWN(F178/初期設定!$C$48*100,0),"")</f>
        <v/>
      </c>
      <c r="I178" s="42" t="str">
        <f>IF(ISBLANK(採点!DP189),"",採点!DP189)</f>
        <v/>
      </c>
      <c r="K178" s="66">
        <f ca="1">SUMIF(採点!$DB$5:$DG$13,"*"&amp;K176&amp;"*",採点!DB189:DM189)</f>
        <v>0</v>
      </c>
      <c r="L178" s="66">
        <f ca="1">SUMIF(採点!$DH$5:$DM$13,"*"&amp;K176&amp;"*",採点!DH189:DM189)</f>
        <v>0</v>
      </c>
      <c r="M178" s="66">
        <f ca="1">SUMIF(採点!$DB$5:$DG$13,"*"&amp;M176&amp;"*",採点!DB189:DM189)</f>
        <v>0</v>
      </c>
      <c r="N178" s="66">
        <f ca="1">SUMIF(採点!$DH$5:$DM$13,"*"&amp;M176&amp;"*",採点!DH189:DM189)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IFERROR(ROUNDDOWN(F179/初期設定!$C$48*100,0),"")</f>
        <v/>
      </c>
      <c r="I179" s="42" t="str">
        <f>IF(ISBLANK(採点!DP190),"",採点!DP190)</f>
        <v/>
      </c>
      <c r="K179" s="66">
        <f ca="1">SUMIF(採点!$DB$5:$DG$13,"*"&amp;K177&amp;"*",採点!DB190:DM190)</f>
        <v>0</v>
      </c>
      <c r="L179" s="66">
        <f ca="1">SUMIF(採点!$DH$5:$DM$13,"*"&amp;K177&amp;"*",採点!DH190:DM190)</f>
        <v>0</v>
      </c>
      <c r="M179" s="66">
        <f ca="1">SUMIF(採点!$DB$5:$DG$13,"*"&amp;M177&amp;"*",採点!DB190:DM190)</f>
        <v>0</v>
      </c>
      <c r="N179" s="66">
        <f ca="1">SUMIF(採点!$DH$5:$DM$13,"*"&amp;M177&amp;"*",採点!DH190:DM190)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IFERROR(ROUNDDOWN(F180/初期設定!$C$48*100,0),"")</f>
        <v/>
      </c>
      <c r="I180" s="42" t="str">
        <f>IF(ISBLANK(採点!DP191),"",採点!DP191)</f>
        <v/>
      </c>
      <c r="K180" s="66">
        <f ca="1">SUMIF(採点!$DB$5:$DG$13,"*"&amp;K178&amp;"*",採点!DB191:DM191)</f>
        <v>0</v>
      </c>
      <c r="L180" s="66">
        <f ca="1">SUMIF(採点!$DH$5:$DM$13,"*"&amp;K178&amp;"*",採点!DH191:DM191)</f>
        <v>0</v>
      </c>
      <c r="M180" s="66">
        <f ca="1">SUMIF(採点!$DB$5:$DG$13,"*"&amp;M178&amp;"*",採点!DB191:DM191)</f>
        <v>0</v>
      </c>
      <c r="N180" s="66">
        <f ca="1">SUMIF(採点!$DH$5:$DM$13,"*"&amp;M178&amp;"*",採点!DH191:DM191)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IFERROR(ROUNDDOWN(F181/初期設定!$C$48*100,0),"")</f>
        <v/>
      </c>
      <c r="I181" s="42" t="str">
        <f>IF(ISBLANK(採点!DP192),"",採点!DP192)</f>
        <v/>
      </c>
      <c r="K181" s="66">
        <f ca="1">SUMIF(採点!$DB$5:$DG$13,"*"&amp;K179&amp;"*",採点!DB192:DM192)</f>
        <v>0</v>
      </c>
      <c r="L181" s="66">
        <f ca="1">SUMIF(採点!$DH$5:$DM$13,"*"&amp;K179&amp;"*",採点!DH192:DM192)</f>
        <v>0</v>
      </c>
      <c r="M181" s="66">
        <f ca="1">SUMIF(採点!$DB$5:$DG$13,"*"&amp;M179&amp;"*",採点!DB192:DM192)</f>
        <v>0</v>
      </c>
      <c r="N181" s="66">
        <f ca="1">SUMIF(採点!$DH$5:$DM$13,"*"&amp;M179&amp;"*",採点!DH192:DM192)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IFERROR(ROUNDDOWN(F182/初期設定!$C$48*100,0),"")</f>
        <v/>
      </c>
      <c r="I182" s="42" t="str">
        <f>IF(ISBLANK(採点!DP193),"",採点!DP193)</f>
        <v/>
      </c>
      <c r="K182" s="66">
        <f ca="1">SUMIF(採点!$DB$5:$DG$13,"*"&amp;K180&amp;"*",採点!DB193:DM193)</f>
        <v>0</v>
      </c>
      <c r="L182" s="66">
        <f ca="1">SUMIF(採点!$DH$5:$DM$13,"*"&amp;K180&amp;"*",採点!DH193:DM193)</f>
        <v>0</v>
      </c>
      <c r="M182" s="66">
        <f ca="1">SUMIF(採点!$DB$5:$DG$13,"*"&amp;M180&amp;"*",採点!DB193:DM193)</f>
        <v>0</v>
      </c>
      <c r="N182" s="66">
        <f ca="1">SUMIF(採点!$DH$5:$DM$13,"*"&amp;M180&amp;"*",採点!DH193:DM193)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IFERROR(ROUNDDOWN(F183/初期設定!$C$48*100,0),"")</f>
        <v/>
      </c>
      <c r="I183" s="42" t="str">
        <f>IF(ISBLANK(採点!DP194),"",採点!DP194)</f>
        <v/>
      </c>
      <c r="K183" s="66">
        <f ca="1">SUMIF(採点!$DB$5:$DG$13,"*"&amp;K181&amp;"*",採点!DB194:DM194)</f>
        <v>0</v>
      </c>
      <c r="L183" s="66">
        <f ca="1">SUMIF(採点!$DH$5:$DM$13,"*"&amp;K181&amp;"*",採点!DH194:DM194)</f>
        <v>0</v>
      </c>
      <c r="M183" s="66">
        <f ca="1">SUMIF(採点!$DB$5:$DG$13,"*"&amp;M181&amp;"*",採点!DB194:DM194)</f>
        <v>0</v>
      </c>
      <c r="N183" s="66">
        <f ca="1">SUMIF(採点!$DH$5:$DM$13,"*"&amp;M181&amp;"*",採点!DH194:DM194)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IFERROR(ROUNDDOWN(F184/初期設定!$C$48*100,0),"")</f>
        <v/>
      </c>
      <c r="I184" s="42" t="str">
        <f>IF(ISBLANK(採点!DP195),"",採点!DP195)</f>
        <v/>
      </c>
      <c r="K184" s="66">
        <f ca="1">SUMIF(採点!$DB$5:$DG$13,"*"&amp;K182&amp;"*",採点!DB195:DM195)</f>
        <v>0</v>
      </c>
      <c r="L184" s="66">
        <f ca="1">SUMIF(採点!$DH$5:$DM$13,"*"&amp;K182&amp;"*",採点!DH195:DM195)</f>
        <v>0</v>
      </c>
      <c r="M184" s="66">
        <f ca="1">SUMIF(採点!$DB$5:$DG$13,"*"&amp;M182&amp;"*",採点!DB195:DM195)</f>
        <v>0</v>
      </c>
      <c r="N184" s="66">
        <f ca="1">SUMIF(採点!$DH$5:$DM$13,"*"&amp;M182&amp;"*",採点!DH195:DM195)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IFERROR(ROUNDDOWN(F185/初期設定!$C$48*100,0),"")</f>
        <v/>
      </c>
      <c r="I185" s="42" t="str">
        <f>IF(ISBLANK(採点!DP196),"",採点!DP196)</f>
        <v/>
      </c>
      <c r="K185" s="66">
        <f ca="1">SUMIF(採点!$DB$5:$DG$13,"*"&amp;K183&amp;"*",採点!DB196:DM196)</f>
        <v>0</v>
      </c>
      <c r="L185" s="66">
        <f ca="1">SUMIF(採点!$DH$5:$DM$13,"*"&amp;K183&amp;"*",採点!DH196:DM196)</f>
        <v>0</v>
      </c>
      <c r="M185" s="66">
        <f ca="1">SUMIF(採点!$DB$5:$DG$13,"*"&amp;M183&amp;"*",採点!DB196:DM196)</f>
        <v>0</v>
      </c>
      <c r="N185" s="66">
        <f ca="1">SUMIF(採点!$DH$5:$DM$13,"*"&amp;M183&amp;"*",採点!DH196:DM196)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IFERROR(ROUNDDOWN(F186/初期設定!$C$48*100,0),"")</f>
        <v/>
      </c>
      <c r="I186" s="42" t="str">
        <f>IF(ISBLANK(採点!DP197),"",採点!DP197)</f>
        <v/>
      </c>
      <c r="K186" s="66">
        <f ca="1">SUMIF(採点!$DB$5:$DG$13,"*"&amp;K184&amp;"*",採点!DB197:DM197)</f>
        <v>0</v>
      </c>
      <c r="L186" s="66">
        <f ca="1">SUMIF(採点!$DH$5:$DM$13,"*"&amp;K184&amp;"*",採点!DH197:DM197)</f>
        <v>0</v>
      </c>
      <c r="M186" s="66">
        <f ca="1">SUMIF(採点!$DB$5:$DG$13,"*"&amp;M184&amp;"*",採点!DB197:DM197)</f>
        <v>0</v>
      </c>
      <c r="N186" s="66">
        <f ca="1">SUMIF(採点!$DH$5:$DM$13,"*"&amp;M184&amp;"*",採点!DH197:DM197)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IFERROR(ROUNDDOWN(F187/初期設定!$C$48*100,0),"")</f>
        <v/>
      </c>
      <c r="I187" s="42" t="str">
        <f>IF(ISBLANK(採点!DP198),"",採点!DP198)</f>
        <v/>
      </c>
      <c r="K187" s="66">
        <f ca="1">SUMIF(採点!$DB$5:$DG$13,"*"&amp;K185&amp;"*",採点!DB198:DM198)</f>
        <v>0</v>
      </c>
      <c r="L187" s="66">
        <f ca="1">SUMIF(採点!$DH$5:$DM$13,"*"&amp;K185&amp;"*",採点!DH198:DM198)</f>
        <v>0</v>
      </c>
      <c r="M187" s="66">
        <f ca="1">SUMIF(採点!$DB$5:$DG$13,"*"&amp;M185&amp;"*",採点!DB198:DM198)</f>
        <v>0</v>
      </c>
      <c r="N187" s="66">
        <f ca="1">SUMIF(採点!$DH$5:$DM$13,"*"&amp;M185&amp;"*",採点!DH198:DM198)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IFERROR(ROUNDDOWN(F188/初期設定!$C$48*100,0),"")</f>
        <v/>
      </c>
      <c r="I188" s="42" t="str">
        <f>IF(ISBLANK(採点!DP199),"",採点!DP199)</f>
        <v/>
      </c>
      <c r="K188" s="66">
        <f ca="1">SUMIF(採点!$DB$5:$DG$13,"*"&amp;K186&amp;"*",採点!DB199:DM199)</f>
        <v>0</v>
      </c>
      <c r="L188" s="66">
        <f ca="1">SUMIF(採点!$DH$5:$DM$13,"*"&amp;K186&amp;"*",採点!DH199:DM199)</f>
        <v>0</v>
      </c>
      <c r="M188" s="66">
        <f ca="1">SUMIF(採点!$DB$5:$DG$13,"*"&amp;M186&amp;"*",採点!DB199:DM199)</f>
        <v>0</v>
      </c>
      <c r="N188" s="66">
        <f ca="1">SUMIF(採点!$DH$5:$DM$13,"*"&amp;M186&amp;"*",採点!DH199:DM199)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IFERROR(ROUNDDOWN(F189/初期設定!$C$48*100,0),"")</f>
        <v/>
      </c>
      <c r="I189" s="42" t="str">
        <f>IF(ISBLANK(採点!DP200),"",採点!DP200)</f>
        <v/>
      </c>
      <c r="K189" s="66">
        <f ca="1">SUMIF(採点!$DB$5:$DG$13,"*"&amp;K187&amp;"*",採点!DB200:DM200)</f>
        <v>0</v>
      </c>
      <c r="L189" s="66">
        <f ca="1">SUMIF(採点!$DH$5:$DM$13,"*"&amp;K187&amp;"*",採点!DH200:DM200)</f>
        <v>0</v>
      </c>
      <c r="M189" s="66">
        <f ca="1">SUMIF(採点!$DB$5:$DG$13,"*"&amp;M187&amp;"*",採点!DB200:DM200)</f>
        <v>0</v>
      </c>
      <c r="N189" s="66">
        <f ca="1">SUMIF(採点!$DH$5:$DM$13,"*"&amp;M187&amp;"*",採点!DH200:DM200)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IFERROR(ROUNDDOWN(F190/初期設定!$C$48*100,0),"")</f>
        <v/>
      </c>
      <c r="I190" s="42" t="str">
        <f>IF(ISBLANK(採点!DP201),"",採点!DP201)</f>
        <v/>
      </c>
      <c r="K190" s="66">
        <f ca="1">SUMIF(採点!$DB$5:$DG$13,"*"&amp;K188&amp;"*",採点!DB201:DM201)</f>
        <v>0</v>
      </c>
      <c r="L190" s="66">
        <f ca="1">SUMIF(採点!$DH$5:$DM$13,"*"&amp;K188&amp;"*",採点!DH201:DM201)</f>
        <v>0</v>
      </c>
      <c r="M190" s="66">
        <f ca="1">SUMIF(採点!$DB$5:$DG$13,"*"&amp;M188&amp;"*",採点!DB201:DM201)</f>
        <v>0</v>
      </c>
      <c r="N190" s="66">
        <f ca="1">SUMIF(採点!$DH$5:$DM$13,"*"&amp;M188&amp;"*",採点!DH201:DM201)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IFERROR(ROUNDDOWN(F191/初期設定!$C$48*100,0),"")</f>
        <v/>
      </c>
      <c r="I191" s="42" t="str">
        <f>IF(ISBLANK(採点!DP202),"",採点!DP202)</f>
        <v/>
      </c>
      <c r="K191" s="66">
        <f ca="1">SUMIF(採点!$DB$5:$DG$13,"*"&amp;K189&amp;"*",採点!DB202:DM202)</f>
        <v>0</v>
      </c>
      <c r="L191" s="66">
        <f ca="1">SUMIF(採点!$DH$5:$DM$13,"*"&amp;K189&amp;"*",採点!DH202:DM202)</f>
        <v>0</v>
      </c>
      <c r="M191" s="66">
        <f ca="1">SUMIF(採点!$DB$5:$DG$13,"*"&amp;M189&amp;"*",採点!DB202:DM202)</f>
        <v>0</v>
      </c>
      <c r="N191" s="66">
        <f ca="1">SUMIF(採点!$DH$5:$DM$13,"*"&amp;M189&amp;"*",採点!DH202:DM202)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IFERROR(ROUNDDOWN(F192/初期設定!$C$48*100,0),"")</f>
        <v/>
      </c>
      <c r="I192" s="42" t="str">
        <f>IF(ISBLANK(採点!DP203),"",採点!DP203)</f>
        <v/>
      </c>
      <c r="K192" s="66">
        <f ca="1">SUMIF(採点!$DB$5:$DG$13,"*"&amp;K190&amp;"*",採点!DB203:DM203)</f>
        <v>0</v>
      </c>
      <c r="L192" s="66">
        <f ca="1">SUMIF(採点!$DH$5:$DM$13,"*"&amp;K190&amp;"*",採点!DH203:DM203)</f>
        <v>0</v>
      </c>
      <c r="M192" s="66">
        <f ca="1">SUMIF(採点!$DB$5:$DG$13,"*"&amp;M190&amp;"*",採点!DB203:DM203)</f>
        <v>0</v>
      </c>
      <c r="N192" s="66">
        <f ca="1">SUMIF(採点!$DH$5:$DM$13,"*"&amp;M190&amp;"*",採点!DH203:DM203)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IFERROR(ROUNDDOWN(F193/初期設定!$C$48*100,0),"")</f>
        <v/>
      </c>
      <c r="I193" s="42" t="str">
        <f>IF(ISBLANK(採点!DP204),"",採点!DP204)</f>
        <v/>
      </c>
      <c r="K193" s="66">
        <f ca="1">SUMIF(採点!$DB$5:$DG$13,"*"&amp;K191&amp;"*",採点!DB204:DM204)</f>
        <v>0</v>
      </c>
      <c r="L193" s="66">
        <f ca="1">SUMIF(採点!$DH$5:$DM$13,"*"&amp;K191&amp;"*",採点!DH204:DM204)</f>
        <v>0</v>
      </c>
      <c r="M193" s="66">
        <f ca="1">SUMIF(採点!$DB$5:$DG$13,"*"&amp;M191&amp;"*",採点!DB204:DM204)</f>
        <v>0</v>
      </c>
      <c r="N193" s="66">
        <f ca="1">SUMIF(採点!$DH$5:$DM$13,"*"&amp;M191&amp;"*",採点!DH204:DM204)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IFERROR(ROUNDDOWN(F194/初期設定!$C$48*100,0),"")</f>
        <v/>
      </c>
      <c r="I194" s="42" t="str">
        <f>IF(ISBLANK(採点!DP205),"",採点!DP205)</f>
        <v/>
      </c>
      <c r="K194" s="66">
        <f ca="1">SUMIF(採点!$DB$5:$DG$13,"*"&amp;K192&amp;"*",採点!DB205:DM205)</f>
        <v>0</v>
      </c>
      <c r="L194" s="66">
        <f ca="1">SUMIF(採点!$DH$5:$DM$13,"*"&amp;K192&amp;"*",採点!DH205:DM205)</f>
        <v>0</v>
      </c>
      <c r="M194" s="66">
        <f ca="1">SUMIF(採点!$DB$5:$DG$13,"*"&amp;M192&amp;"*",採点!DB205:DM205)</f>
        <v>0</v>
      </c>
      <c r="N194" s="66">
        <f ca="1">SUMIF(採点!$DH$5:$DM$13,"*"&amp;M192&amp;"*",採点!DH205:DM205)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IFERROR(ROUNDDOWN(F195/初期設定!$C$48*100,0),"")</f>
        <v/>
      </c>
      <c r="I195" s="42" t="str">
        <f>IF(ISBLANK(採点!DP206),"",採点!DP206)</f>
        <v/>
      </c>
      <c r="K195" s="66">
        <f ca="1">SUMIF(採点!$DB$5:$DG$13,"*"&amp;K193&amp;"*",採点!DB206:DM206)</f>
        <v>0</v>
      </c>
      <c r="L195" s="66">
        <f ca="1">SUMIF(採点!$DH$5:$DM$13,"*"&amp;K193&amp;"*",採点!DH206:DM206)</f>
        <v>0</v>
      </c>
      <c r="M195" s="66">
        <f ca="1">SUMIF(採点!$DB$5:$DG$13,"*"&amp;M193&amp;"*",採点!DB206:DM206)</f>
        <v>0</v>
      </c>
      <c r="N195" s="66">
        <f ca="1">SUMIF(採点!$DH$5:$DM$13,"*"&amp;M193&amp;"*",採点!DH206:DM206)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IFERROR(ROUNDDOWN(F196/初期設定!$C$48*100,0),"")</f>
        <v/>
      </c>
      <c r="I196" s="42" t="str">
        <f>IF(ISBLANK(採点!DP207),"",採点!DP207)</f>
        <v/>
      </c>
      <c r="K196" s="66">
        <f ca="1">SUMIF(採点!$DB$5:$DG$13,"*"&amp;K194&amp;"*",採点!DB207:DM207)</f>
        <v>0</v>
      </c>
      <c r="L196" s="66">
        <f ca="1">SUMIF(採点!$DH$5:$DM$13,"*"&amp;K194&amp;"*",採点!DH207:DM207)</f>
        <v>0</v>
      </c>
      <c r="M196" s="66">
        <f ca="1">SUMIF(採点!$DB$5:$DG$13,"*"&amp;M194&amp;"*",採点!DB207:DM207)</f>
        <v>0</v>
      </c>
      <c r="N196" s="66">
        <f ca="1">SUMIF(採点!$DH$5:$DM$13,"*"&amp;M194&amp;"*",採点!DH207:DM207)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IFERROR(ROUNDDOWN(F197/初期設定!$C$48*100,0),"")</f>
        <v/>
      </c>
      <c r="I197" s="42" t="str">
        <f>IF(ISBLANK(採点!DP208),"",採点!DP208)</f>
        <v/>
      </c>
      <c r="K197" s="66">
        <f ca="1">SUMIF(採点!$DB$5:$DG$13,"*"&amp;K195&amp;"*",採点!DB208:DM208)</f>
        <v>0</v>
      </c>
      <c r="L197" s="66">
        <f ca="1">SUMIF(採点!$DH$5:$DM$13,"*"&amp;K195&amp;"*",採点!DH208:DM208)</f>
        <v>0</v>
      </c>
      <c r="M197" s="66">
        <f ca="1">SUMIF(採点!$DB$5:$DG$13,"*"&amp;M195&amp;"*",採点!DB208:DM208)</f>
        <v>0</v>
      </c>
      <c r="N197" s="66">
        <f ca="1">SUMIF(採点!$DH$5:$DM$13,"*"&amp;M195&amp;"*",採点!DH208:DM208)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IFERROR(ROUNDDOWN(F198/初期設定!$C$48*100,0),"")</f>
        <v/>
      </c>
      <c r="I198" s="42" t="str">
        <f>IF(ISBLANK(採点!DP209),"",採点!DP209)</f>
        <v/>
      </c>
      <c r="K198" s="66">
        <f ca="1">SUMIF(採点!$DB$5:$DG$13,"*"&amp;K196&amp;"*",採点!DB209:DM209)</f>
        <v>0</v>
      </c>
      <c r="L198" s="66">
        <f ca="1">SUMIF(採点!$DH$5:$DM$13,"*"&amp;K196&amp;"*",採点!DH209:DM209)</f>
        <v>0</v>
      </c>
      <c r="M198" s="66">
        <f ca="1">SUMIF(採点!$DB$5:$DG$13,"*"&amp;M196&amp;"*",採点!DB209:DM209)</f>
        <v>0</v>
      </c>
      <c r="N198" s="66">
        <f ca="1">SUMIF(採点!$DH$5:$DM$13,"*"&amp;M196&amp;"*",採点!DH209:DM209)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IFERROR(ROUNDDOWN(F199/初期設定!$C$48*100,0),"")</f>
        <v/>
      </c>
      <c r="I199" s="42" t="str">
        <f>IF(ISBLANK(採点!DP210),"",採点!DP210)</f>
        <v/>
      </c>
      <c r="K199" s="66">
        <f ca="1">SUMIF(採点!$DB$5:$DG$13,"*"&amp;K197&amp;"*",採点!DB210:DM210)</f>
        <v>0</v>
      </c>
      <c r="L199" s="66">
        <f ca="1">SUMIF(採点!$DH$5:$DM$13,"*"&amp;K197&amp;"*",採点!DH210:DM210)</f>
        <v>0</v>
      </c>
      <c r="M199" s="66">
        <f ca="1">SUMIF(採点!$DB$5:$DG$13,"*"&amp;M197&amp;"*",採点!DB210:DM210)</f>
        <v>0</v>
      </c>
      <c r="N199" s="66">
        <f ca="1">SUMIF(採点!$DH$5:$DM$13,"*"&amp;M197&amp;"*",採点!DH210:DM210)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IFERROR(ROUNDDOWN(F200/初期設定!$C$48*100,0),"")</f>
        <v/>
      </c>
      <c r="I200" s="42" t="str">
        <f>IF(ISBLANK(採点!DP211),"",採点!DP211)</f>
        <v/>
      </c>
      <c r="K200" s="66">
        <f ca="1">SUMIF(採点!$DB$5:$DG$13,"*"&amp;K198&amp;"*",採点!DB211:DM211)</f>
        <v>0</v>
      </c>
      <c r="L200" s="66">
        <f ca="1">SUMIF(採点!$DH$5:$DM$13,"*"&amp;K198&amp;"*",採点!DH211:DM211)</f>
        <v>0</v>
      </c>
      <c r="M200" s="66">
        <f ca="1">SUMIF(採点!$DB$5:$DG$13,"*"&amp;M198&amp;"*",採点!DB211:DM211)</f>
        <v>0</v>
      </c>
      <c r="N200" s="66">
        <f ca="1">SUMIF(採点!$DH$5:$DM$13,"*"&amp;M198&amp;"*",採点!DH211:DM211)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IFERROR(ROUNDDOWN(F201/初期設定!$C$48*100,0),"")</f>
        <v/>
      </c>
      <c r="I201" s="42" t="str">
        <f>IF(ISBLANK(採点!DP212),"",採点!DP212)</f>
        <v/>
      </c>
      <c r="K201" s="66">
        <f ca="1">SUMIF(採点!$DB$5:$DG$13,"*"&amp;K199&amp;"*",採点!DB212:DM212)</f>
        <v>0</v>
      </c>
      <c r="L201" s="66">
        <f ca="1">SUMIF(採点!$DH$5:$DM$13,"*"&amp;K199&amp;"*",採点!DH212:DM212)</f>
        <v>0</v>
      </c>
      <c r="M201" s="66">
        <f ca="1">SUMIF(採点!$DB$5:$DG$13,"*"&amp;M199&amp;"*",採点!DB212:DM212)</f>
        <v>0</v>
      </c>
      <c r="N201" s="66">
        <f ca="1">SUMIF(採点!$DH$5:$DM$13,"*"&amp;M199&amp;"*",採点!DH212:DM212)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IFERROR(ROUNDDOWN(F202/初期設定!$C$48*100,0),"")</f>
        <v/>
      </c>
      <c r="I202" s="42" t="str">
        <f>IF(ISBLANK(採点!DP213),"",採点!DP213)</f>
        <v/>
      </c>
      <c r="K202" s="66">
        <f ca="1">SUMIF(採点!$DB$5:$DG$13,"*"&amp;K200&amp;"*",採点!DB213:DM213)</f>
        <v>0</v>
      </c>
      <c r="L202" s="66">
        <f ca="1">SUMIF(採点!$DH$5:$DM$13,"*"&amp;K200&amp;"*",採点!DH213:DM213)</f>
        <v>0</v>
      </c>
      <c r="M202" s="66">
        <f ca="1">SUMIF(採点!$DB$5:$DG$13,"*"&amp;M200&amp;"*",採点!DB213:DM213)</f>
        <v>0</v>
      </c>
      <c r="N202" s="66">
        <f ca="1">SUMIF(採点!$DH$5:$DM$13,"*"&amp;M200&amp;"*",採点!DH213:DM213)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IFERROR(ROUNDDOWN(F203/初期設定!$C$48*100,0),"")</f>
        <v/>
      </c>
      <c r="I203" s="42" t="str">
        <f>IF(ISBLANK(採点!DP214),"",採点!DP214)</f>
        <v/>
      </c>
      <c r="K203" s="66">
        <f ca="1">SUMIF(採点!$DB$5:$DG$13,"*"&amp;K201&amp;"*",採点!DB214:DM214)</f>
        <v>0</v>
      </c>
      <c r="L203" s="66">
        <f ca="1">SUMIF(採点!$DH$5:$DM$13,"*"&amp;K201&amp;"*",採点!DH214:DM214)</f>
        <v>0</v>
      </c>
      <c r="M203" s="66">
        <f ca="1">SUMIF(採点!$DB$5:$DG$13,"*"&amp;M201&amp;"*",採点!DB214:DM214)</f>
        <v>0</v>
      </c>
      <c r="N203" s="66">
        <f ca="1">SUMIF(採点!$DH$5:$DM$13,"*"&amp;M201&amp;"*",採点!DH214:DM214)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IFERROR(ROUNDDOWN(F204/初期設定!$C$48*100,0),"")</f>
        <v/>
      </c>
      <c r="I204" s="42" t="str">
        <f>IF(ISBLANK(採点!DP215),"",採点!DP215)</f>
        <v/>
      </c>
      <c r="K204" s="66">
        <f ca="1">SUMIF(採点!$DB$5:$DG$13,"*"&amp;K202&amp;"*",採点!DB215:DM215)</f>
        <v>0</v>
      </c>
      <c r="L204" s="66">
        <f ca="1">SUMIF(採点!$DH$5:$DM$13,"*"&amp;K202&amp;"*",採点!DH215:DM215)</f>
        <v>0</v>
      </c>
      <c r="M204" s="66">
        <f ca="1">SUMIF(採点!$DB$5:$DG$13,"*"&amp;M202&amp;"*",採点!DB215:DM215)</f>
        <v>0</v>
      </c>
      <c r="N204" s="66">
        <f ca="1">SUMIF(採点!$DH$5:$DM$13,"*"&amp;M202&amp;"*",採点!DH215:DM215)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IFERROR(ROUNDDOWN(F205/初期設定!$C$48*100,0),"")</f>
        <v/>
      </c>
      <c r="I205" s="42" t="str">
        <f>IF(ISBLANK(採点!DP216),"",採点!DP216)</f>
        <v/>
      </c>
      <c r="K205" s="66">
        <f ca="1">SUMIF(採点!$DB$5:$DG$13,"*"&amp;K203&amp;"*",採点!DB216:DM216)</f>
        <v>0</v>
      </c>
      <c r="L205" s="66">
        <f ca="1">SUMIF(採点!$DH$5:$DM$13,"*"&amp;K203&amp;"*",採点!DH216:DM216)</f>
        <v>0</v>
      </c>
      <c r="M205" s="66">
        <f ca="1">SUMIF(採点!$DB$5:$DG$13,"*"&amp;M203&amp;"*",採点!DB216:DM216)</f>
        <v>0</v>
      </c>
      <c r="N205" s="66">
        <f ca="1">SUMIF(採点!$DH$5:$DM$13,"*"&amp;M203&amp;"*",採点!DH216:DM216)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IFERROR(ROUNDDOWN(F206/初期設定!$C$48*100,0),"")</f>
        <v/>
      </c>
      <c r="I206" s="42" t="str">
        <f>IF(ISBLANK(採点!DP217),"",採点!DP217)</f>
        <v/>
      </c>
      <c r="K206" s="66">
        <f ca="1">SUMIF(採点!$DB$5:$DG$13,"*"&amp;K204&amp;"*",採点!DB217:DM217)</f>
        <v>0</v>
      </c>
      <c r="L206" s="66">
        <f ca="1">SUMIF(採点!$DH$5:$DM$13,"*"&amp;K204&amp;"*",採点!DH217:DM217)</f>
        <v>0</v>
      </c>
      <c r="M206" s="66">
        <f ca="1">SUMIF(採点!$DB$5:$DG$13,"*"&amp;M204&amp;"*",採点!DB217:DM217)</f>
        <v>0</v>
      </c>
      <c r="N206" s="66">
        <f ca="1">SUMIF(採点!$DH$5:$DM$13,"*"&amp;M204&amp;"*",採点!DH217:DM217)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IFERROR(ROUNDDOWN(F207/初期設定!$C$48*100,0),"")</f>
        <v/>
      </c>
      <c r="I207" s="42" t="str">
        <f>IF(ISBLANK(採点!DP218),"",採点!DP218)</f>
        <v/>
      </c>
      <c r="K207" s="66">
        <f ca="1">SUMIF(採点!$DB$5:$DG$13,"*"&amp;K205&amp;"*",採点!DB218:DM218)</f>
        <v>0</v>
      </c>
      <c r="L207" s="66">
        <f ca="1">SUMIF(採点!$DH$5:$DM$13,"*"&amp;K205&amp;"*",採点!DH218:DM218)</f>
        <v>0</v>
      </c>
      <c r="M207" s="66">
        <f ca="1">SUMIF(採点!$DB$5:$DG$13,"*"&amp;M205&amp;"*",採点!DB218:DM218)</f>
        <v>0</v>
      </c>
      <c r="N207" s="66">
        <f ca="1">SUMIF(採点!$DH$5:$DM$13,"*"&amp;M205&amp;"*",採点!DH218:DM218)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IFERROR(ROUNDDOWN(F208/初期設定!$C$48*100,0),"")</f>
        <v/>
      </c>
      <c r="I208" s="42" t="str">
        <f>IF(ISBLANK(採点!DP219),"",採点!DP219)</f>
        <v/>
      </c>
      <c r="K208" s="66">
        <f ca="1">SUMIF(採点!$DB$5:$DG$13,"*"&amp;K206&amp;"*",採点!DB219:DM219)</f>
        <v>0</v>
      </c>
      <c r="L208" s="66">
        <f ca="1">SUMIF(採点!$DH$5:$DM$13,"*"&amp;K206&amp;"*",採点!DH219:DM219)</f>
        <v>0</v>
      </c>
      <c r="M208" s="66">
        <f ca="1">SUMIF(採点!$DB$5:$DG$13,"*"&amp;M206&amp;"*",採点!DB219:DM219)</f>
        <v>0</v>
      </c>
      <c r="N208" s="66">
        <f ca="1">SUMIF(採点!$DH$5:$DM$13,"*"&amp;M206&amp;"*",採点!DH219:DM219)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IFERROR(ROUNDDOWN(F209/初期設定!$C$48*100,0),"")</f>
        <v/>
      </c>
      <c r="I209" s="42" t="str">
        <f>IF(ISBLANK(採点!DP220),"",採点!DP220)</f>
        <v/>
      </c>
      <c r="K209" s="66">
        <f ca="1">SUMIF(採点!$DB$5:$DG$13,"*"&amp;K207&amp;"*",採点!DB220:DM220)</f>
        <v>0</v>
      </c>
      <c r="L209" s="66">
        <f ca="1">SUMIF(採点!$DH$5:$DM$13,"*"&amp;K207&amp;"*",採点!DH220:DM220)</f>
        <v>0</v>
      </c>
      <c r="M209" s="66">
        <f ca="1">SUMIF(採点!$DB$5:$DG$13,"*"&amp;M207&amp;"*",採点!DB220:DM220)</f>
        <v>0</v>
      </c>
      <c r="N209" s="66">
        <f ca="1">SUMIF(採点!$DH$5:$DM$13,"*"&amp;M207&amp;"*",採点!DH220:DM220)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IFERROR(ROUNDDOWN(F210/初期設定!$C$48*100,0),"")</f>
        <v/>
      </c>
      <c r="I210" s="42" t="str">
        <f>IF(ISBLANK(採点!DP221),"",採点!DP221)</f>
        <v/>
      </c>
      <c r="K210" s="66">
        <f ca="1">SUMIF(採点!$DB$5:$DG$13,"*"&amp;K208&amp;"*",採点!DB221:DM221)</f>
        <v>0</v>
      </c>
      <c r="L210" s="66">
        <f ca="1">SUMIF(採点!$DH$5:$DM$13,"*"&amp;K208&amp;"*",採点!DH221:DM221)</f>
        <v>0</v>
      </c>
      <c r="M210" s="66">
        <f ca="1">SUMIF(採点!$DB$5:$DG$13,"*"&amp;M208&amp;"*",採点!DB221:DM221)</f>
        <v>0</v>
      </c>
      <c r="N210" s="66">
        <f ca="1">SUMIF(採点!$DH$5:$DM$13,"*"&amp;M208&amp;"*",採点!DH221:DM221)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IFERROR(ROUNDDOWN(F211/初期設定!$C$48*100,0),"")</f>
        <v/>
      </c>
      <c r="I211" s="42" t="str">
        <f>IF(ISBLANK(採点!DP222),"",採点!DP222)</f>
        <v/>
      </c>
      <c r="K211" s="66">
        <f ca="1">SUMIF(採点!$DB$5:$DG$13,"*"&amp;K209&amp;"*",採点!DB222:DM222)</f>
        <v>0</v>
      </c>
      <c r="L211" s="66">
        <f ca="1">SUMIF(採点!$DH$5:$DM$13,"*"&amp;K209&amp;"*",採点!DH222:DM222)</f>
        <v>0</v>
      </c>
      <c r="M211" s="66">
        <f ca="1">SUMIF(採点!$DB$5:$DG$13,"*"&amp;M209&amp;"*",採点!DB222:DM222)</f>
        <v>0</v>
      </c>
      <c r="N211" s="66">
        <f ca="1">SUMIF(採点!$DH$5:$DM$13,"*"&amp;M209&amp;"*",採点!DH222:DM222)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IFERROR(ROUNDDOWN(F212/初期設定!$C$48*100,0),"")</f>
        <v/>
      </c>
      <c r="I212" s="42" t="str">
        <f>IF(ISBLANK(採点!DP223),"",採点!DP223)</f>
        <v/>
      </c>
      <c r="K212" s="66">
        <f ca="1">SUMIF(採点!$DB$5:$DG$13,"*"&amp;K210&amp;"*",採点!DB223:DM223)</f>
        <v>0</v>
      </c>
      <c r="L212" s="66">
        <f ca="1">SUMIF(採点!$DH$5:$DM$13,"*"&amp;K210&amp;"*",採点!DH223:DM223)</f>
        <v>0</v>
      </c>
      <c r="M212" s="66">
        <f ca="1">SUMIF(採点!$DB$5:$DG$13,"*"&amp;M210&amp;"*",採点!DB223:DM223)</f>
        <v>0</v>
      </c>
      <c r="N212" s="66">
        <f ca="1">SUMIF(採点!$DH$5:$DM$13,"*"&amp;M210&amp;"*",採点!DH223:DM223)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IFERROR(ROUNDDOWN(F213/初期設定!$C$48*100,0),"")</f>
        <v/>
      </c>
      <c r="I213" s="42" t="str">
        <f>IF(ISBLANK(採点!DP224),"",採点!DP224)</f>
        <v/>
      </c>
      <c r="K213" s="66">
        <f ca="1">SUMIF(採点!$DB$5:$DG$13,"*"&amp;K211&amp;"*",採点!DB224:DM224)</f>
        <v>0</v>
      </c>
      <c r="L213" s="66">
        <f ca="1">SUMIF(採点!$DH$5:$DM$13,"*"&amp;K211&amp;"*",採点!DH224:DM224)</f>
        <v>0</v>
      </c>
      <c r="M213" s="66">
        <f ca="1">SUMIF(採点!$DB$5:$DG$13,"*"&amp;M211&amp;"*",採点!DB224:DM224)</f>
        <v>0</v>
      </c>
      <c r="N213" s="66">
        <f ca="1">SUMIF(採点!$DH$5:$DM$13,"*"&amp;M211&amp;"*",採点!DH224:DM224)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IFERROR(ROUNDDOWN(F214/初期設定!$C$48*100,0),"")</f>
        <v/>
      </c>
      <c r="I214" s="42" t="str">
        <f>IF(ISBLANK(採点!DP225),"",採点!DP225)</f>
        <v/>
      </c>
      <c r="K214" s="66">
        <f ca="1">SUMIF(採点!$DB$5:$DG$13,"*"&amp;K212&amp;"*",採点!DB225:DM225)</f>
        <v>0</v>
      </c>
      <c r="L214" s="66">
        <f ca="1">SUMIF(採点!$DH$5:$DM$13,"*"&amp;K212&amp;"*",採点!DH225:DM225)</f>
        <v>0</v>
      </c>
      <c r="M214" s="66">
        <f ca="1">SUMIF(採点!$DB$5:$DG$13,"*"&amp;M212&amp;"*",採点!DB225:DM225)</f>
        <v>0</v>
      </c>
      <c r="N214" s="66">
        <f ca="1">SUMIF(採点!$DH$5:$DM$13,"*"&amp;M212&amp;"*",採点!DH225:DM225)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IFERROR(ROUNDDOWN(F215/初期設定!$C$48*100,0),"")</f>
        <v/>
      </c>
      <c r="I215" s="42" t="str">
        <f>IF(ISBLANK(採点!DP226),"",採点!DP226)</f>
        <v/>
      </c>
      <c r="K215" s="66">
        <f ca="1">SUMIF(採点!$DB$5:$DG$13,"*"&amp;K213&amp;"*",採点!DB226:DM226)</f>
        <v>0</v>
      </c>
      <c r="L215" s="66">
        <f ca="1">SUMIF(採点!$DH$5:$DM$13,"*"&amp;K213&amp;"*",採点!DH226:DM226)</f>
        <v>0</v>
      </c>
      <c r="M215" s="66">
        <f ca="1">SUMIF(採点!$DB$5:$DG$13,"*"&amp;M213&amp;"*",採点!DB226:DM226)</f>
        <v>0</v>
      </c>
      <c r="N215" s="66">
        <f ca="1">SUMIF(採点!$DH$5:$DM$13,"*"&amp;M213&amp;"*",採点!DH226:DM226)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IFERROR(ROUNDDOWN(F216/初期設定!$C$48*100,0),"")</f>
        <v/>
      </c>
      <c r="I216" s="42" t="str">
        <f>IF(ISBLANK(採点!DP227),"",採点!DP227)</f>
        <v/>
      </c>
      <c r="K216" s="66">
        <f ca="1">SUMIF(採点!$DB$5:$DG$13,"*"&amp;K214&amp;"*",採点!DB227:DM227)</f>
        <v>0</v>
      </c>
      <c r="L216" s="66">
        <f ca="1">SUMIF(採点!$DH$5:$DM$13,"*"&amp;K214&amp;"*",採点!DH227:DM227)</f>
        <v>0</v>
      </c>
      <c r="M216" s="66">
        <f ca="1">SUMIF(採点!$DB$5:$DG$13,"*"&amp;M214&amp;"*",採点!DB227:DM227)</f>
        <v>0</v>
      </c>
      <c r="N216" s="66">
        <f ca="1">SUMIF(採点!$DH$5:$DM$13,"*"&amp;M214&amp;"*",採点!DH227:DM227)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IFERROR(ROUNDDOWN(F217/初期設定!$C$48*100,0),"")</f>
        <v/>
      </c>
      <c r="I217" s="42" t="str">
        <f>IF(ISBLANK(採点!DP228),"",採点!DP228)</f>
        <v/>
      </c>
      <c r="K217" s="66">
        <f ca="1">SUMIF(採点!$DB$5:$DG$13,"*"&amp;K215&amp;"*",採点!DB228:DM228)</f>
        <v>0</v>
      </c>
      <c r="L217" s="66">
        <f ca="1">SUMIF(採点!$DH$5:$DM$13,"*"&amp;K215&amp;"*",採点!DH228:DM228)</f>
        <v>0</v>
      </c>
      <c r="M217" s="66">
        <f ca="1">SUMIF(採点!$DB$5:$DG$13,"*"&amp;M215&amp;"*",採点!DB228:DM228)</f>
        <v>0</v>
      </c>
      <c r="N217" s="66">
        <f ca="1">SUMIF(採点!$DH$5:$DM$13,"*"&amp;M215&amp;"*",採点!DH228:DM228)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IFERROR(ROUNDDOWN(F218/初期設定!$C$48*100,0),"")</f>
        <v/>
      </c>
      <c r="I218" s="42" t="str">
        <f>IF(ISBLANK(採点!DP229),"",採点!DP229)</f>
        <v/>
      </c>
      <c r="K218" s="66">
        <f ca="1">SUMIF(採点!$DB$5:$DG$13,"*"&amp;K216&amp;"*",採点!DB229:DM229)</f>
        <v>0</v>
      </c>
      <c r="L218" s="66">
        <f ca="1">SUMIF(採点!$DH$5:$DM$13,"*"&amp;K216&amp;"*",採点!DH229:DM229)</f>
        <v>0</v>
      </c>
      <c r="M218" s="66">
        <f ca="1">SUMIF(採点!$DB$5:$DG$13,"*"&amp;M216&amp;"*",採点!DB229:DM229)</f>
        <v>0</v>
      </c>
      <c r="N218" s="66">
        <f ca="1">SUMIF(採点!$DH$5:$DM$13,"*"&amp;M216&amp;"*",採点!DH229:DM229)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IFERROR(ROUNDDOWN(F219/初期設定!$C$48*100,0),"")</f>
        <v/>
      </c>
      <c r="I219" s="42" t="str">
        <f>IF(ISBLANK(採点!DP230),"",採点!DP230)</f>
        <v/>
      </c>
      <c r="K219" s="66">
        <f ca="1">SUMIF(採点!$DB$5:$DG$13,"*"&amp;K217&amp;"*",採点!DB230:DM230)</f>
        <v>0</v>
      </c>
      <c r="L219" s="66">
        <f ca="1">SUMIF(採点!$DH$5:$DM$13,"*"&amp;K217&amp;"*",採点!DH230:DM230)</f>
        <v>0</v>
      </c>
      <c r="M219" s="66">
        <f ca="1">SUMIF(採点!$DB$5:$DG$13,"*"&amp;M217&amp;"*",採点!DB230:DM230)</f>
        <v>0</v>
      </c>
      <c r="N219" s="66">
        <f ca="1">SUMIF(採点!$DH$5:$DM$13,"*"&amp;M217&amp;"*",採点!DH230:DM230)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IFERROR(ROUNDDOWN(F220/初期設定!$C$48*100,0),"")</f>
        <v/>
      </c>
      <c r="I220" s="42" t="str">
        <f>IF(ISBLANK(採点!DP231),"",採点!DP231)</f>
        <v/>
      </c>
      <c r="K220" s="66">
        <f ca="1">SUMIF(採点!$DB$5:$DG$13,"*"&amp;K218&amp;"*",採点!DB231:DM231)</f>
        <v>0</v>
      </c>
      <c r="L220" s="66">
        <f ca="1">SUMIF(採点!$DH$5:$DM$13,"*"&amp;K218&amp;"*",採点!DH231:DM231)</f>
        <v>0</v>
      </c>
      <c r="M220" s="66">
        <f ca="1">SUMIF(採点!$DB$5:$DG$13,"*"&amp;M218&amp;"*",採点!DB231:DM231)</f>
        <v>0</v>
      </c>
      <c r="N220" s="66">
        <f ca="1">SUMIF(採点!$DH$5:$DM$13,"*"&amp;M218&amp;"*",採点!DH231:DM231)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IFERROR(ROUNDDOWN(F221/初期設定!$C$48*100,0),"")</f>
        <v/>
      </c>
      <c r="I221" s="42" t="str">
        <f>IF(ISBLANK(採点!DP232),"",採点!DP232)</f>
        <v/>
      </c>
      <c r="K221" s="66">
        <f ca="1">SUMIF(採点!$DB$5:$DG$13,"*"&amp;K219&amp;"*",採点!DB232:DM232)</f>
        <v>0</v>
      </c>
      <c r="L221" s="66">
        <f ca="1">SUMIF(採点!$DH$5:$DM$13,"*"&amp;K219&amp;"*",採点!DH232:DM232)</f>
        <v>0</v>
      </c>
      <c r="M221" s="66">
        <f ca="1">SUMIF(採点!$DB$5:$DG$13,"*"&amp;M219&amp;"*",採点!DB232:DM232)</f>
        <v>0</v>
      </c>
      <c r="N221" s="66">
        <f ca="1">SUMIF(採点!$DH$5:$DM$13,"*"&amp;M219&amp;"*",採点!DH232:DM232)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IFERROR(ROUNDDOWN(F222/初期設定!$C$48*100,0),"")</f>
        <v/>
      </c>
      <c r="I222" s="42" t="str">
        <f>IF(ISBLANK(採点!DP233),"",採点!DP233)</f>
        <v/>
      </c>
      <c r="K222" s="66">
        <f ca="1">SUMIF(採点!$DB$5:$DG$13,"*"&amp;K220&amp;"*",採点!DB233:DM233)</f>
        <v>0</v>
      </c>
      <c r="L222" s="66">
        <f ca="1">SUMIF(採点!$DH$5:$DM$13,"*"&amp;K220&amp;"*",採点!DH233:DM233)</f>
        <v>0</v>
      </c>
      <c r="M222" s="66">
        <f ca="1">SUMIF(採点!$DB$5:$DG$13,"*"&amp;M220&amp;"*",採点!DB233:DM233)</f>
        <v>0</v>
      </c>
      <c r="N222" s="66">
        <f ca="1">SUMIF(採点!$DH$5:$DM$13,"*"&amp;M220&amp;"*",採点!DH233:DM233)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IFERROR(ROUNDDOWN(F223/初期設定!$C$48*100,0),"")</f>
        <v/>
      </c>
      <c r="I223" s="42" t="str">
        <f>IF(ISBLANK(採点!DP234),"",採点!DP234)</f>
        <v/>
      </c>
      <c r="K223" s="66">
        <f ca="1">SUMIF(採点!$DB$5:$DG$13,"*"&amp;K221&amp;"*",採点!DB234:DM234)</f>
        <v>0</v>
      </c>
      <c r="L223" s="66">
        <f ca="1">SUMIF(採点!$DH$5:$DM$13,"*"&amp;K221&amp;"*",採点!DH234:DM234)</f>
        <v>0</v>
      </c>
      <c r="M223" s="66">
        <f ca="1">SUMIF(採点!$DB$5:$DG$13,"*"&amp;M221&amp;"*",採点!DB234:DM234)</f>
        <v>0</v>
      </c>
      <c r="N223" s="66">
        <f ca="1">SUMIF(採点!$DH$5:$DM$13,"*"&amp;M221&amp;"*",採点!DH234:DM234)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IFERROR(ROUNDDOWN(F224/初期設定!$C$48*100,0),"")</f>
        <v/>
      </c>
      <c r="I224" s="42" t="str">
        <f>IF(ISBLANK(採点!DP235),"",採点!DP235)</f>
        <v/>
      </c>
      <c r="K224" s="66">
        <f ca="1">SUMIF(採点!$DB$5:$DG$13,"*"&amp;K222&amp;"*",採点!DB235:DM235)</f>
        <v>0</v>
      </c>
      <c r="L224" s="66">
        <f ca="1">SUMIF(採点!$DH$5:$DM$13,"*"&amp;K222&amp;"*",採点!DH235:DM235)</f>
        <v>0</v>
      </c>
      <c r="M224" s="66">
        <f ca="1">SUMIF(採点!$DB$5:$DG$13,"*"&amp;M222&amp;"*",採点!DB235:DM235)</f>
        <v>0</v>
      </c>
      <c r="N224" s="66">
        <f ca="1">SUMIF(採点!$DH$5:$DM$13,"*"&amp;M222&amp;"*",採点!DH235:DM235)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IFERROR(ROUNDDOWN(F225/初期設定!$C$48*100,0),"")</f>
        <v/>
      </c>
      <c r="I225" s="42" t="str">
        <f>IF(ISBLANK(採点!DP236),"",採点!DP236)</f>
        <v/>
      </c>
      <c r="K225" s="66">
        <f ca="1">SUMIF(採点!$DB$5:$DG$13,"*"&amp;K223&amp;"*",採点!DB236:DM236)</f>
        <v>0</v>
      </c>
      <c r="L225" s="66">
        <f ca="1">SUMIF(採点!$DH$5:$DM$13,"*"&amp;K223&amp;"*",採点!DH236:DM236)</f>
        <v>0</v>
      </c>
      <c r="M225" s="66">
        <f ca="1">SUMIF(採点!$DB$5:$DG$13,"*"&amp;M223&amp;"*",採点!DB236:DM236)</f>
        <v>0</v>
      </c>
      <c r="N225" s="66">
        <f ca="1">SUMIF(採点!$DH$5:$DM$13,"*"&amp;M223&amp;"*",採点!DH236:DM236)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IFERROR(ROUNDDOWN(F226/初期設定!$C$48*100,0),"")</f>
        <v/>
      </c>
      <c r="I226" s="42" t="str">
        <f>IF(ISBLANK(採点!DP237),"",採点!DP237)</f>
        <v/>
      </c>
      <c r="K226" s="66">
        <f ca="1">SUMIF(採点!$DB$5:$DG$13,"*"&amp;K224&amp;"*",採点!DB237:DM237)</f>
        <v>0</v>
      </c>
      <c r="L226" s="66">
        <f ca="1">SUMIF(採点!$DH$5:$DM$13,"*"&amp;K224&amp;"*",採点!DH237:DM237)</f>
        <v>0</v>
      </c>
      <c r="M226" s="66">
        <f ca="1">SUMIF(採点!$DB$5:$DG$13,"*"&amp;M224&amp;"*",採点!DB237:DM237)</f>
        <v>0</v>
      </c>
      <c r="N226" s="66">
        <f ca="1">SUMIF(採点!$DH$5:$DM$13,"*"&amp;M224&amp;"*",採点!DH237:DM237)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IFERROR(ROUNDDOWN(F227/初期設定!$C$48*100,0),"")</f>
        <v/>
      </c>
      <c r="I227" s="42" t="str">
        <f>IF(ISBLANK(採点!DP238),"",採点!DP238)</f>
        <v/>
      </c>
      <c r="K227" s="66">
        <f ca="1">SUMIF(採点!$DB$5:$DG$13,"*"&amp;K225&amp;"*",採点!DB238:DM238)</f>
        <v>0</v>
      </c>
      <c r="L227" s="66">
        <f ca="1">SUMIF(採点!$DH$5:$DM$13,"*"&amp;K225&amp;"*",採点!DH238:DM238)</f>
        <v>0</v>
      </c>
      <c r="M227" s="66">
        <f ca="1">SUMIF(採点!$DB$5:$DG$13,"*"&amp;M225&amp;"*",採点!DB238:DM238)</f>
        <v>0</v>
      </c>
      <c r="N227" s="66">
        <f ca="1">SUMIF(採点!$DH$5:$DM$13,"*"&amp;M225&amp;"*",採点!DH238:DM238)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IFERROR(ROUNDDOWN(F228/初期設定!$C$48*100,0),"")</f>
        <v/>
      </c>
      <c r="I228" s="42" t="str">
        <f>IF(ISBLANK(採点!DP239),"",採点!DP239)</f>
        <v/>
      </c>
      <c r="K228" s="66">
        <f ca="1">SUMIF(採点!$DB$5:$DG$13,"*"&amp;K226&amp;"*",採点!DB239:DM239)</f>
        <v>0</v>
      </c>
      <c r="L228" s="66">
        <f ca="1">SUMIF(採点!$DH$5:$DM$13,"*"&amp;K226&amp;"*",採点!DH239:DM239)</f>
        <v>0</v>
      </c>
      <c r="M228" s="66">
        <f ca="1">SUMIF(採点!$DB$5:$DG$13,"*"&amp;M226&amp;"*",採点!DB239:DM239)</f>
        <v>0</v>
      </c>
      <c r="N228" s="66">
        <f ca="1">SUMIF(採点!$DH$5:$DM$13,"*"&amp;M226&amp;"*",採点!DH239:DM239)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IFERROR(ROUNDDOWN(F229/初期設定!$C$48*100,0),"")</f>
        <v/>
      </c>
      <c r="I229" s="42" t="str">
        <f>IF(ISBLANK(採点!DP240),"",採点!DP240)</f>
        <v/>
      </c>
      <c r="K229" s="66">
        <f ca="1">SUMIF(採点!$DB$5:$DG$13,"*"&amp;K227&amp;"*",採点!DB240:DM240)</f>
        <v>0</v>
      </c>
      <c r="L229" s="66">
        <f ca="1">SUMIF(採点!$DH$5:$DM$13,"*"&amp;K227&amp;"*",採点!DH240:DM240)</f>
        <v>0</v>
      </c>
      <c r="M229" s="66">
        <f ca="1">SUMIF(採点!$DB$5:$DG$13,"*"&amp;M227&amp;"*",採点!DB240:DM240)</f>
        <v>0</v>
      </c>
      <c r="N229" s="66">
        <f ca="1">SUMIF(採点!$DH$5:$DM$13,"*"&amp;M227&amp;"*",採点!DH240:DM240)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IFERROR(ROUNDDOWN(F230/初期設定!$C$48*100,0),"")</f>
        <v/>
      </c>
      <c r="I230" s="42" t="str">
        <f>IF(ISBLANK(採点!DP241),"",採点!DP241)</f>
        <v/>
      </c>
      <c r="K230" s="66">
        <f ca="1">SUMIF(採点!$DB$5:$DG$13,"*"&amp;K228&amp;"*",採点!DB241:DM241)</f>
        <v>0</v>
      </c>
      <c r="L230" s="66">
        <f ca="1">SUMIF(採点!$DH$5:$DM$13,"*"&amp;K228&amp;"*",採点!DH241:DM241)</f>
        <v>0</v>
      </c>
      <c r="M230" s="66">
        <f ca="1">SUMIF(採点!$DB$5:$DG$13,"*"&amp;M228&amp;"*",採点!DB241:DM241)</f>
        <v>0</v>
      </c>
      <c r="N230" s="66">
        <f ca="1">SUMIF(採点!$DH$5:$DM$13,"*"&amp;M228&amp;"*",採点!DH241:DM241)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IFERROR(ROUNDDOWN(F231/初期設定!$C$48*100,0),"")</f>
        <v/>
      </c>
      <c r="I231" s="42" t="str">
        <f>IF(ISBLANK(採点!DP242),"",採点!DP242)</f>
        <v/>
      </c>
      <c r="K231" s="66">
        <f ca="1">SUMIF(採点!$DB$5:$DG$13,"*"&amp;K229&amp;"*",採点!DB242:DM242)</f>
        <v>0</v>
      </c>
      <c r="L231" s="66">
        <f ca="1">SUMIF(採点!$DH$5:$DM$13,"*"&amp;K229&amp;"*",採点!DH242:DM242)</f>
        <v>0</v>
      </c>
      <c r="M231" s="66">
        <f ca="1">SUMIF(採点!$DB$5:$DG$13,"*"&amp;M229&amp;"*",採点!DB242:DM242)</f>
        <v>0</v>
      </c>
      <c r="N231" s="66">
        <f ca="1">SUMIF(採点!$DH$5:$DM$13,"*"&amp;M229&amp;"*",採点!DH242:DM242)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IFERROR(ROUNDDOWN(F232/初期設定!$C$48*100,0),"")</f>
        <v/>
      </c>
      <c r="I232" s="42" t="str">
        <f>IF(ISBLANK(採点!DP243),"",採点!DP243)</f>
        <v/>
      </c>
      <c r="K232" s="66">
        <f ca="1">SUMIF(採点!$DB$5:$DG$13,"*"&amp;K230&amp;"*",採点!DB243:DM243)</f>
        <v>0</v>
      </c>
      <c r="L232" s="66">
        <f ca="1">SUMIF(採点!$DH$5:$DM$13,"*"&amp;K230&amp;"*",採点!DH243:DM243)</f>
        <v>0</v>
      </c>
      <c r="M232" s="66">
        <f ca="1">SUMIF(採点!$DB$5:$DG$13,"*"&amp;M230&amp;"*",採点!DB243:DM243)</f>
        <v>0</v>
      </c>
      <c r="N232" s="66">
        <f ca="1">SUMIF(採点!$DH$5:$DM$13,"*"&amp;M230&amp;"*",採点!DH243:DM243)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IFERROR(ROUNDDOWN(F233/初期設定!$C$48*100,0),"")</f>
        <v/>
      </c>
      <c r="I233" s="42" t="str">
        <f>IF(ISBLANK(採点!DP244),"",採点!DP244)</f>
        <v/>
      </c>
      <c r="K233" s="66">
        <f ca="1">SUMIF(採点!$DB$5:$DG$13,"*"&amp;K231&amp;"*",採点!DB244:DM244)</f>
        <v>0</v>
      </c>
      <c r="L233" s="66">
        <f ca="1">SUMIF(採点!$DH$5:$DM$13,"*"&amp;K231&amp;"*",採点!DH244:DM244)</f>
        <v>0</v>
      </c>
      <c r="M233" s="66">
        <f ca="1">SUMIF(採点!$DB$5:$DG$13,"*"&amp;M231&amp;"*",採点!DB244:DM244)</f>
        <v>0</v>
      </c>
      <c r="N233" s="66">
        <f ca="1">SUMIF(採点!$DH$5:$DM$13,"*"&amp;M231&amp;"*",採点!DH244:DM244)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IFERROR(ROUNDDOWN(F234/初期設定!$C$48*100,0),"")</f>
        <v/>
      </c>
      <c r="I234" s="42" t="str">
        <f>IF(ISBLANK(採点!DP245),"",採点!DP245)</f>
        <v/>
      </c>
      <c r="K234" s="66">
        <f ca="1">SUMIF(採点!$DB$5:$DG$13,"*"&amp;K232&amp;"*",採点!DB245:DM245)</f>
        <v>0</v>
      </c>
      <c r="L234" s="66">
        <f ca="1">SUMIF(採点!$DH$5:$DM$13,"*"&amp;K232&amp;"*",採点!DH245:DM245)</f>
        <v>0</v>
      </c>
      <c r="M234" s="66">
        <f ca="1">SUMIF(採点!$DB$5:$DG$13,"*"&amp;M232&amp;"*",採点!DB245:DM245)</f>
        <v>0</v>
      </c>
      <c r="N234" s="66">
        <f ca="1">SUMIF(採点!$DH$5:$DM$13,"*"&amp;M232&amp;"*",採点!DH245:DM245)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IFERROR(ROUNDDOWN(F235/初期設定!$C$48*100,0),"")</f>
        <v/>
      </c>
      <c r="I235" s="42" t="str">
        <f>IF(ISBLANK(採点!DP246),"",採点!DP246)</f>
        <v/>
      </c>
      <c r="K235" s="66">
        <f ca="1">SUMIF(採点!$DB$5:$DG$13,"*"&amp;K233&amp;"*",採点!DB246:DM246)</f>
        <v>0</v>
      </c>
      <c r="L235" s="66">
        <f ca="1">SUMIF(採点!$DH$5:$DM$13,"*"&amp;K233&amp;"*",採点!DH246:DM246)</f>
        <v>0</v>
      </c>
      <c r="M235" s="66">
        <f ca="1">SUMIF(採点!$DB$5:$DG$13,"*"&amp;M233&amp;"*",採点!DB246:DM246)</f>
        <v>0</v>
      </c>
      <c r="N235" s="66">
        <f ca="1">SUMIF(採点!$DH$5:$DM$13,"*"&amp;M233&amp;"*",採点!DH246:DM246)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IFERROR(ROUNDDOWN(F236/初期設定!$C$48*100,0),"")</f>
        <v/>
      </c>
      <c r="I236" s="42" t="str">
        <f>IF(ISBLANK(採点!DP247),"",採点!DP247)</f>
        <v/>
      </c>
      <c r="K236" s="66">
        <f ca="1">SUMIF(採点!$DB$5:$DG$13,"*"&amp;K234&amp;"*",採点!DB247:DM247)</f>
        <v>0</v>
      </c>
      <c r="L236" s="66">
        <f ca="1">SUMIF(採点!$DH$5:$DM$13,"*"&amp;K234&amp;"*",採点!DH247:DM247)</f>
        <v>0</v>
      </c>
      <c r="M236" s="66">
        <f ca="1">SUMIF(採点!$DB$5:$DG$13,"*"&amp;M234&amp;"*",採点!DB247:DM247)</f>
        <v>0</v>
      </c>
      <c r="N236" s="66">
        <f ca="1">SUMIF(採点!$DH$5:$DM$13,"*"&amp;M234&amp;"*",採点!DH247:DM247)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IFERROR(ROUNDDOWN(F237/初期設定!$C$48*100,0),"")</f>
        <v/>
      </c>
      <c r="I237" s="42" t="str">
        <f>IF(ISBLANK(採点!DP248),"",採点!DP248)</f>
        <v/>
      </c>
      <c r="K237" s="66">
        <f ca="1">SUMIF(採点!$DB$5:$DG$13,"*"&amp;K235&amp;"*",採点!DB248:DM248)</f>
        <v>0</v>
      </c>
      <c r="L237" s="66">
        <f ca="1">SUMIF(採点!$DH$5:$DM$13,"*"&amp;K235&amp;"*",採点!DH248:DM248)</f>
        <v>0</v>
      </c>
      <c r="M237" s="66">
        <f ca="1">SUMIF(採点!$DB$5:$DG$13,"*"&amp;M235&amp;"*",採点!DB248:DM248)</f>
        <v>0</v>
      </c>
      <c r="N237" s="66">
        <f ca="1">SUMIF(採点!$DH$5:$DM$13,"*"&amp;M235&amp;"*",採点!DH248:DM248)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IFERROR(ROUNDDOWN(F238/初期設定!$C$48*100,0),"")</f>
        <v/>
      </c>
      <c r="I238" s="42" t="str">
        <f>IF(ISBLANK(採点!DP249),"",採点!DP249)</f>
        <v/>
      </c>
      <c r="K238" s="66">
        <f ca="1">SUMIF(採点!$DB$5:$DG$13,"*"&amp;K236&amp;"*",採点!DB249:DM249)</f>
        <v>0</v>
      </c>
      <c r="L238" s="66">
        <f ca="1">SUMIF(採点!$DH$5:$DM$13,"*"&amp;K236&amp;"*",採点!DH249:DM249)</f>
        <v>0</v>
      </c>
      <c r="M238" s="66">
        <f ca="1">SUMIF(採点!$DB$5:$DG$13,"*"&amp;M236&amp;"*",採点!DB249:DM249)</f>
        <v>0</v>
      </c>
      <c r="N238" s="66">
        <f ca="1">SUMIF(採点!$DH$5:$DM$13,"*"&amp;M236&amp;"*",採点!DH249:DM249)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IFERROR(ROUNDDOWN(F239/初期設定!$C$48*100,0),"")</f>
        <v/>
      </c>
      <c r="I239" s="42" t="str">
        <f>IF(ISBLANK(採点!DP250),"",採点!DP250)</f>
        <v/>
      </c>
      <c r="K239" s="66">
        <f ca="1">SUMIF(採点!$DB$5:$DG$13,"*"&amp;K237&amp;"*",採点!DB250:DM250)</f>
        <v>0</v>
      </c>
      <c r="L239" s="66">
        <f ca="1">SUMIF(採点!$DH$5:$DM$13,"*"&amp;K237&amp;"*",採点!DH250:DM250)</f>
        <v>0</v>
      </c>
      <c r="M239" s="66">
        <f ca="1">SUMIF(採点!$DB$5:$DG$13,"*"&amp;M237&amp;"*",採点!DB250:DM250)</f>
        <v>0</v>
      </c>
      <c r="N239" s="66">
        <f ca="1">SUMIF(採点!$DH$5:$DM$13,"*"&amp;M237&amp;"*",採点!DH250:DM250)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IFERROR(ROUNDDOWN(F240/初期設定!$C$48*100,0),"")</f>
        <v/>
      </c>
      <c r="I240" s="42" t="str">
        <f>IF(ISBLANK(採点!DP251),"",採点!DP251)</f>
        <v/>
      </c>
      <c r="K240" s="66">
        <f ca="1">SUMIF(採点!$DB$5:$DG$13,"*"&amp;K238&amp;"*",採点!DB251:DM251)</f>
        <v>0</v>
      </c>
      <c r="L240" s="66">
        <f ca="1">SUMIF(採点!$DH$5:$DM$13,"*"&amp;K238&amp;"*",採点!DH251:DM251)</f>
        <v>0</v>
      </c>
      <c r="M240" s="66">
        <f ca="1">SUMIF(採点!$DB$5:$DG$13,"*"&amp;M238&amp;"*",採点!DB251:DM251)</f>
        <v>0</v>
      </c>
      <c r="N240" s="66">
        <f ca="1">SUMIF(採点!$DH$5:$DM$13,"*"&amp;M238&amp;"*",採点!DH251:DM251)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IFERROR(ROUNDDOWN(F241/初期設定!$C$48*100,0),"")</f>
        <v/>
      </c>
      <c r="I241" s="42" t="str">
        <f>IF(ISBLANK(採点!DP252),"",採点!DP252)</f>
        <v/>
      </c>
      <c r="K241" s="66">
        <f ca="1">SUMIF(採点!$DB$5:$DG$13,"*"&amp;K239&amp;"*",採点!DB252:DM252)</f>
        <v>0</v>
      </c>
      <c r="L241" s="66">
        <f ca="1">SUMIF(採点!$DH$5:$DM$13,"*"&amp;K239&amp;"*",採点!DH252:DM252)</f>
        <v>0</v>
      </c>
      <c r="M241" s="66">
        <f ca="1">SUMIF(採点!$DB$5:$DG$13,"*"&amp;M239&amp;"*",採点!DB252:DM252)</f>
        <v>0</v>
      </c>
      <c r="N241" s="66">
        <f ca="1">SUMIF(採点!$DH$5:$DM$13,"*"&amp;M239&amp;"*",採点!DH252:DM252)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IFERROR(ROUNDDOWN(F242/初期設定!$C$48*100,0),"")</f>
        <v/>
      </c>
      <c r="I242" s="42" t="str">
        <f>IF(ISBLANK(採点!DP253),"",採点!DP253)</f>
        <v/>
      </c>
      <c r="K242" s="66">
        <f ca="1">SUMIF(採点!$DB$5:$DG$13,"*"&amp;K240&amp;"*",採点!DB253:DM253)</f>
        <v>0</v>
      </c>
      <c r="L242" s="66">
        <f ca="1">SUMIF(採点!$DH$5:$DM$13,"*"&amp;K240&amp;"*",採点!DH253:DM253)</f>
        <v>0</v>
      </c>
      <c r="M242" s="66">
        <f ca="1">SUMIF(採点!$DB$5:$DG$13,"*"&amp;M240&amp;"*",採点!DB253:DM253)</f>
        <v>0</v>
      </c>
      <c r="N242" s="66">
        <f ca="1">SUMIF(採点!$DH$5:$DM$13,"*"&amp;M240&amp;"*",採点!DH253:DM253)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IFERROR(ROUNDDOWN(F243/初期設定!$C$48*100,0),"")</f>
        <v/>
      </c>
      <c r="I243" s="42" t="str">
        <f>IF(ISBLANK(採点!DP254),"",採点!DP254)</f>
        <v/>
      </c>
      <c r="K243" s="66">
        <f ca="1">SUMIF(採点!$DB$5:$DG$13,"*"&amp;K241&amp;"*",採点!DB254:DM254)</f>
        <v>0</v>
      </c>
      <c r="L243" s="66">
        <f ca="1">SUMIF(採点!$DH$5:$DM$13,"*"&amp;K241&amp;"*",採点!DH254:DM254)</f>
        <v>0</v>
      </c>
      <c r="M243" s="66">
        <f ca="1">SUMIF(採点!$DB$5:$DG$13,"*"&amp;M241&amp;"*",採点!DB254:DM254)</f>
        <v>0</v>
      </c>
      <c r="N243" s="66">
        <f ca="1">SUMIF(採点!$DH$5:$DM$13,"*"&amp;M241&amp;"*",採点!DH254:DM254)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IFERROR(ROUNDDOWN(F244/初期設定!$C$48*100,0),"")</f>
        <v/>
      </c>
      <c r="I244" s="42" t="str">
        <f>IF(ISBLANK(採点!DP255),"",採点!DP255)</f>
        <v/>
      </c>
      <c r="K244" s="66">
        <f ca="1">SUMIF(採点!$DB$5:$DG$13,"*"&amp;K242&amp;"*",採点!DB255:DM255)</f>
        <v>0</v>
      </c>
      <c r="L244" s="66">
        <f ca="1">SUMIF(採点!$DH$5:$DM$13,"*"&amp;K242&amp;"*",採点!DH255:DM255)</f>
        <v>0</v>
      </c>
      <c r="M244" s="66">
        <f ca="1">SUMIF(採点!$DB$5:$DG$13,"*"&amp;M242&amp;"*",採点!DB255:DM255)</f>
        <v>0</v>
      </c>
      <c r="N244" s="66">
        <f ca="1">SUMIF(採点!$DH$5:$DM$13,"*"&amp;M242&amp;"*",採点!DH255:DM255)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IFERROR(ROUNDDOWN(F245/初期設定!$C$48*100,0),"")</f>
        <v/>
      </c>
      <c r="I245" s="42" t="str">
        <f>IF(ISBLANK(採点!DP256),"",採点!DP256)</f>
        <v/>
      </c>
      <c r="K245" s="66">
        <f ca="1">SUMIF(採点!$DB$5:$DG$13,"*"&amp;K243&amp;"*",採点!DB256:DM256)</f>
        <v>0</v>
      </c>
      <c r="L245" s="66">
        <f ca="1">SUMIF(採点!$DH$5:$DM$13,"*"&amp;K243&amp;"*",採点!DH256:DM256)</f>
        <v>0</v>
      </c>
      <c r="M245" s="66">
        <f ca="1">SUMIF(採点!$DB$5:$DG$13,"*"&amp;M243&amp;"*",採点!DB256:DM256)</f>
        <v>0</v>
      </c>
      <c r="N245" s="66">
        <f ca="1">SUMIF(採点!$DH$5:$DM$13,"*"&amp;M243&amp;"*",採点!DH256:DM256)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IFERROR(ROUNDDOWN(F246/初期設定!$C$48*100,0),"")</f>
        <v/>
      </c>
      <c r="I246" s="42" t="str">
        <f>IF(ISBLANK(採点!DP257),"",採点!DP257)</f>
        <v/>
      </c>
      <c r="K246" s="66">
        <f ca="1">SUMIF(採点!$DB$5:$DG$13,"*"&amp;K244&amp;"*",採点!DB257:DM257)</f>
        <v>0</v>
      </c>
      <c r="L246" s="66">
        <f ca="1">SUMIF(採点!$DH$5:$DM$13,"*"&amp;K244&amp;"*",採点!DH257:DM257)</f>
        <v>0</v>
      </c>
      <c r="M246" s="66">
        <f ca="1">SUMIF(採点!$DB$5:$DG$13,"*"&amp;M244&amp;"*",採点!DB257:DM257)</f>
        <v>0</v>
      </c>
      <c r="N246" s="66">
        <f ca="1">SUMIF(採点!$DH$5:$DM$13,"*"&amp;M244&amp;"*",採点!DH257:DM257)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IFERROR(ROUNDDOWN(F247/初期設定!$C$48*100,0),"")</f>
        <v/>
      </c>
      <c r="I247" s="42" t="str">
        <f>IF(ISBLANK(採点!DP258),"",採点!DP258)</f>
        <v/>
      </c>
      <c r="K247" s="66">
        <f ca="1">SUMIF(採点!$DB$5:$DG$13,"*"&amp;K245&amp;"*",採点!DB258:DM258)</f>
        <v>0</v>
      </c>
      <c r="L247" s="66">
        <f ca="1">SUMIF(採点!$DH$5:$DM$13,"*"&amp;K245&amp;"*",採点!DH258:DM258)</f>
        <v>0</v>
      </c>
      <c r="M247" s="66">
        <f ca="1">SUMIF(採点!$DB$5:$DG$13,"*"&amp;M245&amp;"*",採点!DB258:DM258)</f>
        <v>0</v>
      </c>
      <c r="N247" s="66">
        <f ca="1">SUMIF(採点!$DH$5:$DM$13,"*"&amp;M245&amp;"*",採点!DH258:DM258)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IFERROR(ROUNDDOWN(F248/初期設定!$C$48*100,0),"")</f>
        <v/>
      </c>
      <c r="I248" s="42" t="str">
        <f>IF(ISBLANK(採点!DP259),"",採点!DP259)</f>
        <v/>
      </c>
      <c r="K248" s="66">
        <f ca="1">SUMIF(採点!$DB$5:$DG$13,"*"&amp;K246&amp;"*",採点!DB259:DM259)</f>
        <v>0</v>
      </c>
      <c r="L248" s="66">
        <f ca="1">SUMIF(採点!$DH$5:$DM$13,"*"&amp;K246&amp;"*",採点!DH259:DM259)</f>
        <v>0</v>
      </c>
      <c r="M248" s="66">
        <f ca="1">SUMIF(採点!$DB$5:$DG$13,"*"&amp;M246&amp;"*",採点!DB259:DM259)</f>
        <v>0</v>
      </c>
      <c r="N248" s="66">
        <f ca="1">SUMIF(採点!$DH$5:$DM$13,"*"&amp;M246&amp;"*",採点!DH259:DM259)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IFERROR(ROUNDDOWN(F249/初期設定!$C$48*100,0),"")</f>
        <v/>
      </c>
      <c r="I249" s="42" t="str">
        <f>IF(ISBLANK(採点!DP260),"",採点!DP260)</f>
        <v/>
      </c>
      <c r="K249" s="66">
        <f ca="1">SUMIF(採点!$DB$5:$DG$13,"*"&amp;K247&amp;"*",採点!DB260:DM260)</f>
        <v>0</v>
      </c>
      <c r="L249" s="66">
        <f ca="1">SUMIF(採点!$DH$5:$DM$13,"*"&amp;K247&amp;"*",採点!DH260:DM260)</f>
        <v>0</v>
      </c>
      <c r="M249" s="66">
        <f ca="1">SUMIF(採点!$DB$5:$DG$13,"*"&amp;M247&amp;"*",採点!DB260:DM260)</f>
        <v>0</v>
      </c>
      <c r="N249" s="66">
        <f ca="1">SUMIF(採点!$DH$5:$DM$13,"*"&amp;M247&amp;"*",採点!DH260:DM260)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IFERROR(ROUNDDOWN(F250/初期設定!$C$48*100,0),"")</f>
        <v/>
      </c>
      <c r="I250" s="42" t="str">
        <f>IF(ISBLANK(採点!DP261),"",採点!DP261)</f>
        <v/>
      </c>
      <c r="K250" s="66">
        <f ca="1">SUMIF(採点!$DB$5:$DG$13,"*"&amp;K248&amp;"*",採点!DB261:DM261)</f>
        <v>0</v>
      </c>
      <c r="L250" s="66">
        <f ca="1">SUMIF(採点!$DH$5:$DM$13,"*"&amp;K248&amp;"*",採点!DH261:DM261)</f>
        <v>0</v>
      </c>
      <c r="M250" s="66">
        <f ca="1">SUMIF(採点!$DB$5:$DG$13,"*"&amp;M248&amp;"*",採点!DB261:DM261)</f>
        <v>0</v>
      </c>
      <c r="N250" s="66">
        <f ca="1">SUMIF(採点!$DH$5:$DM$13,"*"&amp;M248&amp;"*",採点!DH261:DM261)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IFERROR(ROUNDDOWN(F251/初期設定!$C$48*100,0),"")</f>
        <v/>
      </c>
      <c r="I251" s="42" t="str">
        <f>IF(ISBLANK(採点!DP262),"",採点!DP262)</f>
        <v/>
      </c>
      <c r="K251" s="66">
        <f ca="1">SUMIF(採点!$DB$5:$DG$13,"*"&amp;K249&amp;"*",採点!DB262:DM262)</f>
        <v>0</v>
      </c>
      <c r="L251" s="66">
        <f ca="1">SUMIF(採点!$DH$5:$DM$13,"*"&amp;K249&amp;"*",採点!DH262:DM262)</f>
        <v>0</v>
      </c>
      <c r="M251" s="66">
        <f ca="1">SUMIF(採点!$DB$5:$DG$13,"*"&amp;M249&amp;"*",採点!DB262:DM262)</f>
        <v>0</v>
      </c>
      <c r="N251" s="66">
        <f ca="1">SUMIF(採点!$DH$5:$DM$13,"*"&amp;M249&amp;"*",採点!DH262:DM262)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IFERROR(ROUNDDOWN(F252/初期設定!$C$48*100,0),"")</f>
        <v/>
      </c>
      <c r="I252" s="42" t="str">
        <f>IF(ISBLANK(採点!DP263),"",採点!DP263)</f>
        <v/>
      </c>
      <c r="K252" s="66">
        <f ca="1">SUMIF(採点!$DB$5:$DG$13,"*"&amp;K250&amp;"*",採点!DB263:DM263)</f>
        <v>0</v>
      </c>
      <c r="L252" s="66">
        <f ca="1">SUMIF(採点!$DH$5:$DM$13,"*"&amp;K250&amp;"*",採点!DH263:DM263)</f>
        <v>0</v>
      </c>
      <c r="M252" s="66">
        <f ca="1">SUMIF(採点!$DB$5:$DG$13,"*"&amp;M250&amp;"*",採点!DB263:DM263)</f>
        <v>0</v>
      </c>
      <c r="N252" s="66">
        <f ca="1">SUMIF(採点!$DH$5:$DM$13,"*"&amp;M250&amp;"*",採点!DH263:DM263)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IFERROR(ROUNDDOWN(F253/初期設定!$C$48*100,0),"")</f>
        <v/>
      </c>
      <c r="I253" s="42" t="str">
        <f>IF(ISBLANK(採点!DP264),"",採点!DP264)</f>
        <v/>
      </c>
      <c r="K253" s="66">
        <f ca="1">SUMIF(採点!$DB$5:$DG$13,"*"&amp;K251&amp;"*",採点!DB264:DM264)</f>
        <v>0</v>
      </c>
      <c r="L253" s="66">
        <f ca="1">SUMIF(採点!$DH$5:$DM$13,"*"&amp;K251&amp;"*",採点!DH264:DM264)</f>
        <v>0</v>
      </c>
      <c r="M253" s="66">
        <f ca="1">SUMIF(採点!$DB$5:$DG$13,"*"&amp;M251&amp;"*",採点!DB264:DM264)</f>
        <v>0</v>
      </c>
      <c r="N253" s="66">
        <f ca="1">SUMIF(採点!$DH$5:$DM$13,"*"&amp;M251&amp;"*",採点!DH264:DM264)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IFERROR(ROUNDDOWN(F254/初期設定!$C$48*100,0),"")</f>
        <v/>
      </c>
      <c r="I254" s="42" t="str">
        <f>IF(ISBLANK(採点!DP265),"",採点!DP265)</f>
        <v/>
      </c>
      <c r="K254" s="66">
        <f ca="1">SUMIF(採点!$DB$5:$DG$13,"*"&amp;K252&amp;"*",採点!DB265:DM265)</f>
        <v>0</v>
      </c>
      <c r="L254" s="66">
        <f ca="1">SUMIF(採点!$DH$5:$DM$13,"*"&amp;K252&amp;"*",採点!DH265:DM265)</f>
        <v>0</v>
      </c>
      <c r="M254" s="66">
        <f ca="1">SUMIF(採点!$DB$5:$DG$13,"*"&amp;M252&amp;"*",採点!DB265:DM265)</f>
        <v>0</v>
      </c>
      <c r="N254" s="66">
        <f ca="1">SUMIF(採点!$DH$5:$DM$13,"*"&amp;M252&amp;"*",採点!DH265:DM265)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IFERROR(ROUNDDOWN(F255/初期設定!$C$48*100,0),"")</f>
        <v/>
      </c>
      <c r="I255" s="42" t="str">
        <f>IF(ISBLANK(採点!DP266),"",採点!DP266)</f>
        <v/>
      </c>
      <c r="K255" s="66">
        <f ca="1">SUMIF(採点!$DB$5:$DG$13,"*"&amp;K253&amp;"*",採点!DB266:DM266)</f>
        <v>0</v>
      </c>
      <c r="L255" s="66">
        <f ca="1">SUMIF(採点!$DH$5:$DM$13,"*"&amp;K253&amp;"*",採点!DH266:DM266)</f>
        <v>0</v>
      </c>
      <c r="M255" s="66">
        <f ca="1">SUMIF(採点!$DB$5:$DG$13,"*"&amp;M253&amp;"*",採点!DB266:DM266)</f>
        <v>0</v>
      </c>
      <c r="N255" s="66">
        <f ca="1">SUMIF(採点!$DH$5:$DM$13,"*"&amp;M253&amp;"*",採点!DH266:DM266)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IFERROR(ROUNDDOWN(F256/初期設定!$C$48*100,0),"")</f>
        <v/>
      </c>
      <c r="I256" s="42" t="str">
        <f>IF(ISBLANK(採点!DP267),"",採点!DP267)</f>
        <v/>
      </c>
      <c r="K256" s="66">
        <f ca="1">SUMIF(採点!$DB$5:$DG$13,"*"&amp;K254&amp;"*",採点!DB267:DM267)</f>
        <v>0</v>
      </c>
      <c r="L256" s="66">
        <f ca="1">SUMIF(採点!$DH$5:$DM$13,"*"&amp;K254&amp;"*",採点!DH267:DM267)</f>
        <v>0</v>
      </c>
      <c r="M256" s="66">
        <f ca="1">SUMIF(採点!$DB$5:$DG$13,"*"&amp;M254&amp;"*",採点!DB267:DM267)</f>
        <v>0</v>
      </c>
      <c r="N256" s="66">
        <f ca="1">SUMIF(採点!$DH$5:$DM$13,"*"&amp;M254&amp;"*",採点!DH267:DM267)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IFERROR(ROUNDDOWN(F257/初期設定!$C$48*100,0),"")</f>
        <v/>
      </c>
      <c r="I257" s="42" t="str">
        <f>IF(ISBLANK(採点!DP268),"",採点!DP268)</f>
        <v/>
      </c>
      <c r="K257" s="66">
        <f ca="1">SUMIF(採点!$DB$5:$DG$13,"*"&amp;K255&amp;"*",採点!DB268:DM268)</f>
        <v>0</v>
      </c>
      <c r="L257" s="66">
        <f ca="1">SUMIF(採点!$DH$5:$DM$13,"*"&amp;K255&amp;"*",採点!DH268:DM268)</f>
        <v>0</v>
      </c>
      <c r="M257" s="66">
        <f ca="1">SUMIF(採点!$DB$5:$DG$13,"*"&amp;M255&amp;"*",採点!DB268:DM268)</f>
        <v>0</v>
      </c>
      <c r="N257" s="66">
        <f ca="1">SUMIF(採点!$DH$5:$DM$13,"*"&amp;M255&amp;"*",採点!DH268:DM268)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IFERROR(ROUNDDOWN(F258/初期設定!$C$48*100,0),"")</f>
        <v/>
      </c>
      <c r="I258" s="42" t="str">
        <f>IF(ISBLANK(採点!DP269),"",採点!DP269)</f>
        <v/>
      </c>
      <c r="K258" s="66">
        <f ca="1">SUMIF(採点!$DB$5:$DG$13,"*"&amp;K256&amp;"*",採点!DB269:DM269)</f>
        <v>0</v>
      </c>
      <c r="L258" s="66">
        <f ca="1">SUMIF(採点!$DH$5:$DM$13,"*"&amp;K256&amp;"*",採点!DH269:DM269)</f>
        <v>0</v>
      </c>
      <c r="M258" s="66">
        <f ca="1">SUMIF(採点!$DB$5:$DG$13,"*"&amp;M256&amp;"*",採点!DB269:DM269)</f>
        <v>0</v>
      </c>
      <c r="N258" s="66">
        <f ca="1">SUMIF(採点!$DH$5:$DM$13,"*"&amp;M256&amp;"*",採点!DH269:DM269)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IFERROR(ROUNDDOWN(F259/初期設定!$C$48*100,0),"")</f>
        <v/>
      </c>
      <c r="I259" s="42" t="str">
        <f>IF(ISBLANK(採点!DP270),"",採点!DP270)</f>
        <v/>
      </c>
      <c r="K259" s="66">
        <f ca="1">SUMIF(採点!$DB$5:$DG$13,"*"&amp;K257&amp;"*",採点!DB270:DM270)</f>
        <v>0</v>
      </c>
      <c r="L259" s="66">
        <f ca="1">SUMIF(採点!$DH$5:$DM$13,"*"&amp;K257&amp;"*",採点!DH270:DM270)</f>
        <v>0</v>
      </c>
      <c r="M259" s="66">
        <f ca="1">SUMIF(採点!$DB$5:$DG$13,"*"&amp;M257&amp;"*",採点!DB270:DM270)</f>
        <v>0</v>
      </c>
      <c r="N259" s="66">
        <f ca="1">SUMIF(採点!$DH$5:$DM$13,"*"&amp;M257&amp;"*",採点!DH270:DM270)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IFERROR(ROUNDDOWN(F260/初期設定!$C$48*100,0),"")</f>
        <v/>
      </c>
      <c r="I260" s="42" t="str">
        <f>IF(ISBLANK(採点!DP271),"",採点!DP271)</f>
        <v/>
      </c>
      <c r="K260" s="66">
        <f ca="1">SUMIF(採点!$DB$5:$DG$13,"*"&amp;K258&amp;"*",採点!DB271:DM271)</f>
        <v>0</v>
      </c>
      <c r="L260" s="66">
        <f ca="1">SUMIF(採点!$DH$5:$DM$13,"*"&amp;K258&amp;"*",採点!DH271:DM271)</f>
        <v>0</v>
      </c>
      <c r="M260" s="66">
        <f ca="1">SUMIF(採点!$DB$5:$DG$13,"*"&amp;M258&amp;"*",採点!DB271:DM271)</f>
        <v>0</v>
      </c>
      <c r="N260" s="66">
        <f ca="1">SUMIF(採点!$DH$5:$DM$13,"*"&amp;M258&amp;"*",採点!DH271:DM271)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IFERROR(ROUNDDOWN(F261/初期設定!$C$48*100,0),"")</f>
        <v/>
      </c>
      <c r="I261" s="42" t="str">
        <f>IF(ISBLANK(採点!DP272),"",採点!DP272)</f>
        <v/>
      </c>
      <c r="K261" s="66">
        <f ca="1">SUMIF(採点!$DB$5:$DG$13,"*"&amp;K259&amp;"*",採点!DB272:DM272)</f>
        <v>0</v>
      </c>
      <c r="L261" s="66">
        <f ca="1">SUMIF(採点!$DH$5:$DM$13,"*"&amp;K259&amp;"*",採点!DH272:DM272)</f>
        <v>0</v>
      </c>
      <c r="M261" s="66">
        <f ca="1">SUMIF(採点!$DB$5:$DG$13,"*"&amp;M259&amp;"*",採点!DB272:DM272)</f>
        <v>0</v>
      </c>
      <c r="N261" s="66">
        <f ca="1">SUMIF(採点!$DH$5:$DM$13,"*"&amp;M259&amp;"*",採点!DH272:DM272)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IFERROR(ROUNDDOWN(F262/初期設定!$C$48*100,0),"")</f>
        <v/>
      </c>
      <c r="I262" s="42" t="str">
        <f>IF(ISBLANK(採点!DP273),"",採点!DP273)</f>
        <v/>
      </c>
      <c r="K262" s="66">
        <f ca="1">SUMIF(採点!$DB$5:$DG$13,"*"&amp;K260&amp;"*",採点!DB273:DM273)</f>
        <v>0</v>
      </c>
      <c r="L262" s="66">
        <f ca="1">SUMIF(採点!$DH$5:$DM$13,"*"&amp;K260&amp;"*",採点!DH273:DM273)</f>
        <v>0</v>
      </c>
      <c r="M262" s="66">
        <f ca="1">SUMIF(採点!$DB$5:$DG$13,"*"&amp;M260&amp;"*",採点!DB273:DM273)</f>
        <v>0</v>
      </c>
      <c r="N262" s="66">
        <f ca="1">SUMIF(採点!$DH$5:$DM$13,"*"&amp;M260&amp;"*",採点!DH273:DM273)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IFERROR(ROUNDDOWN(F263/初期設定!$C$48*100,0),"")</f>
        <v/>
      </c>
      <c r="I263" s="42" t="str">
        <f>IF(ISBLANK(採点!DP274),"",採点!DP274)</f>
        <v/>
      </c>
      <c r="K263" s="66">
        <f ca="1">SUMIF(採点!$DB$5:$DG$13,"*"&amp;K261&amp;"*",採点!DB274:DM274)</f>
        <v>0</v>
      </c>
      <c r="L263" s="66">
        <f ca="1">SUMIF(採点!$DH$5:$DM$13,"*"&amp;K261&amp;"*",採点!DH274:DM274)</f>
        <v>0</v>
      </c>
      <c r="M263" s="66">
        <f ca="1">SUMIF(採点!$DB$5:$DG$13,"*"&amp;M261&amp;"*",採点!DB274:DM274)</f>
        <v>0</v>
      </c>
      <c r="N263" s="66">
        <f ca="1">SUMIF(採点!$DH$5:$DM$13,"*"&amp;M261&amp;"*",採点!DH274:DM274)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IFERROR(ROUNDDOWN(F264/初期設定!$C$48*100,0),"")</f>
        <v/>
      </c>
      <c r="I264" s="42" t="str">
        <f>IF(ISBLANK(採点!DP275),"",採点!DP275)</f>
        <v/>
      </c>
      <c r="K264" s="66">
        <f ca="1">SUMIF(採点!$DB$5:$DG$13,"*"&amp;K262&amp;"*",採点!DB275:DM275)</f>
        <v>0</v>
      </c>
      <c r="L264" s="66">
        <f ca="1">SUMIF(採点!$DH$5:$DM$13,"*"&amp;K262&amp;"*",採点!DH275:DM275)</f>
        <v>0</v>
      </c>
      <c r="M264" s="66">
        <f ca="1">SUMIF(採点!$DB$5:$DG$13,"*"&amp;M262&amp;"*",採点!DB275:DM275)</f>
        <v>0</v>
      </c>
      <c r="N264" s="66">
        <f ca="1">SUMIF(採点!$DH$5:$DM$13,"*"&amp;M262&amp;"*",採点!DH275:DM275)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IFERROR(ROUNDDOWN(F265/初期設定!$C$48*100,0),"")</f>
        <v/>
      </c>
      <c r="I265" s="42" t="str">
        <f>IF(ISBLANK(採点!DP276),"",採点!DP276)</f>
        <v/>
      </c>
      <c r="K265" s="66">
        <f ca="1">SUMIF(採点!$DB$5:$DG$13,"*"&amp;K263&amp;"*",採点!DB276:DM276)</f>
        <v>0</v>
      </c>
      <c r="L265" s="66">
        <f ca="1">SUMIF(採点!$DH$5:$DM$13,"*"&amp;K263&amp;"*",採点!DH276:DM276)</f>
        <v>0</v>
      </c>
      <c r="M265" s="66">
        <f ca="1">SUMIF(採点!$DB$5:$DG$13,"*"&amp;M263&amp;"*",採点!DB276:DM276)</f>
        <v>0</v>
      </c>
      <c r="N265" s="66">
        <f ca="1">SUMIF(採点!$DH$5:$DM$13,"*"&amp;M263&amp;"*",採点!DH276:DM276)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IFERROR(ROUNDDOWN(F266/初期設定!$C$48*100,0),"")</f>
        <v/>
      </c>
      <c r="I266" s="42" t="str">
        <f>IF(ISBLANK(採点!DP277),"",採点!DP277)</f>
        <v/>
      </c>
      <c r="K266" s="66">
        <f ca="1">SUMIF(採点!$DB$5:$DG$13,"*"&amp;K264&amp;"*",採点!DB277:DM277)</f>
        <v>0</v>
      </c>
      <c r="L266" s="66">
        <f ca="1">SUMIF(採点!$DH$5:$DM$13,"*"&amp;K264&amp;"*",採点!DH277:DM277)</f>
        <v>0</v>
      </c>
      <c r="M266" s="66">
        <f ca="1">SUMIF(採点!$DB$5:$DG$13,"*"&amp;M264&amp;"*",採点!DB277:DM277)</f>
        <v>0</v>
      </c>
      <c r="N266" s="66">
        <f ca="1">SUMIF(採点!$DH$5:$DM$13,"*"&amp;M264&amp;"*",採点!DH277:DM277)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IFERROR(ROUNDDOWN(F267/初期設定!$C$48*100,0),"")</f>
        <v/>
      </c>
      <c r="I267" s="42" t="str">
        <f>IF(ISBLANK(採点!DP278),"",採点!DP278)</f>
        <v/>
      </c>
      <c r="K267" s="66">
        <f ca="1">SUMIF(採点!$DB$5:$DG$13,"*"&amp;K265&amp;"*",採点!DB278:DM278)</f>
        <v>0</v>
      </c>
      <c r="L267" s="66">
        <f ca="1">SUMIF(採点!$DH$5:$DM$13,"*"&amp;K265&amp;"*",採点!DH278:DM278)</f>
        <v>0</v>
      </c>
      <c r="M267" s="66">
        <f ca="1">SUMIF(採点!$DB$5:$DG$13,"*"&amp;M265&amp;"*",採点!DB278:DM278)</f>
        <v>0</v>
      </c>
      <c r="N267" s="66">
        <f ca="1">SUMIF(採点!$DH$5:$DM$13,"*"&amp;M265&amp;"*",採点!DH278:DM278)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IFERROR(ROUNDDOWN(F268/初期設定!$C$48*100,0),"")</f>
        <v/>
      </c>
      <c r="I268" s="42" t="str">
        <f>IF(ISBLANK(採点!DP279),"",採点!DP279)</f>
        <v/>
      </c>
      <c r="K268" s="66">
        <f ca="1">SUMIF(採点!$DB$5:$DG$13,"*"&amp;K266&amp;"*",採点!DB279:DM279)</f>
        <v>0</v>
      </c>
      <c r="L268" s="66">
        <f ca="1">SUMIF(採点!$DH$5:$DM$13,"*"&amp;K266&amp;"*",採点!DH279:DM279)</f>
        <v>0</v>
      </c>
      <c r="M268" s="66">
        <f ca="1">SUMIF(採点!$DB$5:$DG$13,"*"&amp;M266&amp;"*",採点!DB279:DM279)</f>
        <v>0</v>
      </c>
      <c r="N268" s="66">
        <f ca="1">SUMIF(採点!$DH$5:$DM$13,"*"&amp;M266&amp;"*",採点!DH279:DM279)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IFERROR(ROUNDDOWN(F269/初期設定!$C$48*100,0),"")</f>
        <v/>
      </c>
      <c r="I269" s="42" t="str">
        <f>IF(ISBLANK(採点!DP280),"",採点!DP280)</f>
        <v/>
      </c>
      <c r="K269" s="66">
        <f ca="1">SUMIF(採点!$DB$5:$DG$13,"*"&amp;K267&amp;"*",採点!DB280:DM280)</f>
        <v>0</v>
      </c>
      <c r="L269" s="66">
        <f ca="1">SUMIF(採点!$DH$5:$DM$13,"*"&amp;K267&amp;"*",採点!DH280:DM280)</f>
        <v>0</v>
      </c>
      <c r="M269" s="66">
        <f ca="1">SUMIF(採点!$DB$5:$DG$13,"*"&amp;M267&amp;"*",採点!DB280:DM280)</f>
        <v>0</v>
      </c>
      <c r="N269" s="66">
        <f ca="1">SUMIF(採点!$DH$5:$DM$13,"*"&amp;M267&amp;"*",採点!DH280:DM280)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IFERROR(ROUNDDOWN(F270/初期設定!$C$48*100,0),"")</f>
        <v/>
      </c>
      <c r="I270" s="42" t="str">
        <f>IF(ISBLANK(採点!DP281),"",採点!DP281)</f>
        <v/>
      </c>
      <c r="K270" s="66">
        <f ca="1">SUMIF(採点!$DB$5:$DG$13,"*"&amp;K268&amp;"*",採点!DB281:DM281)</f>
        <v>0</v>
      </c>
      <c r="L270" s="66">
        <f ca="1">SUMIF(採点!$DH$5:$DM$13,"*"&amp;K268&amp;"*",採点!DH281:DM281)</f>
        <v>0</v>
      </c>
      <c r="M270" s="66">
        <f ca="1">SUMIF(採点!$DB$5:$DG$13,"*"&amp;M268&amp;"*",採点!DB281:DM281)</f>
        <v>0</v>
      </c>
      <c r="N270" s="66">
        <f ca="1">SUMIF(採点!$DH$5:$DM$13,"*"&amp;M268&amp;"*",採点!DH281:DM281)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IFERROR(ROUNDDOWN(F271/初期設定!$C$48*100,0),"")</f>
        <v/>
      </c>
      <c r="I271" s="42" t="str">
        <f>IF(ISBLANK(採点!DP282),"",採点!DP282)</f>
        <v/>
      </c>
      <c r="K271" s="66">
        <f ca="1">SUMIF(採点!$DB$5:$DG$13,"*"&amp;K269&amp;"*",採点!DB282:DM282)</f>
        <v>0</v>
      </c>
      <c r="L271" s="66">
        <f ca="1">SUMIF(採点!$DH$5:$DM$13,"*"&amp;K269&amp;"*",採点!DH282:DM282)</f>
        <v>0</v>
      </c>
      <c r="M271" s="66">
        <f ca="1">SUMIF(採点!$DB$5:$DG$13,"*"&amp;M269&amp;"*",採点!DB282:DM282)</f>
        <v>0</v>
      </c>
      <c r="N271" s="66">
        <f ca="1">SUMIF(採点!$DH$5:$DM$13,"*"&amp;M269&amp;"*",採点!DH282:DM282)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IFERROR(ROUNDDOWN(F272/初期設定!$C$48*100,0),"")</f>
        <v/>
      </c>
      <c r="I272" s="42" t="str">
        <f>IF(ISBLANK(採点!DP283),"",採点!DP283)</f>
        <v/>
      </c>
      <c r="K272" s="66">
        <f ca="1">SUMIF(採点!$DB$5:$DG$13,"*"&amp;K270&amp;"*",採点!DB283:DM283)</f>
        <v>0</v>
      </c>
      <c r="L272" s="66">
        <f ca="1">SUMIF(採点!$DH$5:$DM$13,"*"&amp;K270&amp;"*",採点!DH283:DM283)</f>
        <v>0</v>
      </c>
      <c r="M272" s="66">
        <f ca="1">SUMIF(採点!$DB$5:$DG$13,"*"&amp;M270&amp;"*",採点!DB283:DM283)</f>
        <v>0</v>
      </c>
      <c r="N272" s="66">
        <f ca="1">SUMIF(採点!$DH$5:$DM$13,"*"&amp;M270&amp;"*",採点!DH283:DM283)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IFERROR(ROUNDDOWN(F273/初期設定!$C$48*100,0),"")</f>
        <v/>
      </c>
      <c r="I273" s="42" t="str">
        <f>IF(ISBLANK(採点!DP284),"",採点!DP284)</f>
        <v/>
      </c>
      <c r="K273" s="66">
        <f ca="1">SUMIF(採点!$DB$5:$DG$13,"*"&amp;K271&amp;"*",採点!DB284:DM284)</f>
        <v>0</v>
      </c>
      <c r="L273" s="66">
        <f ca="1">SUMIF(採点!$DH$5:$DM$13,"*"&amp;K271&amp;"*",採点!DH284:DM284)</f>
        <v>0</v>
      </c>
      <c r="M273" s="66">
        <f ca="1">SUMIF(採点!$DB$5:$DG$13,"*"&amp;M271&amp;"*",採点!DB284:DM284)</f>
        <v>0</v>
      </c>
      <c r="N273" s="66">
        <f ca="1">SUMIF(採点!$DH$5:$DM$13,"*"&amp;M271&amp;"*",採点!DH284:DM284)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IFERROR(ROUNDDOWN(F274/初期設定!$C$48*100,0),"")</f>
        <v/>
      </c>
      <c r="I274" s="42" t="str">
        <f>IF(ISBLANK(採点!DP285),"",採点!DP285)</f>
        <v/>
      </c>
      <c r="K274" s="66">
        <f ca="1">SUMIF(採点!$DB$5:$DG$13,"*"&amp;K272&amp;"*",採点!DB285:DM285)</f>
        <v>0</v>
      </c>
      <c r="L274" s="66">
        <f ca="1">SUMIF(採点!$DH$5:$DM$13,"*"&amp;K272&amp;"*",採点!DH285:DM285)</f>
        <v>0</v>
      </c>
      <c r="M274" s="66">
        <f ca="1">SUMIF(採点!$DB$5:$DG$13,"*"&amp;M272&amp;"*",採点!DB285:DM285)</f>
        <v>0</v>
      </c>
      <c r="N274" s="66">
        <f ca="1">SUMIF(採点!$DH$5:$DM$13,"*"&amp;M272&amp;"*",採点!DH285:DM285)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IFERROR(ROUNDDOWN(F275/初期設定!$C$48*100,0),"")</f>
        <v/>
      </c>
      <c r="I275" s="42" t="str">
        <f>IF(ISBLANK(採点!DP286),"",採点!DP286)</f>
        <v/>
      </c>
      <c r="K275" s="66">
        <f ca="1">SUMIF(採点!$DB$5:$DG$13,"*"&amp;K273&amp;"*",採点!DB286:DM286)</f>
        <v>0</v>
      </c>
      <c r="L275" s="66">
        <f ca="1">SUMIF(採点!$DH$5:$DM$13,"*"&amp;K273&amp;"*",採点!DH286:DM286)</f>
        <v>0</v>
      </c>
      <c r="M275" s="66">
        <f ca="1">SUMIF(採点!$DB$5:$DG$13,"*"&amp;M273&amp;"*",採点!DB286:DM286)</f>
        <v>0</v>
      </c>
      <c r="N275" s="66">
        <f ca="1">SUMIF(採点!$DH$5:$DM$13,"*"&amp;M273&amp;"*",採点!DH286:DM286)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IFERROR(ROUNDDOWN(F276/初期設定!$C$48*100,0),"")</f>
        <v/>
      </c>
      <c r="I276" s="42" t="str">
        <f>IF(ISBLANK(採点!DP287),"",採点!DP287)</f>
        <v/>
      </c>
      <c r="K276" s="66">
        <f ca="1">SUMIF(採点!$DB$5:$DG$13,"*"&amp;K274&amp;"*",採点!DB287:DM287)</f>
        <v>0</v>
      </c>
      <c r="L276" s="66">
        <f ca="1">SUMIF(採点!$DH$5:$DM$13,"*"&amp;K274&amp;"*",採点!DH287:DM287)</f>
        <v>0</v>
      </c>
      <c r="M276" s="66">
        <f ca="1">SUMIF(採点!$DB$5:$DG$13,"*"&amp;M274&amp;"*",採点!DB287:DM287)</f>
        <v>0</v>
      </c>
      <c r="N276" s="66">
        <f ca="1">SUMIF(採点!$DH$5:$DM$13,"*"&amp;M274&amp;"*",採点!DH287:DM287)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IFERROR(ROUNDDOWN(F277/初期設定!$C$48*100,0),"")</f>
        <v/>
      </c>
      <c r="I277" s="42" t="str">
        <f>IF(ISBLANK(採点!DP288),"",採点!DP288)</f>
        <v/>
      </c>
      <c r="K277" s="66">
        <f ca="1">SUMIF(採点!$DB$5:$DG$13,"*"&amp;K275&amp;"*",採点!DB288:DM288)</f>
        <v>0</v>
      </c>
      <c r="L277" s="66">
        <f ca="1">SUMIF(採点!$DH$5:$DM$13,"*"&amp;K275&amp;"*",採点!DH288:DM288)</f>
        <v>0</v>
      </c>
      <c r="M277" s="66">
        <f ca="1">SUMIF(採点!$DB$5:$DG$13,"*"&amp;M275&amp;"*",採点!DB288:DM288)</f>
        <v>0</v>
      </c>
      <c r="N277" s="66">
        <f ca="1">SUMIF(採点!$DH$5:$DM$13,"*"&amp;M275&amp;"*",採点!DH288:DM288)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IFERROR(ROUNDDOWN(F278/初期設定!$C$48*100,0),"")</f>
        <v/>
      </c>
      <c r="I278" s="42" t="str">
        <f>IF(ISBLANK(採点!DP289),"",採点!DP289)</f>
        <v/>
      </c>
      <c r="K278" s="66">
        <f ca="1">SUMIF(採点!$DB$5:$DG$13,"*"&amp;K276&amp;"*",採点!DB289:DM289)</f>
        <v>0</v>
      </c>
      <c r="L278" s="66">
        <f ca="1">SUMIF(採点!$DH$5:$DM$13,"*"&amp;K276&amp;"*",採点!DH289:DM289)</f>
        <v>0</v>
      </c>
      <c r="M278" s="66">
        <f ca="1">SUMIF(採点!$DB$5:$DG$13,"*"&amp;M276&amp;"*",採点!DB289:DM289)</f>
        <v>0</v>
      </c>
      <c r="N278" s="66">
        <f ca="1">SUMIF(採点!$DH$5:$DM$13,"*"&amp;M276&amp;"*",採点!DH289:DM289)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IFERROR(ROUNDDOWN(F279/初期設定!$C$48*100,0),"")</f>
        <v/>
      </c>
      <c r="I279" s="42" t="str">
        <f>IF(ISBLANK(採点!DP290),"",採点!DP290)</f>
        <v/>
      </c>
      <c r="K279" s="66">
        <f ca="1">SUMIF(採点!$DB$5:$DG$13,"*"&amp;K277&amp;"*",採点!DB290:DM290)</f>
        <v>0</v>
      </c>
      <c r="L279" s="66">
        <f ca="1">SUMIF(採点!$DH$5:$DM$13,"*"&amp;K277&amp;"*",採点!DH290:DM290)</f>
        <v>0</v>
      </c>
      <c r="M279" s="66">
        <f ca="1">SUMIF(採点!$DB$5:$DG$13,"*"&amp;M277&amp;"*",採点!DB290:DM290)</f>
        <v>0</v>
      </c>
      <c r="N279" s="66">
        <f ca="1">SUMIF(採点!$DH$5:$DM$13,"*"&amp;M277&amp;"*",採点!DH290:DM290)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IFERROR(ROUNDDOWN(F280/初期設定!$C$48*100,0),"")</f>
        <v/>
      </c>
      <c r="I280" s="42" t="str">
        <f>IF(ISBLANK(採点!DP291),"",採点!DP291)</f>
        <v/>
      </c>
      <c r="K280" s="66">
        <f ca="1">SUMIF(採点!$DB$5:$DG$13,"*"&amp;K278&amp;"*",採点!DB291:DM291)</f>
        <v>0</v>
      </c>
      <c r="L280" s="66">
        <f ca="1">SUMIF(採点!$DH$5:$DM$13,"*"&amp;K278&amp;"*",採点!DH291:DM291)</f>
        <v>0</v>
      </c>
      <c r="M280" s="66">
        <f ca="1">SUMIF(採点!$DB$5:$DG$13,"*"&amp;M278&amp;"*",採点!DB291:DM291)</f>
        <v>0</v>
      </c>
      <c r="N280" s="66">
        <f ca="1">SUMIF(採点!$DH$5:$DM$13,"*"&amp;M278&amp;"*",採点!DH291:DM291)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IFERROR(ROUNDDOWN(F281/初期設定!$C$48*100,0),"")</f>
        <v/>
      </c>
      <c r="I281" s="42" t="str">
        <f>IF(ISBLANK(採点!DP292),"",採点!DP292)</f>
        <v/>
      </c>
      <c r="K281" s="66">
        <f ca="1">SUMIF(採点!$DB$5:$DG$13,"*"&amp;K279&amp;"*",採点!DB292:DM292)</f>
        <v>0</v>
      </c>
      <c r="L281" s="66">
        <f ca="1">SUMIF(採点!$DH$5:$DM$13,"*"&amp;K279&amp;"*",採点!DH292:DM292)</f>
        <v>0</v>
      </c>
      <c r="M281" s="66">
        <f ca="1">SUMIF(採点!$DB$5:$DG$13,"*"&amp;M279&amp;"*",採点!DB292:DM292)</f>
        <v>0</v>
      </c>
      <c r="N281" s="66">
        <f ca="1">SUMIF(採点!$DH$5:$DM$13,"*"&amp;M279&amp;"*",採点!DH292:DM292)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IFERROR(ROUNDDOWN(F282/初期設定!$C$48*100,0),"")</f>
        <v/>
      </c>
      <c r="I282" s="42" t="str">
        <f>IF(ISBLANK(採点!DP293),"",採点!DP293)</f>
        <v/>
      </c>
      <c r="K282" s="66">
        <f ca="1">SUMIF(採点!$DB$5:$DG$13,"*"&amp;K280&amp;"*",採点!DB293:DM293)</f>
        <v>0</v>
      </c>
      <c r="L282" s="66">
        <f ca="1">SUMIF(採点!$DH$5:$DM$13,"*"&amp;K280&amp;"*",採点!DH293:DM293)</f>
        <v>0</v>
      </c>
      <c r="M282" s="66">
        <f ca="1">SUMIF(採点!$DB$5:$DG$13,"*"&amp;M280&amp;"*",採点!DB293:DM293)</f>
        <v>0</v>
      </c>
      <c r="N282" s="66">
        <f ca="1">SUMIF(採点!$DH$5:$DM$13,"*"&amp;M280&amp;"*",採点!DH293:DM293)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IFERROR(ROUNDDOWN(F283/初期設定!$C$48*100,0),"")</f>
        <v/>
      </c>
      <c r="I283" s="42" t="str">
        <f>IF(ISBLANK(採点!DP294),"",採点!DP294)</f>
        <v/>
      </c>
      <c r="K283" s="66">
        <f ca="1">SUMIF(採点!$DB$5:$DG$13,"*"&amp;K281&amp;"*",採点!DB294:DM294)</f>
        <v>0</v>
      </c>
      <c r="L283" s="66">
        <f ca="1">SUMIF(採点!$DH$5:$DM$13,"*"&amp;K281&amp;"*",採点!DH294:DM294)</f>
        <v>0</v>
      </c>
      <c r="M283" s="66">
        <f ca="1">SUMIF(採点!$DB$5:$DG$13,"*"&amp;M281&amp;"*",採点!DB294:DM294)</f>
        <v>0</v>
      </c>
      <c r="N283" s="66">
        <f ca="1">SUMIF(採点!$DH$5:$DM$13,"*"&amp;M281&amp;"*",採点!DH294:DM294)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IFERROR(ROUNDDOWN(F284/初期設定!$C$48*100,0),"")</f>
        <v/>
      </c>
      <c r="I284" s="42" t="str">
        <f>IF(ISBLANK(採点!DP295),"",採点!DP295)</f>
        <v/>
      </c>
      <c r="K284" s="66">
        <f ca="1">SUMIF(採点!$DB$5:$DG$13,"*"&amp;K282&amp;"*",採点!DB295:DM295)</f>
        <v>0</v>
      </c>
      <c r="L284" s="66">
        <f ca="1">SUMIF(採点!$DH$5:$DM$13,"*"&amp;K282&amp;"*",採点!DH295:DM295)</f>
        <v>0</v>
      </c>
      <c r="M284" s="66">
        <f ca="1">SUMIF(採点!$DB$5:$DG$13,"*"&amp;M282&amp;"*",採点!DB295:DM295)</f>
        <v>0</v>
      </c>
      <c r="N284" s="66">
        <f ca="1">SUMIF(採点!$DH$5:$DM$13,"*"&amp;M282&amp;"*",採点!DH295:DM295)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IFERROR(ROUNDDOWN(F285/初期設定!$C$48*100,0),"")</f>
        <v/>
      </c>
      <c r="I285" s="42" t="str">
        <f>IF(ISBLANK(採点!DP296),"",採点!DP296)</f>
        <v/>
      </c>
      <c r="K285" s="66">
        <f ca="1">SUMIF(採点!$DB$5:$DG$13,"*"&amp;K283&amp;"*",採点!DB296:DM296)</f>
        <v>0</v>
      </c>
      <c r="L285" s="66">
        <f ca="1">SUMIF(採点!$DH$5:$DM$13,"*"&amp;K283&amp;"*",採点!DH296:DM296)</f>
        <v>0</v>
      </c>
      <c r="M285" s="66">
        <f ca="1">SUMIF(採点!$DB$5:$DG$13,"*"&amp;M283&amp;"*",採点!DB296:DM296)</f>
        <v>0</v>
      </c>
      <c r="N285" s="66">
        <f ca="1">SUMIF(採点!$DH$5:$DM$13,"*"&amp;M283&amp;"*",採点!DH296:DM296)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IFERROR(ROUNDDOWN(F286/初期設定!$C$48*100,0),"")</f>
        <v/>
      </c>
      <c r="I286" s="42" t="str">
        <f>IF(ISBLANK(採点!DP297),"",採点!DP297)</f>
        <v/>
      </c>
      <c r="K286" s="66">
        <f ca="1">SUMIF(採点!$DB$5:$DG$13,"*"&amp;K284&amp;"*",採点!DB297:DM297)</f>
        <v>0</v>
      </c>
      <c r="L286" s="66">
        <f ca="1">SUMIF(採点!$DH$5:$DM$13,"*"&amp;K284&amp;"*",採点!DH297:DM297)</f>
        <v>0</v>
      </c>
      <c r="M286" s="66">
        <f ca="1">SUMIF(採点!$DB$5:$DG$13,"*"&amp;M284&amp;"*",採点!DB297:DM297)</f>
        <v>0</v>
      </c>
      <c r="N286" s="66">
        <f ca="1">SUMIF(採点!$DH$5:$DM$13,"*"&amp;M284&amp;"*",採点!DH297:DM297)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IFERROR(ROUNDDOWN(F287/初期設定!$C$48*100,0),"")</f>
        <v/>
      </c>
      <c r="I287" s="42" t="str">
        <f>IF(ISBLANK(採点!DP298),"",採点!DP298)</f>
        <v/>
      </c>
      <c r="K287" s="66">
        <f ca="1">SUMIF(採点!$DB$5:$DG$13,"*"&amp;K285&amp;"*",採点!DB298:DM298)</f>
        <v>0</v>
      </c>
      <c r="L287" s="66">
        <f ca="1">SUMIF(採点!$DH$5:$DM$13,"*"&amp;K285&amp;"*",採点!DH298:DM298)</f>
        <v>0</v>
      </c>
      <c r="M287" s="66">
        <f ca="1">SUMIF(採点!$DB$5:$DG$13,"*"&amp;M285&amp;"*",採点!DB298:DM298)</f>
        <v>0</v>
      </c>
      <c r="N287" s="66">
        <f ca="1">SUMIF(採点!$DH$5:$DM$13,"*"&amp;M285&amp;"*",採点!DH298:DM298)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IFERROR(ROUNDDOWN(F288/初期設定!$C$48*100,0),"")</f>
        <v/>
      </c>
      <c r="I288" s="42" t="str">
        <f>IF(ISBLANK(採点!DP299),"",採点!DP299)</f>
        <v/>
      </c>
      <c r="K288" s="66">
        <f ca="1">SUMIF(採点!$DB$5:$DG$13,"*"&amp;K286&amp;"*",採点!DB299:DM299)</f>
        <v>0</v>
      </c>
      <c r="L288" s="66">
        <f ca="1">SUMIF(採点!$DH$5:$DM$13,"*"&amp;K286&amp;"*",採点!DH299:DM299)</f>
        <v>0</v>
      </c>
      <c r="M288" s="66">
        <f ca="1">SUMIF(採点!$DB$5:$DG$13,"*"&amp;M286&amp;"*",採点!DB299:DM299)</f>
        <v>0</v>
      </c>
      <c r="N288" s="66">
        <f ca="1">SUMIF(採点!$DH$5:$DM$13,"*"&amp;M286&amp;"*",採点!DH299:DM299)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IFERROR(ROUNDDOWN(F289/初期設定!$C$48*100,0),"")</f>
        <v/>
      </c>
      <c r="I289" s="42" t="str">
        <f>IF(ISBLANK(採点!DP300),"",採点!DP300)</f>
        <v/>
      </c>
      <c r="K289" s="66">
        <f ca="1">SUMIF(採点!$DB$5:$DG$13,"*"&amp;K287&amp;"*",採点!DB300:DM300)</f>
        <v>0</v>
      </c>
      <c r="L289" s="66">
        <f ca="1">SUMIF(採点!$DH$5:$DM$13,"*"&amp;K287&amp;"*",採点!DH300:DM300)</f>
        <v>0</v>
      </c>
      <c r="M289" s="66">
        <f ca="1">SUMIF(採点!$DB$5:$DG$13,"*"&amp;M287&amp;"*",採点!DB300:DM300)</f>
        <v>0</v>
      </c>
      <c r="N289" s="66">
        <f ca="1">SUMIF(採点!$DH$5:$DM$13,"*"&amp;M287&amp;"*",採点!DH300:DM300)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IFERROR(ROUNDDOWN(F290/初期設定!$C$48*100,0),"")</f>
        <v/>
      </c>
      <c r="I290" s="42" t="str">
        <f>IF(ISBLANK(採点!DP301),"",採点!DP301)</f>
        <v/>
      </c>
      <c r="K290" s="66">
        <f ca="1">SUMIF(採点!$DB$5:$DG$13,"*"&amp;K288&amp;"*",採点!DB301:DM301)</f>
        <v>0</v>
      </c>
      <c r="L290" s="66">
        <f ca="1">SUMIF(採点!$DH$5:$DM$13,"*"&amp;K288&amp;"*",採点!DH301:DM301)</f>
        <v>0</v>
      </c>
      <c r="M290" s="66">
        <f ca="1">SUMIF(採点!$DB$5:$DG$13,"*"&amp;M288&amp;"*",採点!DB301:DM301)</f>
        <v>0</v>
      </c>
      <c r="N290" s="66">
        <f ca="1">SUMIF(採点!$DH$5:$DM$13,"*"&amp;M288&amp;"*",採点!DH301:DM301)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IFERROR(ROUNDDOWN(F291/初期設定!$C$48*100,0),"")</f>
        <v/>
      </c>
      <c r="I291" s="42" t="str">
        <f>IF(ISBLANK(採点!DP302),"",採点!DP302)</f>
        <v/>
      </c>
      <c r="K291" s="66">
        <f ca="1">SUMIF(採点!$DB$5:$DG$13,"*"&amp;K289&amp;"*",採点!DB302:DM302)</f>
        <v>0</v>
      </c>
      <c r="L291" s="66">
        <f ca="1">SUMIF(採点!$DH$5:$DM$13,"*"&amp;K289&amp;"*",採点!DH302:DM302)</f>
        <v>0</v>
      </c>
      <c r="M291" s="66">
        <f ca="1">SUMIF(採点!$DB$5:$DG$13,"*"&amp;M289&amp;"*",採点!DB302:DM302)</f>
        <v>0</v>
      </c>
      <c r="N291" s="66">
        <f ca="1">SUMIF(採点!$DH$5:$DM$13,"*"&amp;M289&amp;"*",採点!DH302:DM302)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IFERROR(ROUNDDOWN(F292/初期設定!$C$48*100,0),"")</f>
        <v/>
      </c>
      <c r="I292" s="42" t="str">
        <f>IF(ISBLANK(採点!DP303),"",採点!DP303)</f>
        <v/>
      </c>
      <c r="K292" s="66">
        <f ca="1">SUMIF(採点!$DB$5:$DG$13,"*"&amp;K290&amp;"*",採点!DB303:DM303)</f>
        <v>0</v>
      </c>
      <c r="L292" s="66">
        <f ca="1">SUMIF(採点!$DH$5:$DM$13,"*"&amp;K290&amp;"*",採点!DH303:DM303)</f>
        <v>0</v>
      </c>
      <c r="M292" s="66">
        <f ca="1">SUMIF(採点!$DB$5:$DG$13,"*"&amp;M290&amp;"*",採点!DB303:DM303)</f>
        <v>0</v>
      </c>
      <c r="N292" s="66">
        <f ca="1">SUMIF(採点!$DH$5:$DM$13,"*"&amp;M290&amp;"*",採点!DH303:DM303)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IFERROR(ROUNDDOWN(F293/初期設定!$C$48*100,0),"")</f>
        <v/>
      </c>
      <c r="I293" s="42" t="str">
        <f>IF(ISBLANK(採点!DP304),"",採点!DP304)</f>
        <v/>
      </c>
      <c r="K293" s="66">
        <f ca="1">SUMIF(採点!$DB$5:$DG$13,"*"&amp;K291&amp;"*",採点!DB304:DM304)</f>
        <v>0</v>
      </c>
      <c r="L293" s="66">
        <f ca="1">SUMIF(採点!$DH$5:$DM$13,"*"&amp;K291&amp;"*",採点!DH304:DM304)</f>
        <v>0</v>
      </c>
      <c r="M293" s="66">
        <f ca="1">SUMIF(採点!$DB$5:$DG$13,"*"&amp;M291&amp;"*",採点!DB304:DM304)</f>
        <v>0</v>
      </c>
      <c r="N293" s="66">
        <f ca="1">SUMIF(採点!$DH$5:$DM$13,"*"&amp;M291&amp;"*",採点!DH304:DM304)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IFERROR(ROUNDDOWN(F294/初期設定!$C$48*100,0),"")</f>
        <v/>
      </c>
      <c r="I294" s="42" t="str">
        <f>IF(ISBLANK(採点!DP305),"",採点!DP305)</f>
        <v/>
      </c>
      <c r="K294" s="66">
        <f ca="1">SUMIF(採点!$DB$5:$DG$13,"*"&amp;K292&amp;"*",採点!DB305:DM305)</f>
        <v>0</v>
      </c>
      <c r="L294" s="66">
        <f ca="1">SUMIF(採点!$DH$5:$DM$13,"*"&amp;K292&amp;"*",採点!DH305:DM305)</f>
        <v>0</v>
      </c>
      <c r="M294" s="66">
        <f ca="1">SUMIF(採点!$DB$5:$DG$13,"*"&amp;M292&amp;"*",採点!DB305:DM305)</f>
        <v>0</v>
      </c>
      <c r="N294" s="66">
        <f ca="1">SUMIF(採点!$DH$5:$DM$13,"*"&amp;M292&amp;"*",採点!DH305:DM305)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IFERROR(ROUNDDOWN(F295/初期設定!$C$48*100,0),"")</f>
        <v/>
      </c>
      <c r="I295" s="42" t="str">
        <f>IF(ISBLANK(採点!DP306),"",採点!DP306)</f>
        <v/>
      </c>
      <c r="K295" s="66">
        <f ca="1">SUMIF(採点!$DB$5:$DG$13,"*"&amp;K293&amp;"*",採点!DB306:DM306)</f>
        <v>0</v>
      </c>
      <c r="L295" s="66">
        <f ca="1">SUMIF(採点!$DH$5:$DM$13,"*"&amp;K293&amp;"*",採点!DH306:DM306)</f>
        <v>0</v>
      </c>
      <c r="M295" s="66">
        <f ca="1">SUMIF(採点!$DB$5:$DG$13,"*"&amp;M293&amp;"*",採点!DB306:DM306)</f>
        <v>0</v>
      </c>
      <c r="N295" s="66">
        <f ca="1">SUMIF(採点!$DH$5:$DM$13,"*"&amp;M293&amp;"*",採点!DH306:DM306)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IFERROR(ROUNDDOWN(F296/初期設定!$C$48*100,0),"")</f>
        <v/>
      </c>
      <c r="I296" s="42" t="str">
        <f>IF(ISBLANK(採点!DP307),"",採点!DP307)</f>
        <v/>
      </c>
      <c r="K296" s="66">
        <f ca="1">SUMIF(採点!$DB$5:$DG$13,"*"&amp;K294&amp;"*",採点!DB307:DM307)</f>
        <v>0</v>
      </c>
      <c r="L296" s="66">
        <f ca="1">SUMIF(採点!$DH$5:$DM$13,"*"&amp;K294&amp;"*",採点!DH307:DM307)</f>
        <v>0</v>
      </c>
      <c r="M296" s="66">
        <f ca="1">SUMIF(採点!$DB$5:$DG$13,"*"&amp;M294&amp;"*",採点!DB307:DM307)</f>
        <v>0</v>
      </c>
      <c r="N296" s="66">
        <f ca="1">SUMIF(採点!$DH$5:$DM$13,"*"&amp;M294&amp;"*",採点!DH307:DM307)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IFERROR(ROUNDDOWN(F297/初期設定!$C$48*100,0),"")</f>
        <v/>
      </c>
      <c r="I297" s="42" t="str">
        <f>IF(ISBLANK(採点!DP308),"",採点!DP308)</f>
        <v/>
      </c>
      <c r="K297" s="66">
        <f ca="1">SUMIF(採点!$DB$5:$DG$13,"*"&amp;K295&amp;"*",採点!DB308:DM308)</f>
        <v>0</v>
      </c>
      <c r="L297" s="66">
        <f ca="1">SUMIF(採点!$DH$5:$DM$13,"*"&amp;K295&amp;"*",採点!DH308:DM308)</f>
        <v>0</v>
      </c>
      <c r="M297" s="66">
        <f ca="1">SUMIF(採点!$DB$5:$DG$13,"*"&amp;M295&amp;"*",採点!DB308:DM308)</f>
        <v>0</v>
      </c>
      <c r="N297" s="66">
        <f ca="1">SUMIF(採点!$DH$5:$DM$13,"*"&amp;M295&amp;"*",採点!DH308:DM308)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IFERROR(ROUNDDOWN(F298/初期設定!$C$48*100,0),"")</f>
        <v/>
      </c>
      <c r="I298" s="42" t="str">
        <f>IF(ISBLANK(採点!DP309),"",採点!DP309)</f>
        <v/>
      </c>
      <c r="K298" s="66">
        <f ca="1">SUMIF(採点!$DB$5:$DG$13,"*"&amp;K296&amp;"*",採点!DB309:DM309)</f>
        <v>0</v>
      </c>
      <c r="L298" s="66">
        <f ca="1">SUMIF(採点!$DH$5:$DM$13,"*"&amp;K296&amp;"*",採点!DH309:DM309)</f>
        <v>0</v>
      </c>
      <c r="M298" s="66">
        <f ca="1">SUMIF(採点!$DB$5:$DG$13,"*"&amp;M296&amp;"*",採点!DB309:DM309)</f>
        <v>0</v>
      </c>
      <c r="N298" s="66">
        <f ca="1">SUMIF(採点!$DH$5:$DM$13,"*"&amp;M296&amp;"*",採点!DH309:DM309)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IFERROR(ROUNDDOWN(F299/初期設定!$C$48*100,0),"")</f>
        <v/>
      </c>
      <c r="I299" s="42" t="str">
        <f>IF(ISBLANK(採点!DP310),"",採点!DP310)</f>
        <v/>
      </c>
      <c r="K299" s="66">
        <f ca="1">SUMIF(採点!$DB$5:$DG$13,"*"&amp;K297&amp;"*",採点!DB310:DM310)</f>
        <v>0</v>
      </c>
      <c r="L299" s="66">
        <f ca="1">SUMIF(採点!$DH$5:$DM$13,"*"&amp;K297&amp;"*",採点!DH310:DM310)</f>
        <v>0</v>
      </c>
      <c r="M299" s="66">
        <f ca="1">SUMIF(採点!$DB$5:$DG$13,"*"&amp;M297&amp;"*",採点!DB310:DM310)</f>
        <v>0</v>
      </c>
      <c r="N299" s="66">
        <f ca="1">SUMIF(採点!$DH$5:$DM$13,"*"&amp;M297&amp;"*",採点!DH310:DM310)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IFERROR(ROUNDDOWN(F300/初期設定!$C$48*100,0),"")</f>
        <v/>
      </c>
      <c r="I300" s="42" t="str">
        <f>IF(ISBLANK(採点!DP311),"",採点!DP311)</f>
        <v/>
      </c>
      <c r="K300" s="66">
        <f ca="1">SUMIF(採点!$DB$5:$DG$13,"*"&amp;K298&amp;"*",採点!DB311:DM311)</f>
        <v>0</v>
      </c>
      <c r="L300" s="66">
        <f ca="1">SUMIF(採点!$DH$5:$DM$13,"*"&amp;K298&amp;"*",採点!DH311:DM311)</f>
        <v>0</v>
      </c>
      <c r="M300" s="66">
        <f ca="1">SUMIF(採点!$DB$5:$DG$13,"*"&amp;M298&amp;"*",採点!DB311:DM311)</f>
        <v>0</v>
      </c>
      <c r="N300" s="66">
        <f ca="1">SUMIF(採点!$DH$5:$DM$13,"*"&amp;M298&amp;"*",採点!DH311:DM311)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IFERROR(ROUNDDOWN(F301/初期設定!$C$48*100,0),"")</f>
        <v/>
      </c>
      <c r="I301" s="42" t="str">
        <f>IF(ISBLANK(採点!DP312),"",採点!DP312)</f>
        <v/>
      </c>
      <c r="K301" s="66">
        <f ca="1">SUMIF(採点!$DB$5:$DG$13,"*"&amp;K299&amp;"*",採点!DB312:DM312)</f>
        <v>0</v>
      </c>
      <c r="L301" s="66">
        <f ca="1">SUMIF(採点!$DH$5:$DM$13,"*"&amp;K299&amp;"*",採点!DH312:DM312)</f>
        <v>0</v>
      </c>
      <c r="M301" s="66">
        <f ca="1">SUMIF(採点!$DB$5:$DG$13,"*"&amp;M299&amp;"*",採点!DB312:DM312)</f>
        <v>0</v>
      </c>
      <c r="N301" s="66">
        <f ca="1">SUMIF(採点!$DH$5:$DM$13,"*"&amp;M299&amp;"*",採点!DH312:DM312)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IFERROR(ROUNDDOWN(F302/初期設定!$C$48*100,0),"")</f>
        <v/>
      </c>
      <c r="I302" s="42" t="str">
        <f>IF(ISBLANK(採点!DP313),"",採点!DP313)</f>
        <v/>
      </c>
      <c r="K302" s="66">
        <f ca="1">SUMIF(採点!$DB$5:$DG$13,"*"&amp;K300&amp;"*",採点!DB313:DM313)</f>
        <v>0</v>
      </c>
      <c r="L302" s="66">
        <f ca="1">SUMIF(採点!$DH$5:$DM$13,"*"&amp;K300&amp;"*",採点!DH313:DM313)</f>
        <v>0</v>
      </c>
      <c r="M302" s="66">
        <f ca="1">SUMIF(採点!$DB$5:$DG$13,"*"&amp;M300&amp;"*",採点!DB313:DM313)</f>
        <v>0</v>
      </c>
      <c r="N302" s="66">
        <f ca="1">SUMIF(採点!$DH$5:$DM$13,"*"&amp;M300&amp;"*",採点!DH313:DM313)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IFERROR(ROUNDDOWN(F303/初期設定!$C$48*100,0),"")</f>
        <v/>
      </c>
      <c r="I303" s="42" t="str">
        <f>IF(ISBLANK(採点!DP314),"",採点!DP314)</f>
        <v/>
      </c>
      <c r="K303" s="66">
        <f ca="1">SUMIF(採点!$DB$5:$DG$13,"*"&amp;K301&amp;"*",採点!DB314:DM314)</f>
        <v>0</v>
      </c>
      <c r="L303" s="66">
        <f ca="1">SUMIF(採点!$DH$5:$DM$13,"*"&amp;K301&amp;"*",採点!DH314:DM314)</f>
        <v>0</v>
      </c>
      <c r="M303" s="66">
        <f ca="1">SUMIF(採点!$DB$5:$DG$13,"*"&amp;M301&amp;"*",採点!DB314:DM314)</f>
        <v>0</v>
      </c>
      <c r="N303" s="66">
        <f ca="1">SUMIF(採点!$DH$5:$DM$13,"*"&amp;M301&amp;"*",採点!DH314:DM314)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IFERROR(ROUNDDOWN(F304/初期設定!$C$48*100,0),"")</f>
        <v/>
      </c>
      <c r="I304" s="42" t="str">
        <f>IF(ISBLANK(採点!DP315),"",採点!DP315)</f>
        <v/>
      </c>
      <c r="K304" s="66">
        <f ca="1">SUMIF(採点!$DB$5:$DG$13,"*"&amp;K302&amp;"*",採点!DB315:DM315)</f>
        <v>0</v>
      </c>
      <c r="L304" s="66">
        <f ca="1">SUMIF(採点!$DH$5:$DM$13,"*"&amp;K302&amp;"*",採点!DH315:DM315)</f>
        <v>0</v>
      </c>
      <c r="M304" s="66">
        <f ca="1">SUMIF(採点!$DB$5:$DG$13,"*"&amp;M302&amp;"*",採点!DB315:DM315)</f>
        <v>0</v>
      </c>
      <c r="N304" s="66">
        <f ca="1">SUMIF(採点!$DH$5:$DM$13,"*"&amp;M302&amp;"*",採点!DH315:DM315)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IFERROR(ROUNDDOWN(F305/初期設定!$C$48*100,0),"")</f>
        <v/>
      </c>
      <c r="I305" s="42" t="str">
        <f>IF(ISBLANK(採点!DP316),"",採点!DP316)</f>
        <v/>
      </c>
      <c r="K305" s="66">
        <f ca="1">SUMIF(採点!$DB$5:$DG$13,"*"&amp;K303&amp;"*",採点!DB316:DM316)</f>
        <v>0</v>
      </c>
      <c r="L305" s="66">
        <f ca="1">SUMIF(採点!$DH$5:$DM$13,"*"&amp;K303&amp;"*",採点!DH316:DM316)</f>
        <v>0</v>
      </c>
      <c r="M305" s="66">
        <f ca="1">SUMIF(採点!$DB$5:$DG$13,"*"&amp;M303&amp;"*",採点!DB316:DM316)</f>
        <v>0</v>
      </c>
      <c r="N305" s="66">
        <f ca="1">SUMIF(採点!$DH$5:$DM$13,"*"&amp;M303&amp;"*",採点!DH316:DM316)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IFERROR(ROUNDDOWN(F306/初期設定!$C$48*100,0),"")</f>
        <v/>
      </c>
      <c r="I306" s="42" t="str">
        <f>IF(ISBLANK(採点!DP317),"",採点!DP317)</f>
        <v/>
      </c>
      <c r="K306" s="66">
        <f ca="1">SUMIF(採点!$DB$5:$DG$13,"*"&amp;K304&amp;"*",採点!DB317:DM317)</f>
        <v>0</v>
      </c>
      <c r="L306" s="66">
        <f ca="1">SUMIF(採点!$DH$5:$DM$13,"*"&amp;K304&amp;"*",採点!DH317:DM317)</f>
        <v>0</v>
      </c>
      <c r="M306" s="66">
        <f ca="1">SUMIF(採点!$DB$5:$DG$13,"*"&amp;M304&amp;"*",採点!DB317:DM317)</f>
        <v>0</v>
      </c>
      <c r="N306" s="66">
        <f ca="1">SUMIF(採点!$DH$5:$DM$13,"*"&amp;M304&amp;"*",採点!DH317:DM317)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IFERROR(ROUNDDOWN(F307/初期設定!$C$48*100,0),"")</f>
        <v/>
      </c>
      <c r="I307" s="42" t="str">
        <f>IF(ISBLANK(採点!DP318),"",採点!DP318)</f>
        <v/>
      </c>
      <c r="K307" s="66">
        <f ca="1">SUMIF(採点!$DB$5:$DG$13,"*"&amp;K305&amp;"*",採点!DB318:DM318)</f>
        <v>0</v>
      </c>
      <c r="L307" s="66">
        <f ca="1">SUMIF(採点!$DH$5:$DM$13,"*"&amp;K305&amp;"*",採点!DH318:DM318)</f>
        <v>0</v>
      </c>
      <c r="M307" s="66">
        <f ca="1">SUMIF(採点!$DB$5:$DG$13,"*"&amp;M305&amp;"*",採点!DB318:DM318)</f>
        <v>0</v>
      </c>
      <c r="N307" s="66">
        <f ca="1">SUMIF(採点!$DH$5:$DM$13,"*"&amp;M305&amp;"*",採点!DH318:DM318)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IFERROR(ROUNDDOWN(F308/初期設定!$C$48*100,0),"")</f>
        <v/>
      </c>
      <c r="I308" s="42" t="str">
        <f>IF(ISBLANK(採点!DP319),"",採点!DP319)</f>
        <v/>
      </c>
      <c r="K308" s="66">
        <f ca="1">SUMIF(採点!$DB$5:$DG$13,"*"&amp;K306&amp;"*",採点!DB319:DM319)</f>
        <v>0</v>
      </c>
      <c r="L308" s="66">
        <f ca="1">SUMIF(採点!$DH$5:$DM$13,"*"&amp;K306&amp;"*",採点!DH319:DM319)</f>
        <v>0</v>
      </c>
      <c r="M308" s="66">
        <f ca="1">SUMIF(採点!$DB$5:$DG$13,"*"&amp;M306&amp;"*",採点!DB319:DM319)</f>
        <v>0</v>
      </c>
      <c r="N308" s="66">
        <f ca="1">SUMIF(採点!$DH$5:$DM$13,"*"&amp;M306&amp;"*",採点!DH319:DM319)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IFERROR(ROUNDDOWN(F309/初期設定!$C$48*100,0),"")</f>
        <v/>
      </c>
      <c r="I309" s="42" t="str">
        <f>IF(ISBLANK(採点!DP320),"",採点!DP320)</f>
        <v/>
      </c>
      <c r="K309" s="66">
        <f ca="1">SUMIF(採点!$DB$5:$DG$13,"*"&amp;K307&amp;"*",採点!DB320:DM320)</f>
        <v>0</v>
      </c>
      <c r="L309" s="66">
        <f ca="1">SUMIF(採点!$DH$5:$DM$13,"*"&amp;K307&amp;"*",採点!DH320:DM320)</f>
        <v>0</v>
      </c>
      <c r="M309" s="66">
        <f ca="1">SUMIF(採点!$DB$5:$DG$13,"*"&amp;M307&amp;"*",採点!DB320:DM320)</f>
        <v>0</v>
      </c>
      <c r="N309" s="66">
        <f ca="1">SUMIF(採点!$DH$5:$DM$13,"*"&amp;M307&amp;"*",採点!DH320:DM320)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IFERROR(ROUNDDOWN(F310/初期設定!$C$48*100,0),"")</f>
        <v/>
      </c>
      <c r="I310" s="42" t="str">
        <f>IF(ISBLANK(採点!DP321),"",採点!DP321)</f>
        <v/>
      </c>
      <c r="K310" s="66">
        <f ca="1">SUMIF(採点!$DB$5:$DG$13,"*"&amp;K308&amp;"*",採点!DB321:DM321)</f>
        <v>0</v>
      </c>
      <c r="L310" s="66">
        <f ca="1">SUMIF(採点!$DH$5:$DM$13,"*"&amp;K308&amp;"*",採点!DH321:DM321)</f>
        <v>0</v>
      </c>
      <c r="M310" s="66">
        <f ca="1">SUMIF(採点!$DB$5:$DG$13,"*"&amp;M308&amp;"*",採点!DB321:DM321)</f>
        <v>0</v>
      </c>
      <c r="N310" s="66">
        <f ca="1">SUMIF(採点!$DH$5:$DM$13,"*"&amp;M308&amp;"*",採点!DH321:DM321)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IFERROR(ROUNDDOWN(F311/初期設定!$C$48*100,0),"")</f>
        <v/>
      </c>
      <c r="I311" s="42" t="str">
        <f>IF(ISBLANK(採点!DP322),"",採点!DP322)</f>
        <v/>
      </c>
      <c r="K311" s="66">
        <f ca="1">SUMIF(採点!$DB$5:$DG$13,"*"&amp;K309&amp;"*",採点!DB322:DM322)</f>
        <v>0</v>
      </c>
      <c r="L311" s="66">
        <f ca="1">SUMIF(採点!$DH$5:$DM$13,"*"&amp;K309&amp;"*",採点!DH322:DM322)</f>
        <v>0</v>
      </c>
      <c r="M311" s="66">
        <f ca="1">SUMIF(採点!$DB$5:$DG$13,"*"&amp;M309&amp;"*",採点!DB322:DM322)</f>
        <v>0</v>
      </c>
      <c r="N311" s="66">
        <f ca="1">SUMIF(採点!$DH$5:$DM$13,"*"&amp;M309&amp;"*",採点!DH322:DM322)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IFERROR(ROUNDDOWN(F312/初期設定!$C$48*100,0),"")</f>
        <v/>
      </c>
      <c r="I312" s="42" t="str">
        <f>IF(ISBLANK(採点!DP323),"",採点!DP323)</f>
        <v/>
      </c>
      <c r="K312" s="66">
        <f ca="1">SUMIF(採点!$DB$5:$DG$13,"*"&amp;K310&amp;"*",採点!DB323:DM323)</f>
        <v>0</v>
      </c>
      <c r="L312" s="66">
        <f ca="1">SUMIF(採点!$DH$5:$DM$13,"*"&amp;K310&amp;"*",採点!DH323:DM323)</f>
        <v>0</v>
      </c>
      <c r="M312" s="66">
        <f ca="1">SUMIF(採点!$DB$5:$DG$13,"*"&amp;M310&amp;"*",採点!DB323:DM323)</f>
        <v>0</v>
      </c>
      <c r="N312" s="66">
        <f ca="1">SUMIF(採点!$DH$5:$DM$13,"*"&amp;M310&amp;"*",採点!DH323:DM323)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IFERROR(ROUNDDOWN(F313/初期設定!$C$48*100,0),"")</f>
        <v/>
      </c>
      <c r="I313" s="42" t="str">
        <f>IF(ISBLANK(採点!DP324),"",採点!DP324)</f>
        <v/>
      </c>
      <c r="K313" s="66">
        <f ca="1">SUMIF(採点!$DB$5:$DG$13,"*"&amp;K311&amp;"*",採点!DB324:DM324)</f>
        <v>0</v>
      </c>
      <c r="L313" s="66">
        <f ca="1">SUMIF(採点!$DH$5:$DM$13,"*"&amp;K311&amp;"*",採点!DH324:DM324)</f>
        <v>0</v>
      </c>
      <c r="M313" s="66">
        <f ca="1">SUMIF(採点!$DB$5:$DG$13,"*"&amp;M311&amp;"*",採点!DB324:DM324)</f>
        <v>0</v>
      </c>
      <c r="N313" s="66">
        <f ca="1">SUMIF(採点!$DH$5:$DM$13,"*"&amp;M311&amp;"*",採点!DH324:DM324)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IFERROR(ROUNDDOWN(F314/初期設定!$C$48*100,0),"")</f>
        <v/>
      </c>
      <c r="I314" s="42" t="str">
        <f>IF(ISBLANK(採点!DP325),"",採点!DP325)</f>
        <v/>
      </c>
      <c r="K314" s="66">
        <f ca="1">SUMIF(採点!$DB$5:$DG$13,"*"&amp;K312&amp;"*",採点!DB325:DM325)</f>
        <v>0</v>
      </c>
      <c r="L314" s="66">
        <f ca="1">SUMIF(採点!$DH$5:$DM$13,"*"&amp;K312&amp;"*",採点!DH325:DM325)</f>
        <v>0</v>
      </c>
      <c r="M314" s="66">
        <f ca="1">SUMIF(採点!$DB$5:$DG$13,"*"&amp;M312&amp;"*",採点!DB325:DM325)</f>
        <v>0</v>
      </c>
      <c r="N314" s="66">
        <f ca="1">SUMIF(採点!$DH$5:$DM$13,"*"&amp;M312&amp;"*",採点!DH325:DM325)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IFERROR(ROUNDDOWN(F315/初期設定!$C$48*100,0),"")</f>
        <v/>
      </c>
      <c r="I315" s="42" t="str">
        <f>IF(ISBLANK(採点!DP326),"",採点!DP326)</f>
        <v/>
      </c>
      <c r="K315" s="66">
        <f ca="1">SUMIF(採点!$DB$5:$DG$13,"*"&amp;K313&amp;"*",採点!DB326:DM326)</f>
        <v>0</v>
      </c>
      <c r="L315" s="66">
        <f ca="1">SUMIF(採点!$DH$5:$DM$13,"*"&amp;K313&amp;"*",採点!DH326:DM326)</f>
        <v>0</v>
      </c>
      <c r="M315" s="66">
        <f ca="1">SUMIF(採点!$DB$5:$DG$13,"*"&amp;M313&amp;"*",採点!DB326:DM326)</f>
        <v>0</v>
      </c>
      <c r="N315" s="66">
        <f ca="1">SUMIF(採点!$DH$5:$DM$13,"*"&amp;M313&amp;"*",採点!DH326:DM326)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IFERROR(ROUNDDOWN(F316/初期設定!$C$48*100,0),"")</f>
        <v/>
      </c>
      <c r="I316" s="42" t="str">
        <f>IF(ISBLANK(採点!DP327),"",採点!DP327)</f>
        <v/>
      </c>
      <c r="K316" s="66">
        <f ca="1">SUMIF(採点!$DB$5:$DG$13,"*"&amp;K314&amp;"*",採点!DB327:DM327)</f>
        <v>0</v>
      </c>
      <c r="L316" s="66">
        <f ca="1">SUMIF(採点!$DH$5:$DM$13,"*"&amp;K314&amp;"*",採点!DH327:DM327)</f>
        <v>0</v>
      </c>
      <c r="M316" s="66">
        <f ca="1">SUMIF(採点!$DB$5:$DG$13,"*"&amp;M314&amp;"*",採点!DB327:DM327)</f>
        <v>0</v>
      </c>
      <c r="N316" s="66">
        <f ca="1">SUMIF(採点!$DH$5:$DM$13,"*"&amp;M314&amp;"*",採点!DH327:DM327)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IFERROR(ROUNDDOWN(F317/初期設定!$C$48*100,0),"")</f>
        <v/>
      </c>
      <c r="I317" s="42" t="str">
        <f>IF(ISBLANK(採点!DP328),"",採点!DP328)</f>
        <v/>
      </c>
      <c r="K317" s="66">
        <f ca="1">SUMIF(採点!$DB$5:$DG$13,"*"&amp;K315&amp;"*",採点!DB328:DM328)</f>
        <v>0</v>
      </c>
      <c r="L317" s="66">
        <f ca="1">SUMIF(採点!$DH$5:$DM$13,"*"&amp;K315&amp;"*",採点!DH328:DM328)</f>
        <v>0</v>
      </c>
      <c r="M317" s="66">
        <f ca="1">SUMIF(採点!$DB$5:$DG$13,"*"&amp;M315&amp;"*",採点!DB328:DM328)</f>
        <v>0</v>
      </c>
      <c r="N317" s="66">
        <f ca="1">SUMIF(採点!$DH$5:$DM$13,"*"&amp;M315&amp;"*",採点!DH328:DM328)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IFERROR(ROUNDDOWN(F318/初期設定!$C$48*100,0),"")</f>
        <v/>
      </c>
      <c r="I318" s="42" t="str">
        <f>IF(ISBLANK(採点!DP329),"",採点!DP329)</f>
        <v/>
      </c>
      <c r="K318" s="66">
        <f ca="1">SUMIF(採点!$DB$5:$DG$13,"*"&amp;K316&amp;"*",採点!DB329:DM329)</f>
        <v>0</v>
      </c>
      <c r="L318" s="66">
        <f ca="1">SUMIF(採点!$DH$5:$DM$13,"*"&amp;K316&amp;"*",採点!DH329:DM329)</f>
        <v>0</v>
      </c>
      <c r="M318" s="66">
        <f ca="1">SUMIF(採点!$DB$5:$DG$13,"*"&amp;M316&amp;"*",採点!DB329:DM329)</f>
        <v>0</v>
      </c>
      <c r="N318" s="66">
        <f ca="1">SUMIF(採点!$DH$5:$DM$13,"*"&amp;M316&amp;"*",採点!DH329:DM329)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IFERROR(ROUNDDOWN(F319/初期設定!$C$48*100,0),"")</f>
        <v/>
      </c>
      <c r="I319" s="42" t="str">
        <f>IF(ISBLANK(採点!DP330),"",採点!DP330)</f>
        <v/>
      </c>
      <c r="K319" s="66">
        <f ca="1">SUMIF(採点!$DB$5:$DG$13,"*"&amp;K317&amp;"*",採点!DB330:DM330)</f>
        <v>0</v>
      </c>
      <c r="L319" s="66">
        <f ca="1">SUMIF(採点!$DH$5:$DM$13,"*"&amp;K317&amp;"*",採点!DH330:DM330)</f>
        <v>0</v>
      </c>
      <c r="M319" s="66">
        <f ca="1">SUMIF(採点!$DB$5:$DG$13,"*"&amp;M317&amp;"*",採点!DB330:DM330)</f>
        <v>0</v>
      </c>
      <c r="N319" s="66">
        <f ca="1">SUMIF(採点!$DH$5:$DM$13,"*"&amp;M317&amp;"*",採点!DH330:DM330)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IFERROR(ROUNDDOWN(F320/初期設定!$C$48*100,0),"")</f>
        <v/>
      </c>
      <c r="I320" s="42" t="str">
        <f>IF(ISBLANK(採点!DP331),"",採点!DP331)</f>
        <v/>
      </c>
      <c r="K320" s="66">
        <f ca="1">SUMIF(採点!$DB$5:$DG$13,"*"&amp;K318&amp;"*",採点!DB331:DM331)</f>
        <v>0</v>
      </c>
      <c r="L320" s="66">
        <f ca="1">SUMIF(採点!$DH$5:$DM$13,"*"&amp;K318&amp;"*",採点!DH331:DM331)</f>
        <v>0</v>
      </c>
      <c r="M320" s="66">
        <f ca="1">SUMIF(採点!$DB$5:$DG$13,"*"&amp;M318&amp;"*",採点!DB331:DM331)</f>
        <v>0</v>
      </c>
      <c r="N320" s="66">
        <f ca="1">SUMIF(採点!$DH$5:$DM$13,"*"&amp;M318&amp;"*",採点!DH331:DM331)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IFERROR(ROUNDDOWN(F321/初期設定!$C$48*100,0),"")</f>
        <v/>
      </c>
      <c r="I321" s="42" t="str">
        <f>IF(ISBLANK(採点!DP332),"",採点!DP332)</f>
        <v/>
      </c>
      <c r="K321" s="66">
        <f ca="1">SUMIF(採点!$DB$5:$DG$13,"*"&amp;K319&amp;"*",採点!DB332:DM332)</f>
        <v>0</v>
      </c>
      <c r="L321" s="66">
        <f ca="1">SUMIF(採点!$DH$5:$DM$13,"*"&amp;K319&amp;"*",採点!DH332:DM332)</f>
        <v>0</v>
      </c>
      <c r="M321" s="66">
        <f ca="1">SUMIF(採点!$DB$5:$DG$13,"*"&amp;M319&amp;"*",採点!DB332:DM332)</f>
        <v>0</v>
      </c>
      <c r="N321" s="66">
        <f ca="1">SUMIF(採点!$DH$5:$DM$13,"*"&amp;M319&amp;"*",採点!DH332:DM332)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IFERROR(ROUNDDOWN(F322/初期設定!$C$48*100,0),"")</f>
        <v/>
      </c>
      <c r="I322" s="42" t="str">
        <f>IF(ISBLANK(採点!DP333),"",採点!DP333)</f>
        <v/>
      </c>
      <c r="K322" s="66">
        <f ca="1">SUMIF(採点!$DB$5:$DG$13,"*"&amp;K320&amp;"*",採点!DB333:DM333)</f>
        <v>0</v>
      </c>
      <c r="L322" s="66">
        <f ca="1">SUMIF(採点!$DH$5:$DM$13,"*"&amp;K320&amp;"*",採点!DH333:DM333)</f>
        <v>0</v>
      </c>
      <c r="M322" s="66">
        <f ca="1">SUMIF(採点!$DB$5:$DG$13,"*"&amp;M320&amp;"*",採点!DB333:DM333)</f>
        <v>0</v>
      </c>
      <c r="N322" s="66">
        <f ca="1">SUMIF(採点!$DH$5:$DM$13,"*"&amp;M320&amp;"*",採点!DH333:DM333)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IFERROR(ROUNDDOWN(F323/初期設定!$C$48*100,0),"")</f>
        <v/>
      </c>
      <c r="I323" s="42" t="str">
        <f>IF(ISBLANK(採点!DP334),"",採点!DP334)</f>
        <v/>
      </c>
      <c r="K323" s="66">
        <f ca="1">SUMIF(採点!$DB$5:$DG$13,"*"&amp;K321&amp;"*",採点!DB334:DM334)</f>
        <v>0</v>
      </c>
      <c r="L323" s="66">
        <f ca="1">SUMIF(採点!$DH$5:$DM$13,"*"&amp;K321&amp;"*",採点!DH334:DM334)</f>
        <v>0</v>
      </c>
      <c r="M323" s="66">
        <f ca="1">SUMIF(採点!$DB$5:$DG$13,"*"&amp;M321&amp;"*",採点!DB334:DM334)</f>
        <v>0</v>
      </c>
      <c r="N323" s="66">
        <f ca="1">SUMIF(採点!$DH$5:$DM$13,"*"&amp;M321&amp;"*",採点!DH334:DM334)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IFERROR(ROUNDDOWN(F324/初期設定!$C$48*100,0),"")</f>
        <v/>
      </c>
      <c r="I324" s="42" t="str">
        <f>IF(ISBLANK(採点!DP335),"",採点!DP335)</f>
        <v/>
      </c>
      <c r="K324" s="66">
        <f ca="1">SUMIF(採点!$DB$5:$DG$13,"*"&amp;K322&amp;"*",採点!DB335:DM335)</f>
        <v>0</v>
      </c>
      <c r="L324" s="66">
        <f ca="1">SUMIF(採点!$DH$5:$DM$13,"*"&amp;K322&amp;"*",採点!DH335:DM335)</f>
        <v>0</v>
      </c>
      <c r="M324" s="66">
        <f ca="1">SUMIF(採点!$DB$5:$DG$13,"*"&amp;M322&amp;"*",採点!DB335:DM335)</f>
        <v>0</v>
      </c>
      <c r="N324" s="66">
        <f ca="1">SUMIF(採点!$DH$5:$DM$13,"*"&amp;M322&amp;"*",採点!DH335:DM335)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IFERROR(ROUNDDOWN(F325/初期設定!$C$48*100,0),"")</f>
        <v/>
      </c>
      <c r="I325" s="42" t="str">
        <f>IF(ISBLANK(採点!DP336),"",採点!DP336)</f>
        <v/>
      </c>
      <c r="K325" s="66">
        <f ca="1">SUMIF(採点!$DB$5:$DG$13,"*"&amp;K323&amp;"*",採点!DB336:DM336)</f>
        <v>0</v>
      </c>
      <c r="L325" s="66">
        <f ca="1">SUMIF(採点!$DH$5:$DM$13,"*"&amp;K323&amp;"*",採点!DH336:DM336)</f>
        <v>0</v>
      </c>
      <c r="M325" s="66">
        <f ca="1">SUMIF(採点!$DB$5:$DG$13,"*"&amp;M323&amp;"*",採点!DB336:DM336)</f>
        <v>0</v>
      </c>
      <c r="N325" s="66">
        <f ca="1">SUMIF(採点!$DH$5:$DM$13,"*"&amp;M323&amp;"*",採点!DH336:DM336)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IFERROR(ROUNDDOWN(F326/初期設定!$C$48*100,0),"")</f>
        <v/>
      </c>
      <c r="I326" s="42" t="str">
        <f>IF(ISBLANK(採点!DP337),"",採点!DP337)</f>
        <v/>
      </c>
      <c r="K326" s="66">
        <f ca="1">SUMIF(採点!$DB$5:$DG$13,"*"&amp;K324&amp;"*",採点!DB337:DM337)</f>
        <v>0</v>
      </c>
      <c r="L326" s="66">
        <f ca="1">SUMIF(採点!$DH$5:$DM$13,"*"&amp;K324&amp;"*",採点!DH337:DM337)</f>
        <v>0</v>
      </c>
      <c r="M326" s="66">
        <f ca="1">SUMIF(採点!$DB$5:$DG$13,"*"&amp;M324&amp;"*",採点!DB337:DM337)</f>
        <v>0</v>
      </c>
      <c r="N326" s="66">
        <f ca="1">SUMIF(採点!$DH$5:$DM$13,"*"&amp;M324&amp;"*",採点!DH337:DM337)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IFERROR(ROUNDDOWN(F327/初期設定!$C$48*100,0),"")</f>
        <v/>
      </c>
      <c r="I327" s="42" t="str">
        <f>IF(ISBLANK(採点!DP338),"",採点!DP338)</f>
        <v/>
      </c>
      <c r="K327" s="66">
        <f ca="1">SUMIF(採点!$DB$5:$DG$13,"*"&amp;K325&amp;"*",採点!DB338:DM338)</f>
        <v>0</v>
      </c>
      <c r="L327" s="66">
        <f ca="1">SUMIF(採点!$DH$5:$DM$13,"*"&amp;K325&amp;"*",採点!DH338:DM338)</f>
        <v>0</v>
      </c>
      <c r="M327" s="66">
        <f ca="1">SUMIF(採点!$DB$5:$DG$13,"*"&amp;M325&amp;"*",採点!DB338:DM338)</f>
        <v>0</v>
      </c>
      <c r="N327" s="66">
        <f ca="1">SUMIF(採点!$DH$5:$DM$13,"*"&amp;M325&amp;"*",採点!DH338:DM338)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IFERROR(ROUNDDOWN(F328/初期設定!$C$48*100,0),"")</f>
        <v/>
      </c>
      <c r="I328" s="42" t="str">
        <f>IF(ISBLANK(採点!DP339),"",採点!DP339)</f>
        <v/>
      </c>
      <c r="K328" s="66">
        <f ca="1">SUMIF(採点!$DB$5:$DG$13,"*"&amp;K326&amp;"*",採点!DB339:DM339)</f>
        <v>0</v>
      </c>
      <c r="L328" s="66">
        <f ca="1">SUMIF(採点!$DH$5:$DM$13,"*"&amp;K326&amp;"*",採点!DH339:DM339)</f>
        <v>0</v>
      </c>
      <c r="M328" s="66">
        <f ca="1">SUMIF(採点!$DB$5:$DG$13,"*"&amp;M326&amp;"*",採点!DB339:DM339)</f>
        <v>0</v>
      </c>
      <c r="N328" s="66">
        <f ca="1">SUMIF(採点!$DH$5:$DM$13,"*"&amp;M326&amp;"*",採点!DH339:DM339)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IFERROR(ROUNDDOWN(F329/初期設定!$C$48*100,0),"")</f>
        <v/>
      </c>
      <c r="I329" s="42" t="str">
        <f>IF(ISBLANK(採点!DP340),"",採点!DP340)</f>
        <v/>
      </c>
      <c r="K329" s="66">
        <f ca="1">SUMIF(採点!$DB$5:$DG$13,"*"&amp;K327&amp;"*",採点!DB340:DM340)</f>
        <v>0</v>
      </c>
      <c r="L329" s="66">
        <f ca="1">SUMIF(採点!$DH$5:$DM$13,"*"&amp;K327&amp;"*",採点!DH340:DM340)</f>
        <v>0</v>
      </c>
      <c r="M329" s="66">
        <f ca="1">SUMIF(採点!$DB$5:$DG$13,"*"&amp;M327&amp;"*",採点!DB340:DM340)</f>
        <v>0</v>
      </c>
      <c r="N329" s="66">
        <f ca="1">SUMIF(採点!$DH$5:$DM$13,"*"&amp;M327&amp;"*",採点!DH340:DM340)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IFERROR(ROUNDDOWN(F330/初期設定!$C$48*100,0),"")</f>
        <v/>
      </c>
      <c r="I330" s="42" t="str">
        <f>IF(ISBLANK(採点!DP341),"",採点!DP341)</f>
        <v/>
      </c>
      <c r="K330" s="66">
        <f ca="1">SUMIF(採点!$DB$5:$DG$13,"*"&amp;K328&amp;"*",採点!DB341:DM341)</f>
        <v>0</v>
      </c>
      <c r="L330" s="66">
        <f ca="1">SUMIF(採点!$DH$5:$DM$13,"*"&amp;K328&amp;"*",採点!DH341:DM341)</f>
        <v>0</v>
      </c>
      <c r="M330" s="66">
        <f ca="1">SUMIF(採点!$DB$5:$DG$13,"*"&amp;M328&amp;"*",採点!DB341:DM341)</f>
        <v>0</v>
      </c>
      <c r="N330" s="66">
        <f ca="1">SUMIF(採点!$DH$5:$DM$13,"*"&amp;M328&amp;"*",採点!DH341:DM341)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IFERROR(ROUNDDOWN(F331/初期設定!$C$48*100,0),"")</f>
        <v/>
      </c>
      <c r="I331" s="42" t="str">
        <f>IF(ISBLANK(採点!DP342),"",採点!DP342)</f>
        <v/>
      </c>
      <c r="K331" s="66">
        <f ca="1">SUMIF(採点!$DB$5:$DG$13,"*"&amp;K329&amp;"*",採点!DB342:DM342)</f>
        <v>0</v>
      </c>
      <c r="L331" s="66">
        <f ca="1">SUMIF(採点!$DH$5:$DM$13,"*"&amp;K329&amp;"*",採点!DH342:DM342)</f>
        <v>0</v>
      </c>
      <c r="M331" s="66">
        <f ca="1">SUMIF(採点!$DB$5:$DG$13,"*"&amp;M329&amp;"*",採点!DB342:DM342)</f>
        <v>0</v>
      </c>
      <c r="N331" s="66">
        <f ca="1">SUMIF(採点!$DH$5:$DM$13,"*"&amp;M329&amp;"*",採点!DH342:DM342)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IFERROR(ROUNDDOWN(F332/初期設定!$C$48*100,0),"")</f>
        <v/>
      </c>
      <c r="I332" s="42" t="str">
        <f>IF(ISBLANK(採点!DP343),"",採点!DP343)</f>
        <v/>
      </c>
      <c r="K332" s="66">
        <f ca="1">SUMIF(採点!$DB$5:$DG$13,"*"&amp;K330&amp;"*",採点!DB343:DM343)</f>
        <v>0</v>
      </c>
      <c r="L332" s="66">
        <f ca="1">SUMIF(採点!$DH$5:$DM$13,"*"&amp;K330&amp;"*",採点!DH343:DM343)</f>
        <v>0</v>
      </c>
      <c r="M332" s="66">
        <f ca="1">SUMIF(採点!$DB$5:$DG$13,"*"&amp;M330&amp;"*",採点!DB343:DM343)</f>
        <v>0</v>
      </c>
      <c r="N332" s="66">
        <f ca="1">SUMIF(採点!$DH$5:$DM$13,"*"&amp;M330&amp;"*",採点!DH343:DM343)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IFERROR(ROUNDDOWN(F333/初期設定!$C$48*100,0),"")</f>
        <v/>
      </c>
      <c r="I333" s="42" t="str">
        <f>IF(ISBLANK(採点!DP344),"",採点!DP344)</f>
        <v/>
      </c>
      <c r="K333" s="66">
        <f ca="1">SUMIF(採点!$DB$5:$DG$13,"*"&amp;K331&amp;"*",採点!DB344:DM344)</f>
        <v>0</v>
      </c>
      <c r="L333" s="66">
        <f ca="1">SUMIF(採点!$DH$5:$DM$13,"*"&amp;K331&amp;"*",採点!DH344:DM344)</f>
        <v>0</v>
      </c>
      <c r="M333" s="66">
        <f ca="1">SUMIF(採点!$DB$5:$DG$13,"*"&amp;M331&amp;"*",採点!DB344:DM344)</f>
        <v>0</v>
      </c>
      <c r="N333" s="66">
        <f ca="1">SUMIF(採点!$DH$5:$DM$13,"*"&amp;M331&amp;"*",採点!DH344:DM344)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IFERROR(ROUNDDOWN(F334/初期設定!$C$48*100,0),"")</f>
        <v/>
      </c>
      <c r="I334" s="42" t="str">
        <f>IF(ISBLANK(採点!DP345),"",採点!DP345)</f>
        <v/>
      </c>
      <c r="K334" s="66">
        <f ca="1">SUMIF(採点!$DB$5:$DG$13,"*"&amp;K332&amp;"*",採点!DB345:DM345)</f>
        <v>0</v>
      </c>
      <c r="L334" s="66">
        <f ca="1">SUMIF(採点!$DH$5:$DM$13,"*"&amp;K332&amp;"*",採点!DH345:DM345)</f>
        <v>0</v>
      </c>
      <c r="M334" s="66">
        <f ca="1">SUMIF(採点!$DB$5:$DG$13,"*"&amp;M332&amp;"*",採点!DB345:DM345)</f>
        <v>0</v>
      </c>
      <c r="N334" s="66">
        <f ca="1">SUMIF(採点!$DH$5:$DM$13,"*"&amp;M332&amp;"*",採点!DH345:DM345)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IFERROR(ROUNDDOWN(F335/初期設定!$C$48*100,0),"")</f>
        <v/>
      </c>
      <c r="I335" s="42" t="str">
        <f>IF(ISBLANK(採点!DP346),"",採点!DP346)</f>
        <v/>
      </c>
      <c r="K335" s="66">
        <f ca="1">SUMIF(採点!$DB$5:$DG$13,"*"&amp;K333&amp;"*",採点!DB346:DM346)</f>
        <v>0</v>
      </c>
      <c r="L335" s="66">
        <f ca="1">SUMIF(採点!$DH$5:$DM$13,"*"&amp;K333&amp;"*",採点!DH346:DM346)</f>
        <v>0</v>
      </c>
      <c r="M335" s="66">
        <f ca="1">SUMIF(採点!$DB$5:$DG$13,"*"&amp;M333&amp;"*",採点!DB346:DM346)</f>
        <v>0</v>
      </c>
      <c r="N335" s="66">
        <f ca="1">SUMIF(採点!$DH$5:$DM$13,"*"&amp;M333&amp;"*",採点!DH346:DM346)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IFERROR(ROUNDDOWN(F336/初期設定!$C$48*100,0),"")</f>
        <v/>
      </c>
      <c r="I336" s="42" t="str">
        <f>IF(ISBLANK(採点!DP347),"",採点!DP347)</f>
        <v/>
      </c>
      <c r="K336" s="66">
        <f ca="1">SUMIF(採点!$DB$5:$DG$13,"*"&amp;K334&amp;"*",採点!DB347:DM347)</f>
        <v>0</v>
      </c>
      <c r="L336" s="66">
        <f ca="1">SUMIF(採点!$DH$5:$DM$13,"*"&amp;K334&amp;"*",採点!DH347:DM347)</f>
        <v>0</v>
      </c>
      <c r="M336" s="66">
        <f ca="1">SUMIF(採点!$DB$5:$DG$13,"*"&amp;M334&amp;"*",採点!DB347:DM347)</f>
        <v>0</v>
      </c>
      <c r="N336" s="66">
        <f ca="1">SUMIF(採点!$DH$5:$DM$13,"*"&amp;M334&amp;"*",採点!DH347:DM347)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IFERROR(ROUNDDOWN(F337/初期設定!$C$48*100,0),"")</f>
        <v/>
      </c>
      <c r="I337" s="42" t="str">
        <f>IF(ISBLANK(採点!DP348),"",採点!DP348)</f>
        <v/>
      </c>
      <c r="K337" s="66">
        <f ca="1">SUMIF(採点!$DB$5:$DG$13,"*"&amp;K335&amp;"*",採点!DB348:DM348)</f>
        <v>0</v>
      </c>
      <c r="L337" s="66">
        <f ca="1">SUMIF(採点!$DH$5:$DM$13,"*"&amp;K335&amp;"*",採点!DH348:DM348)</f>
        <v>0</v>
      </c>
      <c r="M337" s="66">
        <f ca="1">SUMIF(採点!$DB$5:$DG$13,"*"&amp;M335&amp;"*",採点!DB348:DM348)</f>
        <v>0</v>
      </c>
      <c r="N337" s="66">
        <f ca="1">SUMIF(採点!$DH$5:$DM$13,"*"&amp;M335&amp;"*",採点!DH348:DM348)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IFERROR(ROUNDDOWN(F338/初期設定!$C$48*100,0),"")</f>
        <v/>
      </c>
      <c r="I338" s="42" t="str">
        <f>IF(ISBLANK(採点!DP349),"",採点!DP349)</f>
        <v/>
      </c>
      <c r="K338" s="66">
        <f ca="1">SUMIF(採点!$DB$5:$DG$13,"*"&amp;K336&amp;"*",採点!DB349:DM349)</f>
        <v>0</v>
      </c>
      <c r="L338" s="66">
        <f ca="1">SUMIF(採点!$DH$5:$DM$13,"*"&amp;K336&amp;"*",採点!DH349:DM349)</f>
        <v>0</v>
      </c>
      <c r="M338" s="66">
        <f ca="1">SUMIF(採点!$DB$5:$DG$13,"*"&amp;M336&amp;"*",採点!DB349:DM349)</f>
        <v>0</v>
      </c>
      <c r="N338" s="66">
        <f ca="1">SUMIF(採点!$DH$5:$DM$13,"*"&amp;M336&amp;"*",採点!DH349:DM349)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IFERROR(ROUNDDOWN(F339/初期設定!$C$48*100,0),"")</f>
        <v/>
      </c>
      <c r="I339" s="42" t="str">
        <f>IF(ISBLANK(採点!DP350),"",採点!DP350)</f>
        <v/>
      </c>
      <c r="K339" s="66">
        <f ca="1">SUMIF(採点!$DB$5:$DG$13,"*"&amp;K337&amp;"*",採点!DB350:DM350)</f>
        <v>0</v>
      </c>
      <c r="L339" s="66">
        <f ca="1">SUMIF(採点!$DH$5:$DM$13,"*"&amp;K337&amp;"*",採点!DH350:DM350)</f>
        <v>0</v>
      </c>
      <c r="M339" s="66">
        <f ca="1">SUMIF(採点!$DB$5:$DG$13,"*"&amp;M337&amp;"*",採点!DB350:DM350)</f>
        <v>0</v>
      </c>
      <c r="N339" s="66">
        <f ca="1">SUMIF(採点!$DH$5:$DM$13,"*"&amp;M337&amp;"*",採点!DH350:DM350)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IFERROR(ROUNDDOWN(F340/初期設定!$C$48*100,0),"")</f>
        <v/>
      </c>
      <c r="I340" s="42" t="str">
        <f>IF(ISBLANK(採点!DP351),"",採点!DP351)</f>
        <v/>
      </c>
      <c r="K340" s="66">
        <f ca="1">SUMIF(採点!$DB$5:$DG$13,"*"&amp;K338&amp;"*",採点!DB351:DM351)</f>
        <v>0</v>
      </c>
      <c r="L340" s="66">
        <f ca="1">SUMIF(採点!$DH$5:$DM$13,"*"&amp;K338&amp;"*",採点!DH351:DM351)</f>
        <v>0</v>
      </c>
      <c r="M340" s="66">
        <f ca="1">SUMIF(採点!$DB$5:$DG$13,"*"&amp;M338&amp;"*",採点!DB351:DM351)</f>
        <v>0</v>
      </c>
      <c r="N340" s="66">
        <f ca="1">SUMIF(採点!$DH$5:$DM$13,"*"&amp;M338&amp;"*",採点!DH351:DM351)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IFERROR(ROUNDDOWN(F341/初期設定!$C$48*100,0),"")</f>
        <v/>
      </c>
      <c r="I341" s="42" t="str">
        <f>IF(ISBLANK(採点!DP352),"",採点!DP352)</f>
        <v/>
      </c>
      <c r="K341" s="66">
        <f ca="1">SUMIF(採点!$DB$5:$DG$13,"*"&amp;K339&amp;"*",採点!DB352:DM352)</f>
        <v>0</v>
      </c>
      <c r="L341" s="66">
        <f ca="1">SUMIF(採点!$DH$5:$DM$13,"*"&amp;K339&amp;"*",採点!DH352:DM352)</f>
        <v>0</v>
      </c>
      <c r="M341" s="66">
        <f ca="1">SUMIF(採点!$DB$5:$DG$13,"*"&amp;M339&amp;"*",採点!DB352:DM352)</f>
        <v>0</v>
      </c>
      <c r="N341" s="66">
        <f ca="1">SUMIF(採点!$DH$5:$DM$13,"*"&amp;M339&amp;"*",採点!DH352:DM352)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IFERROR(ROUNDDOWN(F342/初期設定!$C$48*100,0),"")</f>
        <v/>
      </c>
      <c r="I342" s="42" t="str">
        <f>IF(ISBLANK(採点!DP353),"",採点!DP353)</f>
        <v/>
      </c>
      <c r="K342" s="66">
        <f ca="1">SUMIF(採点!$DB$5:$DG$13,"*"&amp;K340&amp;"*",採点!DB353:DM353)</f>
        <v>0</v>
      </c>
      <c r="L342" s="66">
        <f ca="1">SUMIF(採点!$DH$5:$DM$13,"*"&amp;K340&amp;"*",採点!DH353:DM353)</f>
        <v>0</v>
      </c>
      <c r="M342" s="66">
        <f ca="1">SUMIF(採点!$DB$5:$DG$13,"*"&amp;M340&amp;"*",採点!DB353:DM353)</f>
        <v>0</v>
      </c>
      <c r="N342" s="66">
        <f ca="1">SUMIF(採点!$DH$5:$DM$13,"*"&amp;M340&amp;"*",採点!DH353:DM353)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IFERROR(ROUNDDOWN(F343/初期設定!$C$48*100,0),"")</f>
        <v/>
      </c>
      <c r="I343" s="42" t="str">
        <f>IF(ISBLANK(採点!DP354),"",採点!DP354)</f>
        <v/>
      </c>
      <c r="K343" s="66">
        <f ca="1">SUMIF(採点!$DB$5:$DG$13,"*"&amp;K341&amp;"*",採点!DB354:DM354)</f>
        <v>0</v>
      </c>
      <c r="L343" s="66">
        <f ca="1">SUMIF(採点!$DH$5:$DM$13,"*"&amp;K341&amp;"*",採点!DH354:DM354)</f>
        <v>0</v>
      </c>
      <c r="M343" s="66">
        <f ca="1">SUMIF(採点!$DB$5:$DG$13,"*"&amp;M341&amp;"*",採点!DB354:DM354)</f>
        <v>0</v>
      </c>
      <c r="N343" s="66">
        <f ca="1">SUMIF(採点!$DH$5:$DM$13,"*"&amp;M341&amp;"*",採点!DH354:DM354)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IFERROR(ROUNDDOWN(F344/初期設定!$C$48*100,0),"")</f>
        <v/>
      </c>
      <c r="I344" s="42" t="str">
        <f>IF(ISBLANK(採点!DP355),"",採点!DP355)</f>
        <v/>
      </c>
      <c r="K344" s="66">
        <f ca="1">SUMIF(採点!$DB$5:$DG$13,"*"&amp;K342&amp;"*",採点!DB355:DM355)</f>
        <v>0</v>
      </c>
      <c r="L344" s="66">
        <f ca="1">SUMIF(採点!$DH$5:$DM$13,"*"&amp;K342&amp;"*",採点!DH355:DM355)</f>
        <v>0</v>
      </c>
      <c r="M344" s="66">
        <f ca="1">SUMIF(採点!$DB$5:$DG$13,"*"&amp;M342&amp;"*",採点!DB355:DM355)</f>
        <v>0</v>
      </c>
      <c r="N344" s="66">
        <f ca="1">SUMIF(採点!$DH$5:$DM$13,"*"&amp;M342&amp;"*",採点!DH355:DM355)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IFERROR(ROUNDDOWN(F345/初期設定!$C$48*100,0),"")</f>
        <v/>
      </c>
      <c r="I345" s="42" t="str">
        <f>IF(ISBLANK(採点!DP356),"",採点!DP356)</f>
        <v/>
      </c>
      <c r="K345" s="66">
        <f ca="1">SUMIF(採点!$DB$5:$DG$13,"*"&amp;K343&amp;"*",採点!DB356:DM356)</f>
        <v>0</v>
      </c>
      <c r="L345" s="66">
        <f ca="1">SUMIF(採点!$DH$5:$DM$13,"*"&amp;K343&amp;"*",採点!DH356:DM356)</f>
        <v>0</v>
      </c>
      <c r="M345" s="66">
        <f ca="1">SUMIF(採点!$DB$5:$DG$13,"*"&amp;M343&amp;"*",採点!DB356:DM356)</f>
        <v>0</v>
      </c>
      <c r="N345" s="66">
        <f ca="1">SUMIF(採点!$DH$5:$DM$13,"*"&amp;M343&amp;"*",採点!DH356:DM356)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IFERROR(ROUNDDOWN(F346/初期設定!$C$48*100,0),"")</f>
        <v/>
      </c>
      <c r="I346" s="42" t="str">
        <f>IF(ISBLANK(採点!DP357),"",採点!DP357)</f>
        <v/>
      </c>
      <c r="K346" s="66">
        <f ca="1">SUMIF(採点!$DB$5:$DG$13,"*"&amp;K344&amp;"*",採点!DB357:DM357)</f>
        <v>0</v>
      </c>
      <c r="L346" s="66">
        <f ca="1">SUMIF(採点!$DH$5:$DM$13,"*"&amp;K344&amp;"*",採点!DH357:DM357)</f>
        <v>0</v>
      </c>
      <c r="M346" s="66">
        <f ca="1">SUMIF(採点!$DB$5:$DG$13,"*"&amp;M344&amp;"*",採点!DB357:DM357)</f>
        <v>0</v>
      </c>
      <c r="N346" s="66">
        <f ca="1">SUMIF(採点!$DH$5:$DM$13,"*"&amp;M344&amp;"*",採点!DH357:DM357)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IFERROR(ROUNDDOWN(F347/初期設定!$C$48*100,0),"")</f>
        <v/>
      </c>
      <c r="I347" s="42" t="str">
        <f>IF(ISBLANK(採点!DP358),"",採点!DP358)</f>
        <v/>
      </c>
      <c r="K347" s="66">
        <f ca="1">SUMIF(採点!$DB$5:$DG$13,"*"&amp;K345&amp;"*",採点!DB358:DM358)</f>
        <v>0</v>
      </c>
      <c r="L347" s="66">
        <f ca="1">SUMIF(採点!$DH$5:$DM$13,"*"&amp;K345&amp;"*",採点!DH358:DM358)</f>
        <v>0</v>
      </c>
      <c r="M347" s="66">
        <f ca="1">SUMIF(採点!$DB$5:$DG$13,"*"&amp;M345&amp;"*",採点!DB358:DM358)</f>
        <v>0</v>
      </c>
      <c r="N347" s="66">
        <f ca="1">SUMIF(採点!$DH$5:$DM$13,"*"&amp;M345&amp;"*",採点!DH358:DM358)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IFERROR(ROUNDDOWN(F348/初期設定!$C$48*100,0),"")</f>
        <v/>
      </c>
      <c r="I348" s="42" t="str">
        <f>IF(ISBLANK(採点!DP359),"",採点!DP359)</f>
        <v/>
      </c>
      <c r="K348" s="66">
        <f ca="1">SUMIF(採点!$DB$5:$DG$13,"*"&amp;K346&amp;"*",採点!DB359:DM359)</f>
        <v>0</v>
      </c>
      <c r="L348" s="66">
        <f ca="1">SUMIF(採点!$DH$5:$DM$13,"*"&amp;K346&amp;"*",採点!DH359:DM359)</f>
        <v>0</v>
      </c>
      <c r="M348" s="66">
        <f ca="1">SUMIF(採点!$DB$5:$DG$13,"*"&amp;M346&amp;"*",採点!DB359:DM359)</f>
        <v>0</v>
      </c>
      <c r="N348" s="66">
        <f ca="1">SUMIF(採点!$DH$5:$DM$13,"*"&amp;M346&amp;"*",採点!DH359:DM359)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IFERROR(ROUNDDOWN(F349/初期設定!$C$48*100,0),"")</f>
        <v/>
      </c>
      <c r="I349" s="42" t="str">
        <f>IF(ISBLANK(採点!DP360),"",採点!DP360)</f>
        <v/>
      </c>
      <c r="K349" s="66">
        <f ca="1">SUMIF(採点!$DB$5:$DG$13,"*"&amp;K347&amp;"*",採点!DB360:DM360)</f>
        <v>0</v>
      </c>
      <c r="L349" s="66">
        <f ca="1">SUMIF(採点!$DH$5:$DM$13,"*"&amp;K347&amp;"*",採点!DH360:DM360)</f>
        <v>0</v>
      </c>
      <c r="M349" s="66">
        <f ca="1">SUMIF(採点!$DB$5:$DG$13,"*"&amp;M347&amp;"*",採点!DB360:DM360)</f>
        <v>0</v>
      </c>
      <c r="N349" s="66">
        <f ca="1">SUMIF(採点!$DH$5:$DM$13,"*"&amp;M347&amp;"*",採点!DH360:DM360)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IFERROR(ROUNDDOWN(F350/初期設定!$C$48*100,0),"")</f>
        <v/>
      </c>
      <c r="I350" s="42" t="str">
        <f>IF(ISBLANK(採点!DP361),"",採点!DP361)</f>
        <v/>
      </c>
      <c r="K350" s="66">
        <f ca="1">SUMIF(採点!$DB$5:$DG$13,"*"&amp;K348&amp;"*",採点!DB361:DM361)</f>
        <v>0</v>
      </c>
      <c r="L350" s="66">
        <f ca="1">SUMIF(採点!$DH$5:$DM$13,"*"&amp;K348&amp;"*",採点!DH361:DM361)</f>
        <v>0</v>
      </c>
      <c r="M350" s="66">
        <f ca="1">SUMIF(採点!$DB$5:$DG$13,"*"&amp;M348&amp;"*",採点!DB361:DM361)</f>
        <v>0</v>
      </c>
      <c r="N350" s="66">
        <f ca="1">SUMIF(採点!$DH$5:$DM$13,"*"&amp;M348&amp;"*",採点!DH361:DM361)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IFERROR(ROUNDDOWN(F351/初期設定!$C$48*100,0),"")</f>
        <v/>
      </c>
      <c r="I351" s="42" t="str">
        <f>IF(ISBLANK(採点!DP362),"",採点!DP362)</f>
        <v/>
      </c>
      <c r="K351" s="66">
        <f ca="1">SUMIF(採点!$DB$5:$DG$13,"*"&amp;K349&amp;"*",採点!DB362:DM362)</f>
        <v>0</v>
      </c>
      <c r="L351" s="66">
        <f ca="1">SUMIF(採点!$DH$5:$DM$13,"*"&amp;K349&amp;"*",採点!DH362:DM362)</f>
        <v>0</v>
      </c>
      <c r="M351" s="66">
        <f ca="1">SUMIF(採点!$DB$5:$DG$13,"*"&amp;M349&amp;"*",採点!DB362:DM362)</f>
        <v>0</v>
      </c>
      <c r="N351" s="66">
        <f ca="1">SUMIF(採点!$DH$5:$DM$13,"*"&amp;M349&amp;"*",採点!DH362:DM362)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IFERROR(ROUNDDOWN(F352/初期設定!$C$48*100,0),"")</f>
        <v/>
      </c>
      <c r="I352" s="42" t="str">
        <f>IF(ISBLANK(採点!DP363),"",採点!DP363)</f>
        <v/>
      </c>
      <c r="K352" s="66">
        <f ca="1">SUMIF(採点!$DB$5:$DG$13,"*"&amp;K350&amp;"*",採点!DB363:DM363)</f>
        <v>0</v>
      </c>
      <c r="L352" s="66">
        <f ca="1">SUMIF(採点!$DH$5:$DM$13,"*"&amp;K350&amp;"*",採点!DH363:DM363)</f>
        <v>0</v>
      </c>
      <c r="M352" s="66">
        <f ca="1">SUMIF(採点!$DB$5:$DG$13,"*"&amp;M350&amp;"*",採点!DB363:DM363)</f>
        <v>0</v>
      </c>
      <c r="N352" s="66">
        <f ca="1">SUMIF(採点!$DH$5:$DM$13,"*"&amp;M350&amp;"*",採点!DH363:DM363)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IFERROR(ROUNDDOWN(F353/初期設定!$C$48*100,0),"")</f>
        <v/>
      </c>
      <c r="I353" s="42" t="str">
        <f>IF(ISBLANK(採点!DP364),"",採点!DP364)</f>
        <v/>
      </c>
      <c r="K353" s="66">
        <f ca="1">SUMIF(採点!$DB$5:$DG$13,"*"&amp;K351&amp;"*",採点!DB364:DM364)</f>
        <v>0</v>
      </c>
      <c r="L353" s="66">
        <f ca="1">SUMIF(採点!$DH$5:$DM$13,"*"&amp;K351&amp;"*",採点!DH364:DM364)</f>
        <v>0</v>
      </c>
      <c r="M353" s="66">
        <f ca="1">SUMIF(採点!$DB$5:$DG$13,"*"&amp;M351&amp;"*",採点!DB364:DM364)</f>
        <v>0</v>
      </c>
      <c r="N353" s="66">
        <f ca="1">SUMIF(採点!$DH$5:$DM$13,"*"&amp;M351&amp;"*",採点!DH364:DM364)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IFERROR(ROUNDDOWN(F354/初期設定!$C$48*100,0),"")</f>
        <v/>
      </c>
      <c r="I354" s="42" t="str">
        <f>IF(ISBLANK(採点!DP365),"",採点!DP365)</f>
        <v/>
      </c>
      <c r="K354" s="66">
        <f ca="1">SUMIF(採点!$DB$5:$DG$13,"*"&amp;K352&amp;"*",採点!DB365:DM365)</f>
        <v>0</v>
      </c>
      <c r="L354" s="66">
        <f ca="1">SUMIF(採点!$DH$5:$DM$13,"*"&amp;K352&amp;"*",採点!DH365:DM365)</f>
        <v>0</v>
      </c>
      <c r="M354" s="66">
        <f ca="1">SUMIF(採点!$DB$5:$DG$13,"*"&amp;M352&amp;"*",採点!DB365:DM365)</f>
        <v>0</v>
      </c>
      <c r="N354" s="66">
        <f ca="1">SUMIF(採点!$DH$5:$DM$13,"*"&amp;M352&amp;"*",採点!DH365:DM365)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IFERROR(ROUNDDOWN(F355/初期設定!$C$48*100,0),"")</f>
        <v/>
      </c>
      <c r="I355" s="42" t="str">
        <f>IF(ISBLANK(採点!DP366),"",採点!DP366)</f>
        <v/>
      </c>
      <c r="K355" s="66">
        <f ca="1">SUMIF(採点!$DB$5:$DG$13,"*"&amp;K353&amp;"*",採点!DB366:DM366)</f>
        <v>0</v>
      </c>
      <c r="L355" s="66">
        <f ca="1">SUMIF(採点!$DH$5:$DM$13,"*"&amp;K353&amp;"*",採点!DH366:DM366)</f>
        <v>0</v>
      </c>
      <c r="M355" s="66">
        <f ca="1">SUMIF(採点!$DB$5:$DG$13,"*"&amp;M353&amp;"*",採点!DB366:DM366)</f>
        <v>0</v>
      </c>
      <c r="N355" s="66">
        <f ca="1">SUMIF(採点!$DH$5:$DM$13,"*"&amp;M353&amp;"*",採点!DH366:DM366)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IFERROR(ROUNDDOWN(F356/初期設定!$C$48*100,0),"")</f>
        <v/>
      </c>
      <c r="I356" s="42" t="str">
        <f>IF(ISBLANK(採点!DP367),"",採点!DP367)</f>
        <v/>
      </c>
      <c r="K356" s="66">
        <f ca="1">SUMIF(採点!$DB$5:$DG$13,"*"&amp;K354&amp;"*",採点!DB367:DM367)</f>
        <v>0</v>
      </c>
      <c r="L356" s="66">
        <f ca="1">SUMIF(採点!$DH$5:$DM$13,"*"&amp;K354&amp;"*",採点!DH367:DM367)</f>
        <v>0</v>
      </c>
      <c r="M356" s="66">
        <f ca="1">SUMIF(採点!$DB$5:$DG$13,"*"&amp;M354&amp;"*",採点!DB367:DM367)</f>
        <v>0</v>
      </c>
      <c r="N356" s="66">
        <f ca="1">SUMIF(採点!$DH$5:$DM$13,"*"&amp;M354&amp;"*",採点!DH367:DM367)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IFERROR(ROUNDDOWN(F357/初期設定!$C$48*100,0),"")</f>
        <v/>
      </c>
      <c r="I357" s="42" t="str">
        <f>IF(ISBLANK(採点!DP368),"",採点!DP368)</f>
        <v/>
      </c>
      <c r="K357" s="66">
        <f ca="1">SUMIF(採点!$DB$5:$DG$13,"*"&amp;K355&amp;"*",採点!DB368:DM368)</f>
        <v>0</v>
      </c>
      <c r="L357" s="66">
        <f ca="1">SUMIF(採点!$DH$5:$DM$13,"*"&amp;K355&amp;"*",採点!DH368:DM368)</f>
        <v>0</v>
      </c>
      <c r="M357" s="66">
        <f ca="1">SUMIF(採点!$DB$5:$DG$13,"*"&amp;M355&amp;"*",採点!DB368:DM368)</f>
        <v>0</v>
      </c>
      <c r="N357" s="66">
        <f ca="1">SUMIF(採点!$DH$5:$DM$13,"*"&amp;M355&amp;"*",採点!DH368:DM368)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IFERROR(ROUNDDOWN(F358/初期設定!$C$48*100,0),"")</f>
        <v/>
      </c>
      <c r="I358" s="42" t="str">
        <f>IF(ISBLANK(採点!DP369),"",採点!DP369)</f>
        <v/>
      </c>
      <c r="K358" s="66">
        <f ca="1">SUMIF(採点!$DB$5:$DG$13,"*"&amp;K356&amp;"*",採点!DB369:DM369)</f>
        <v>0</v>
      </c>
      <c r="L358" s="66">
        <f ca="1">SUMIF(採点!$DH$5:$DM$13,"*"&amp;K356&amp;"*",採点!DH369:DM369)</f>
        <v>0</v>
      </c>
      <c r="M358" s="66">
        <f ca="1">SUMIF(採点!$DB$5:$DG$13,"*"&amp;M356&amp;"*",採点!DB369:DM369)</f>
        <v>0</v>
      </c>
      <c r="N358" s="66">
        <f ca="1">SUMIF(採点!$DH$5:$DM$13,"*"&amp;M356&amp;"*",採点!DH369:DM369)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IFERROR(ROUNDDOWN(F359/初期設定!$C$48*100,0),"")</f>
        <v/>
      </c>
      <c r="I359" s="42" t="str">
        <f>IF(ISBLANK(採点!DP370),"",採点!DP370)</f>
        <v/>
      </c>
      <c r="K359" s="66">
        <f ca="1">SUMIF(採点!$DB$5:$DG$13,"*"&amp;K357&amp;"*",採点!DB370:DM370)</f>
        <v>0</v>
      </c>
      <c r="L359" s="66">
        <f ca="1">SUMIF(採点!$DH$5:$DM$13,"*"&amp;K357&amp;"*",採点!DH370:DM370)</f>
        <v>0</v>
      </c>
      <c r="M359" s="66">
        <f ca="1">SUMIF(採点!$DB$5:$DG$13,"*"&amp;M357&amp;"*",採点!DB370:DM370)</f>
        <v>0</v>
      </c>
      <c r="N359" s="66">
        <f ca="1">SUMIF(採点!$DH$5:$DM$13,"*"&amp;M357&amp;"*",採点!DH370:DM370)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IFERROR(ROUNDDOWN(F360/初期設定!$C$48*100,0),"")</f>
        <v/>
      </c>
      <c r="I360" s="42" t="str">
        <f>IF(ISBLANK(採点!DP371),"",採点!DP371)</f>
        <v/>
      </c>
      <c r="K360" s="66">
        <f ca="1">SUMIF(採点!$DB$5:$DG$13,"*"&amp;K358&amp;"*",採点!DB371:DM371)</f>
        <v>0</v>
      </c>
      <c r="L360" s="66">
        <f ca="1">SUMIF(採点!$DH$5:$DM$13,"*"&amp;K358&amp;"*",採点!DH371:DM371)</f>
        <v>0</v>
      </c>
      <c r="M360" s="66">
        <f ca="1">SUMIF(採点!$DB$5:$DG$13,"*"&amp;M358&amp;"*",採点!DB371:DM371)</f>
        <v>0</v>
      </c>
      <c r="N360" s="66">
        <f ca="1">SUMIF(採点!$DH$5:$DM$13,"*"&amp;M358&amp;"*",採点!DH371:DM371)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IFERROR(ROUNDDOWN(F361/初期設定!$C$48*100,0),"")</f>
        <v/>
      </c>
      <c r="I361" s="42" t="str">
        <f>IF(ISBLANK(採点!DP372),"",採点!DP372)</f>
        <v/>
      </c>
      <c r="K361" s="66">
        <f ca="1">SUMIF(採点!$DB$5:$DG$13,"*"&amp;K359&amp;"*",採点!DB372:DM372)</f>
        <v>0</v>
      </c>
      <c r="L361" s="66">
        <f ca="1">SUMIF(採点!$DH$5:$DM$13,"*"&amp;K359&amp;"*",採点!DH372:DM372)</f>
        <v>0</v>
      </c>
      <c r="M361" s="66">
        <f ca="1">SUMIF(採点!$DB$5:$DG$13,"*"&amp;M359&amp;"*",採点!DB372:DM372)</f>
        <v>0</v>
      </c>
      <c r="N361" s="66">
        <f ca="1">SUMIF(採点!$DH$5:$DM$13,"*"&amp;M359&amp;"*",採点!DH372:DM372)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IFERROR(ROUNDDOWN(F362/初期設定!$C$48*100,0),"")</f>
        <v/>
      </c>
      <c r="I362" s="42" t="str">
        <f>IF(ISBLANK(採点!DP373),"",採点!DP373)</f>
        <v/>
      </c>
      <c r="K362" s="66">
        <f ca="1">SUMIF(採点!$DB$5:$DG$13,"*"&amp;K360&amp;"*",採点!DB373:DM373)</f>
        <v>0</v>
      </c>
      <c r="L362" s="66">
        <f ca="1">SUMIF(採点!$DH$5:$DM$13,"*"&amp;K360&amp;"*",採点!DH373:DM373)</f>
        <v>0</v>
      </c>
      <c r="M362" s="66">
        <f ca="1">SUMIF(採点!$DB$5:$DG$13,"*"&amp;M360&amp;"*",採点!DB373:DM373)</f>
        <v>0</v>
      </c>
      <c r="N362" s="66">
        <f ca="1">SUMIF(採点!$DH$5:$DM$13,"*"&amp;M360&amp;"*",採点!DH373:DM373)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IFERROR(ROUNDDOWN(F363/初期設定!$C$48*100,0),"")</f>
        <v/>
      </c>
      <c r="I363" s="42" t="str">
        <f>IF(ISBLANK(採点!DP374),"",採点!DP374)</f>
        <v/>
      </c>
      <c r="K363" s="66">
        <f ca="1">SUMIF(採点!$DB$5:$DG$13,"*"&amp;K361&amp;"*",採点!DB374:DM374)</f>
        <v>0</v>
      </c>
      <c r="L363" s="66">
        <f ca="1">SUMIF(採点!$DH$5:$DM$13,"*"&amp;K361&amp;"*",採点!DH374:DM374)</f>
        <v>0</v>
      </c>
      <c r="M363" s="66">
        <f ca="1">SUMIF(採点!$DB$5:$DG$13,"*"&amp;M361&amp;"*",採点!DB374:DM374)</f>
        <v>0</v>
      </c>
      <c r="N363" s="66">
        <f ca="1">SUMIF(採点!$DH$5:$DM$13,"*"&amp;M361&amp;"*",採点!DH374:DM374)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IFERROR(ROUNDDOWN(F364/初期設定!$C$48*100,0),"")</f>
        <v/>
      </c>
      <c r="I364" s="42" t="str">
        <f>IF(ISBLANK(採点!DP375),"",採点!DP375)</f>
        <v/>
      </c>
      <c r="K364" s="66">
        <f ca="1">SUMIF(採点!$DB$5:$DG$13,"*"&amp;K362&amp;"*",採点!DB375:DM375)</f>
        <v>0</v>
      </c>
      <c r="L364" s="66">
        <f ca="1">SUMIF(採点!$DH$5:$DM$13,"*"&amp;K362&amp;"*",採点!DH375:DM375)</f>
        <v>0</v>
      </c>
      <c r="M364" s="66">
        <f ca="1">SUMIF(採点!$DB$5:$DG$13,"*"&amp;M362&amp;"*",採点!DB375:DM375)</f>
        <v>0</v>
      </c>
      <c r="N364" s="66">
        <f ca="1">SUMIF(採点!$DH$5:$DM$13,"*"&amp;M362&amp;"*",採点!DH375:DM375)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IFERROR(ROUNDDOWN(F365/初期設定!$C$48*100,0),"")</f>
        <v/>
      </c>
      <c r="I365" s="42" t="str">
        <f>IF(ISBLANK(採点!DP376),"",採点!DP376)</f>
        <v/>
      </c>
      <c r="K365" s="66">
        <f ca="1">SUMIF(採点!$DB$5:$DG$13,"*"&amp;K363&amp;"*",採点!DB376:DM376)</f>
        <v>0</v>
      </c>
      <c r="L365" s="66">
        <f ca="1">SUMIF(採点!$DH$5:$DM$13,"*"&amp;K363&amp;"*",採点!DH376:DM376)</f>
        <v>0</v>
      </c>
      <c r="M365" s="66">
        <f ca="1">SUMIF(採点!$DB$5:$DG$13,"*"&amp;M363&amp;"*",採点!DB376:DM376)</f>
        <v>0</v>
      </c>
      <c r="N365" s="66">
        <f ca="1">SUMIF(採点!$DH$5:$DM$13,"*"&amp;M363&amp;"*",採点!DH376:DM376)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IFERROR(ROUNDDOWN(F366/初期設定!$C$48*100,0),"")</f>
        <v/>
      </c>
      <c r="I366" s="42" t="str">
        <f>IF(ISBLANK(採点!DP377),"",採点!DP377)</f>
        <v/>
      </c>
      <c r="K366" s="66">
        <f ca="1">SUMIF(採点!$DB$5:$DG$13,"*"&amp;K364&amp;"*",採点!DB377:DM377)</f>
        <v>0</v>
      </c>
      <c r="L366" s="66">
        <f ca="1">SUMIF(採点!$DH$5:$DM$13,"*"&amp;K364&amp;"*",採点!DH377:DM377)</f>
        <v>0</v>
      </c>
      <c r="M366" s="66">
        <f ca="1">SUMIF(採点!$DB$5:$DG$13,"*"&amp;M364&amp;"*",採点!DB377:DM377)</f>
        <v>0</v>
      </c>
      <c r="N366" s="66">
        <f ca="1">SUMIF(採点!$DH$5:$DM$13,"*"&amp;M364&amp;"*",採点!DH377:DM377)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IFERROR(ROUNDDOWN(F367/初期設定!$C$48*100,0),"")</f>
        <v/>
      </c>
      <c r="I367" s="42" t="str">
        <f>IF(ISBLANK(採点!DP378),"",採点!DP378)</f>
        <v/>
      </c>
      <c r="K367" s="66">
        <f ca="1">SUMIF(採点!$DB$5:$DG$13,"*"&amp;K365&amp;"*",採点!DB378:DM378)</f>
        <v>0</v>
      </c>
      <c r="L367" s="66">
        <f ca="1">SUMIF(採点!$DH$5:$DM$13,"*"&amp;K365&amp;"*",採点!DH378:DM378)</f>
        <v>0</v>
      </c>
      <c r="M367" s="66">
        <f ca="1">SUMIF(採点!$DB$5:$DG$13,"*"&amp;M365&amp;"*",採点!DB378:DM378)</f>
        <v>0</v>
      </c>
      <c r="N367" s="66">
        <f ca="1">SUMIF(採点!$DH$5:$DM$13,"*"&amp;M365&amp;"*",採点!DH378:DM378)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IFERROR(ROUNDDOWN(F368/初期設定!$C$48*100,0),"")</f>
        <v/>
      </c>
      <c r="I368" s="42" t="str">
        <f>IF(ISBLANK(採点!DP379),"",採点!DP379)</f>
        <v/>
      </c>
      <c r="K368" s="66">
        <f ca="1">SUMIF(採点!$DB$5:$DG$13,"*"&amp;K366&amp;"*",採点!DB379:DM379)</f>
        <v>0</v>
      </c>
      <c r="L368" s="66">
        <f ca="1">SUMIF(採点!$DH$5:$DM$13,"*"&amp;K366&amp;"*",採点!DH379:DM379)</f>
        <v>0</v>
      </c>
      <c r="M368" s="66">
        <f ca="1">SUMIF(採点!$DB$5:$DG$13,"*"&amp;M366&amp;"*",採点!DB379:DM379)</f>
        <v>0</v>
      </c>
      <c r="N368" s="66">
        <f ca="1">SUMIF(採点!$DH$5:$DM$13,"*"&amp;M366&amp;"*",採点!DH379:DM379)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IFERROR(ROUNDDOWN(F369/初期設定!$C$48*100,0),"")</f>
        <v/>
      </c>
      <c r="I369" s="42" t="str">
        <f>IF(ISBLANK(採点!DP380),"",採点!DP380)</f>
        <v/>
      </c>
      <c r="K369" s="66">
        <f ca="1">SUMIF(採点!$DB$5:$DG$13,"*"&amp;K367&amp;"*",採点!DB380:DM380)</f>
        <v>0</v>
      </c>
      <c r="L369" s="66">
        <f ca="1">SUMIF(採点!$DH$5:$DM$13,"*"&amp;K367&amp;"*",採点!DH380:DM380)</f>
        <v>0</v>
      </c>
      <c r="M369" s="66">
        <f ca="1">SUMIF(採点!$DB$5:$DG$13,"*"&amp;M367&amp;"*",採点!DB380:DM380)</f>
        <v>0</v>
      </c>
      <c r="N369" s="66">
        <f ca="1">SUMIF(採点!$DH$5:$DM$13,"*"&amp;M367&amp;"*",採点!DH380:DM380)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IFERROR(ROUNDDOWN(F370/初期設定!$C$48*100,0),"")</f>
        <v/>
      </c>
      <c r="I370" s="42" t="str">
        <f>IF(ISBLANK(採点!DP381),"",採点!DP381)</f>
        <v/>
      </c>
      <c r="K370" s="66">
        <f ca="1">SUMIF(採点!$DB$5:$DG$13,"*"&amp;K368&amp;"*",採点!DB381:DM381)</f>
        <v>0</v>
      </c>
      <c r="L370" s="66">
        <f ca="1">SUMIF(採点!$DH$5:$DM$13,"*"&amp;K368&amp;"*",採点!DH381:DM381)</f>
        <v>0</v>
      </c>
      <c r="M370" s="66">
        <f ca="1">SUMIF(採点!$DB$5:$DG$13,"*"&amp;M368&amp;"*",採点!DB381:DM381)</f>
        <v>0</v>
      </c>
      <c r="N370" s="66">
        <f ca="1">SUMIF(採点!$DH$5:$DM$13,"*"&amp;M368&amp;"*",採点!DH381:DM381)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IFERROR(ROUNDDOWN(F371/初期設定!$C$48*100,0),"")</f>
        <v/>
      </c>
      <c r="I371" s="42" t="str">
        <f>IF(ISBLANK(採点!DP382),"",採点!DP382)</f>
        <v/>
      </c>
      <c r="K371" s="66">
        <f ca="1">SUMIF(採点!$DB$5:$DG$13,"*"&amp;K369&amp;"*",採点!DB382:DM382)</f>
        <v>0</v>
      </c>
      <c r="L371" s="66">
        <f ca="1">SUMIF(採点!$DH$5:$DM$13,"*"&amp;K369&amp;"*",採点!DH382:DM382)</f>
        <v>0</v>
      </c>
      <c r="M371" s="66">
        <f ca="1">SUMIF(採点!$DB$5:$DG$13,"*"&amp;M369&amp;"*",採点!DB382:DM382)</f>
        <v>0</v>
      </c>
      <c r="N371" s="66">
        <f ca="1">SUMIF(採点!$DH$5:$DM$13,"*"&amp;M369&amp;"*",採点!DH382:DM382)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IFERROR(ROUNDDOWN(F372/初期設定!$C$48*100,0),"")</f>
        <v/>
      </c>
      <c r="I372" s="42" t="str">
        <f>IF(ISBLANK(採点!DP383),"",採点!DP383)</f>
        <v/>
      </c>
      <c r="K372" s="66">
        <f ca="1">SUMIF(採点!$DB$5:$DG$13,"*"&amp;K370&amp;"*",採点!DB383:DM383)</f>
        <v>0</v>
      </c>
      <c r="L372" s="66">
        <f ca="1">SUMIF(採点!$DH$5:$DM$13,"*"&amp;K370&amp;"*",採点!DH383:DM383)</f>
        <v>0</v>
      </c>
      <c r="M372" s="66">
        <f ca="1">SUMIF(採点!$DB$5:$DG$13,"*"&amp;M370&amp;"*",採点!DB383:DM383)</f>
        <v>0</v>
      </c>
      <c r="N372" s="66">
        <f ca="1">SUMIF(採点!$DH$5:$DM$13,"*"&amp;M370&amp;"*",採点!DH383:DM383)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IFERROR(ROUNDDOWN(F373/初期設定!$C$48*100,0),"")</f>
        <v/>
      </c>
      <c r="I373" s="42" t="str">
        <f>IF(ISBLANK(採点!DP384),"",採点!DP384)</f>
        <v/>
      </c>
      <c r="K373" s="66">
        <f ca="1">SUMIF(採点!$DB$5:$DG$13,"*"&amp;K371&amp;"*",採点!DB384:DM384)</f>
        <v>0</v>
      </c>
      <c r="L373" s="66">
        <f ca="1">SUMIF(採点!$DH$5:$DM$13,"*"&amp;K371&amp;"*",採点!DH384:DM384)</f>
        <v>0</v>
      </c>
      <c r="M373" s="66">
        <f ca="1">SUMIF(採点!$DB$5:$DG$13,"*"&amp;M371&amp;"*",採点!DB384:DM384)</f>
        <v>0</v>
      </c>
      <c r="N373" s="66">
        <f ca="1">SUMIF(採点!$DH$5:$DM$13,"*"&amp;M371&amp;"*",採点!DH384:DM384)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IFERROR(ROUNDDOWN(F374/初期設定!$C$48*100,0),"")</f>
        <v/>
      </c>
      <c r="I374" s="42" t="str">
        <f>IF(ISBLANK(採点!DP385),"",採点!DP385)</f>
        <v/>
      </c>
      <c r="K374" s="66">
        <f ca="1">SUMIF(採点!$DB$5:$DG$13,"*"&amp;K372&amp;"*",採点!DB385:DM385)</f>
        <v>0</v>
      </c>
      <c r="L374" s="66">
        <f ca="1">SUMIF(採点!$DH$5:$DM$13,"*"&amp;K372&amp;"*",採点!DH385:DM385)</f>
        <v>0</v>
      </c>
      <c r="M374" s="66">
        <f ca="1">SUMIF(採点!$DB$5:$DG$13,"*"&amp;M372&amp;"*",採点!DB385:DM385)</f>
        <v>0</v>
      </c>
      <c r="N374" s="66">
        <f ca="1">SUMIF(採点!$DH$5:$DM$13,"*"&amp;M372&amp;"*",採点!DH385:DM385)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IFERROR(ROUNDDOWN(F375/初期設定!$C$48*100,0),"")</f>
        <v/>
      </c>
      <c r="I375" s="42" t="str">
        <f>IF(ISBLANK(採点!DP386),"",採点!DP386)</f>
        <v/>
      </c>
      <c r="K375" s="66">
        <f ca="1">SUMIF(採点!$DB$5:$DG$13,"*"&amp;K373&amp;"*",採点!DB386:DM386)</f>
        <v>0</v>
      </c>
      <c r="L375" s="66">
        <f ca="1">SUMIF(採点!$DH$5:$DM$13,"*"&amp;K373&amp;"*",採点!DH386:DM386)</f>
        <v>0</v>
      </c>
      <c r="M375" s="66">
        <f ca="1">SUMIF(採点!$DB$5:$DG$13,"*"&amp;M373&amp;"*",採点!DB386:DM386)</f>
        <v>0</v>
      </c>
      <c r="N375" s="66">
        <f ca="1">SUMIF(採点!$DH$5:$DM$13,"*"&amp;M373&amp;"*",採点!DH386:DM386)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IFERROR(ROUNDDOWN(F376/初期設定!$C$48*100,0),"")</f>
        <v/>
      </c>
      <c r="I376" s="42" t="str">
        <f>IF(ISBLANK(採点!DP387),"",採点!DP387)</f>
        <v/>
      </c>
      <c r="K376" s="66">
        <f ca="1">SUMIF(採点!$DB$5:$DG$13,"*"&amp;K374&amp;"*",採点!DB387:DM387)</f>
        <v>0</v>
      </c>
      <c r="L376" s="66">
        <f ca="1">SUMIF(採点!$DH$5:$DM$13,"*"&amp;K374&amp;"*",採点!DH387:DM387)</f>
        <v>0</v>
      </c>
      <c r="M376" s="66">
        <f ca="1">SUMIF(採点!$DB$5:$DG$13,"*"&amp;M374&amp;"*",採点!DB387:DM387)</f>
        <v>0</v>
      </c>
      <c r="N376" s="66">
        <f ca="1">SUMIF(採点!$DH$5:$DM$13,"*"&amp;M374&amp;"*",採点!DH387:DM387)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IFERROR(ROUNDDOWN(F377/初期設定!$C$48*100,0),"")</f>
        <v/>
      </c>
      <c r="I377" s="42" t="str">
        <f>IF(ISBLANK(採点!DP388),"",採点!DP388)</f>
        <v/>
      </c>
      <c r="K377" s="66">
        <f ca="1">SUMIF(採点!$DB$5:$DG$13,"*"&amp;K375&amp;"*",採点!DB388:DM388)</f>
        <v>0</v>
      </c>
      <c r="L377" s="66">
        <f ca="1">SUMIF(採点!$DH$5:$DM$13,"*"&amp;K375&amp;"*",採点!DH388:DM388)</f>
        <v>0</v>
      </c>
      <c r="M377" s="66">
        <f ca="1">SUMIF(採点!$DB$5:$DG$13,"*"&amp;M375&amp;"*",採点!DB388:DM388)</f>
        <v>0</v>
      </c>
      <c r="N377" s="66">
        <f ca="1">SUMIF(採点!$DH$5:$DM$13,"*"&amp;M375&amp;"*",採点!DH388:DM388)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IFERROR(ROUNDDOWN(F378/初期設定!$C$48*100,0),"")</f>
        <v/>
      </c>
      <c r="I378" s="42" t="str">
        <f>IF(ISBLANK(採点!DP389),"",採点!DP389)</f>
        <v/>
      </c>
      <c r="K378" s="66">
        <f ca="1">SUMIF(採点!$DB$5:$DG$13,"*"&amp;K376&amp;"*",採点!DB389:DM389)</f>
        <v>0</v>
      </c>
      <c r="L378" s="66">
        <f ca="1">SUMIF(採点!$DH$5:$DM$13,"*"&amp;K376&amp;"*",採点!DH389:DM389)</f>
        <v>0</v>
      </c>
      <c r="M378" s="66">
        <f ca="1">SUMIF(採点!$DB$5:$DG$13,"*"&amp;M376&amp;"*",採点!DB389:DM389)</f>
        <v>0</v>
      </c>
      <c r="N378" s="66">
        <f ca="1">SUMIF(採点!$DH$5:$DM$13,"*"&amp;M376&amp;"*",採点!DH389:DM389)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IFERROR(ROUNDDOWN(F379/初期設定!$C$48*100,0),"")</f>
        <v/>
      </c>
      <c r="I379" s="42" t="str">
        <f>IF(ISBLANK(採点!DP390),"",採点!DP390)</f>
        <v/>
      </c>
      <c r="K379" s="66">
        <f ca="1">SUMIF(採点!$DB$5:$DG$13,"*"&amp;K377&amp;"*",採点!DB390:DM390)</f>
        <v>0</v>
      </c>
      <c r="L379" s="66">
        <f ca="1">SUMIF(採点!$DH$5:$DM$13,"*"&amp;K377&amp;"*",採点!DH390:DM390)</f>
        <v>0</v>
      </c>
      <c r="M379" s="66">
        <f ca="1">SUMIF(採点!$DB$5:$DG$13,"*"&amp;M377&amp;"*",採点!DB390:DM390)</f>
        <v>0</v>
      </c>
      <c r="N379" s="66">
        <f ca="1">SUMIF(採点!$DH$5:$DM$13,"*"&amp;M377&amp;"*",採点!DH390:DM390)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IFERROR(ROUNDDOWN(F380/初期設定!$C$48*100,0),"")</f>
        <v/>
      </c>
      <c r="I380" s="42" t="str">
        <f>IF(ISBLANK(採点!DP391),"",採点!DP391)</f>
        <v/>
      </c>
      <c r="K380" s="66">
        <f ca="1">SUMIF(採点!$DB$5:$DG$13,"*"&amp;K378&amp;"*",採点!DB391:DM391)</f>
        <v>0</v>
      </c>
      <c r="L380" s="66">
        <f ca="1">SUMIF(採点!$DH$5:$DM$13,"*"&amp;K378&amp;"*",採点!DH391:DM391)</f>
        <v>0</v>
      </c>
      <c r="M380" s="66">
        <f ca="1">SUMIF(採点!$DB$5:$DG$13,"*"&amp;M378&amp;"*",採点!DB391:DM391)</f>
        <v>0</v>
      </c>
      <c r="N380" s="66">
        <f ca="1">SUMIF(採点!$DH$5:$DM$13,"*"&amp;M378&amp;"*",採点!DH391:DM391)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IFERROR(ROUNDDOWN(F381/初期設定!$C$48*100,0),"")</f>
        <v/>
      </c>
      <c r="I381" s="42" t="str">
        <f>IF(ISBLANK(採点!DP392),"",採点!DP392)</f>
        <v/>
      </c>
      <c r="K381" s="66">
        <f ca="1">SUMIF(採点!$DB$5:$DG$13,"*"&amp;K379&amp;"*",採点!DB392:DM392)</f>
        <v>0</v>
      </c>
      <c r="L381" s="66">
        <f ca="1">SUMIF(採点!$DH$5:$DM$13,"*"&amp;K379&amp;"*",採点!DH392:DM392)</f>
        <v>0</v>
      </c>
      <c r="M381" s="66">
        <f ca="1">SUMIF(採点!$DB$5:$DG$13,"*"&amp;M379&amp;"*",採点!DB392:DM392)</f>
        <v>0</v>
      </c>
      <c r="N381" s="66">
        <f ca="1">SUMIF(採点!$DH$5:$DM$13,"*"&amp;M379&amp;"*",採点!DH392:DM392)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IFERROR(ROUNDDOWN(F382/初期設定!$C$48*100,0),"")</f>
        <v/>
      </c>
      <c r="I382" s="42" t="str">
        <f>IF(ISBLANK(採点!DP393),"",採点!DP393)</f>
        <v/>
      </c>
      <c r="K382" s="66">
        <f ca="1">SUMIF(採点!$DB$5:$DG$13,"*"&amp;K380&amp;"*",採点!DB393:DM393)</f>
        <v>0</v>
      </c>
      <c r="L382" s="66">
        <f ca="1">SUMIF(採点!$DH$5:$DM$13,"*"&amp;K380&amp;"*",採点!DH393:DM393)</f>
        <v>0</v>
      </c>
      <c r="M382" s="66">
        <f ca="1">SUMIF(採点!$DB$5:$DG$13,"*"&amp;M380&amp;"*",採点!DB393:DM393)</f>
        <v>0</v>
      </c>
      <c r="N382" s="66">
        <f ca="1">SUMIF(採点!$DH$5:$DM$13,"*"&amp;M380&amp;"*",採点!DH393:DM393)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IFERROR(ROUNDDOWN(F383/初期設定!$C$48*100,0),"")</f>
        <v/>
      </c>
      <c r="I383" s="42" t="str">
        <f>IF(ISBLANK(採点!DP394),"",採点!DP394)</f>
        <v/>
      </c>
      <c r="K383" s="66">
        <f ca="1">SUMIF(採点!$DB$5:$DG$13,"*"&amp;K381&amp;"*",採点!DB394:DM394)</f>
        <v>0</v>
      </c>
      <c r="L383" s="66">
        <f ca="1">SUMIF(採点!$DH$5:$DM$13,"*"&amp;K381&amp;"*",採点!DH394:DM394)</f>
        <v>0</v>
      </c>
      <c r="M383" s="66">
        <f ca="1">SUMIF(採点!$DB$5:$DG$13,"*"&amp;M381&amp;"*",採点!DB394:DM394)</f>
        <v>0</v>
      </c>
      <c r="N383" s="66">
        <f ca="1">SUMIF(採点!$DH$5:$DM$13,"*"&amp;M381&amp;"*",採点!DH394:DM394)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IFERROR(ROUNDDOWN(F384/初期設定!$C$48*100,0),"")</f>
        <v/>
      </c>
      <c r="I384" s="42" t="str">
        <f>IF(ISBLANK(採点!DP395),"",採点!DP395)</f>
        <v/>
      </c>
      <c r="K384" s="66">
        <f ca="1">SUMIF(採点!$DB$5:$DG$13,"*"&amp;K382&amp;"*",採点!DB395:DM395)</f>
        <v>0</v>
      </c>
      <c r="L384" s="66">
        <f ca="1">SUMIF(採点!$DH$5:$DM$13,"*"&amp;K382&amp;"*",採点!DH395:DM395)</f>
        <v>0</v>
      </c>
      <c r="M384" s="66">
        <f ca="1">SUMIF(採点!$DB$5:$DG$13,"*"&amp;M382&amp;"*",採点!DB395:DM395)</f>
        <v>0</v>
      </c>
      <c r="N384" s="66">
        <f ca="1">SUMIF(採点!$DH$5:$DM$13,"*"&amp;M382&amp;"*",採点!DH395:DM395)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IFERROR(ROUNDDOWN(F385/初期設定!$C$48*100,0),"")</f>
        <v/>
      </c>
      <c r="I385" s="42" t="str">
        <f>IF(ISBLANK(採点!DP396),"",採点!DP396)</f>
        <v/>
      </c>
      <c r="K385" s="66">
        <f ca="1">SUMIF(採点!$DB$5:$DG$13,"*"&amp;K383&amp;"*",採点!DB396:DM396)</f>
        <v>0</v>
      </c>
      <c r="L385" s="66">
        <f ca="1">SUMIF(採点!$DH$5:$DM$13,"*"&amp;K383&amp;"*",採点!DH396:DM396)</f>
        <v>0</v>
      </c>
      <c r="M385" s="66">
        <f ca="1">SUMIF(採点!$DB$5:$DG$13,"*"&amp;M383&amp;"*",採点!DB396:DM396)</f>
        <v>0</v>
      </c>
      <c r="N385" s="66">
        <f ca="1">SUMIF(採点!$DH$5:$DM$13,"*"&amp;M383&amp;"*",採点!DH396:DM396)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IFERROR(ROUNDDOWN(F386/初期設定!$C$48*100,0),"")</f>
        <v/>
      </c>
      <c r="I386" s="42" t="str">
        <f>IF(ISBLANK(採点!DP397),"",採点!DP397)</f>
        <v/>
      </c>
      <c r="K386" s="66">
        <f ca="1">SUMIF(採点!$DB$5:$DG$13,"*"&amp;K384&amp;"*",採点!DB397:DM397)</f>
        <v>0</v>
      </c>
      <c r="L386" s="66">
        <f ca="1">SUMIF(採点!$DH$5:$DM$13,"*"&amp;K384&amp;"*",採点!DH397:DM397)</f>
        <v>0</v>
      </c>
      <c r="M386" s="66">
        <f ca="1">SUMIF(採点!$DB$5:$DG$13,"*"&amp;M384&amp;"*",採点!DB397:DM397)</f>
        <v>0</v>
      </c>
      <c r="N386" s="66">
        <f ca="1">SUMIF(採点!$DH$5:$DM$13,"*"&amp;M384&amp;"*",採点!DH397:DM397)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IFERROR(ROUNDDOWN(F387/初期設定!$C$48*100,0),"")</f>
        <v/>
      </c>
      <c r="I387" s="42" t="str">
        <f>IF(ISBLANK(採点!DP398),"",採点!DP398)</f>
        <v/>
      </c>
      <c r="K387" s="66">
        <f ca="1">SUMIF(採点!$DB$5:$DG$13,"*"&amp;K385&amp;"*",採点!DB398:DM398)</f>
        <v>0</v>
      </c>
      <c r="L387" s="66">
        <f ca="1">SUMIF(採点!$DH$5:$DM$13,"*"&amp;K385&amp;"*",採点!DH398:DM398)</f>
        <v>0</v>
      </c>
      <c r="M387" s="66">
        <f ca="1">SUMIF(採点!$DB$5:$DG$13,"*"&amp;M385&amp;"*",採点!DB398:DM398)</f>
        <v>0</v>
      </c>
      <c r="N387" s="66">
        <f ca="1">SUMIF(採点!$DH$5:$DM$13,"*"&amp;M385&amp;"*",採点!DH398:DM398)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IFERROR(ROUNDDOWN(F388/初期設定!$C$48*100,0),"")</f>
        <v/>
      </c>
      <c r="I388" s="42" t="str">
        <f>IF(ISBLANK(採点!DP399),"",採点!DP399)</f>
        <v/>
      </c>
      <c r="K388" s="66">
        <f ca="1">SUMIF(採点!$DB$5:$DG$13,"*"&amp;K386&amp;"*",採点!DB399:DM399)</f>
        <v>0</v>
      </c>
      <c r="L388" s="66">
        <f ca="1">SUMIF(採点!$DH$5:$DM$13,"*"&amp;K386&amp;"*",採点!DH399:DM399)</f>
        <v>0</v>
      </c>
      <c r="M388" s="66">
        <f ca="1">SUMIF(採点!$DB$5:$DG$13,"*"&amp;M386&amp;"*",採点!DB399:DM399)</f>
        <v>0</v>
      </c>
      <c r="N388" s="66">
        <f ca="1">SUMIF(採点!$DH$5:$DM$13,"*"&amp;M386&amp;"*",採点!DH399:DM399)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IFERROR(ROUNDDOWN(F389/初期設定!$C$48*100,0),"")</f>
        <v/>
      </c>
      <c r="I389" s="42" t="str">
        <f>IF(ISBLANK(採点!DP400),"",採点!DP400)</f>
        <v/>
      </c>
      <c r="K389" s="66">
        <f ca="1">SUMIF(採点!$DB$5:$DG$13,"*"&amp;K387&amp;"*",採点!DB400:DM400)</f>
        <v>0</v>
      </c>
      <c r="L389" s="66">
        <f ca="1">SUMIF(採点!$DH$5:$DM$13,"*"&amp;K387&amp;"*",採点!DH400:DM400)</f>
        <v>0</v>
      </c>
      <c r="M389" s="66">
        <f ca="1">SUMIF(採点!$DB$5:$DG$13,"*"&amp;M387&amp;"*",採点!DB400:DM400)</f>
        <v>0</v>
      </c>
      <c r="N389" s="66">
        <f ca="1">SUMIF(採点!$DH$5:$DM$13,"*"&amp;M387&amp;"*",採点!DH400:DM400)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IFERROR(ROUNDDOWN(F390/初期設定!$C$48*100,0),"")</f>
        <v/>
      </c>
      <c r="I390" s="42" t="str">
        <f>IF(ISBLANK(採点!DP401),"",採点!DP401)</f>
        <v/>
      </c>
      <c r="K390" s="66">
        <f ca="1">SUMIF(採点!$DB$5:$DG$13,"*"&amp;K388&amp;"*",採点!DB401:DM401)</f>
        <v>0</v>
      </c>
      <c r="L390" s="66">
        <f ca="1">SUMIF(採点!$DH$5:$DM$13,"*"&amp;K388&amp;"*",採点!DH401:DM401)</f>
        <v>0</v>
      </c>
      <c r="M390" s="66">
        <f ca="1">SUMIF(採点!$DB$5:$DG$13,"*"&amp;M388&amp;"*",採点!DB401:DM401)</f>
        <v>0</v>
      </c>
      <c r="N390" s="66">
        <f ca="1">SUMIF(採点!$DH$5:$DM$13,"*"&amp;M388&amp;"*",採点!DH401:DM401)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IFERROR(ROUNDDOWN(F391/初期設定!$C$48*100,0),"")</f>
        <v/>
      </c>
      <c r="I391" s="42" t="str">
        <f>IF(ISBLANK(採点!DP402),"",採点!DP402)</f>
        <v/>
      </c>
      <c r="K391" s="66">
        <f ca="1">SUMIF(採点!$DB$5:$DG$13,"*"&amp;K389&amp;"*",採点!DB402:DM402)</f>
        <v>0</v>
      </c>
      <c r="L391" s="66">
        <f ca="1">SUMIF(採点!$DH$5:$DM$13,"*"&amp;K389&amp;"*",採点!DH402:DM402)</f>
        <v>0</v>
      </c>
      <c r="M391" s="66">
        <f ca="1">SUMIF(採点!$DB$5:$DG$13,"*"&amp;M389&amp;"*",採点!DB402:DM402)</f>
        <v>0</v>
      </c>
      <c r="N391" s="66">
        <f ca="1">SUMIF(採点!$DH$5:$DM$13,"*"&amp;M389&amp;"*",採点!DH402:DM402)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IFERROR(ROUNDDOWN(F392/初期設定!$C$48*100,0),"")</f>
        <v/>
      </c>
      <c r="I392" s="42" t="str">
        <f>IF(ISBLANK(採点!DP403),"",採点!DP403)</f>
        <v/>
      </c>
      <c r="K392" s="66">
        <f ca="1">SUMIF(採点!$DB$5:$DG$13,"*"&amp;K390&amp;"*",採点!DB403:DM403)</f>
        <v>0</v>
      </c>
      <c r="L392" s="66">
        <f ca="1">SUMIF(採点!$DH$5:$DM$13,"*"&amp;K390&amp;"*",採点!DH403:DM403)</f>
        <v>0</v>
      </c>
      <c r="M392" s="66">
        <f ca="1">SUMIF(採点!$DB$5:$DG$13,"*"&amp;M390&amp;"*",採点!DB403:DM403)</f>
        <v>0</v>
      </c>
      <c r="N392" s="66">
        <f ca="1">SUMIF(採点!$DH$5:$DM$13,"*"&amp;M390&amp;"*",採点!DH403:DM403)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IFERROR(ROUNDDOWN(F393/初期設定!$C$48*100,0),"")</f>
        <v/>
      </c>
      <c r="I393" s="42" t="str">
        <f>IF(ISBLANK(採点!DP404),"",採点!DP404)</f>
        <v/>
      </c>
      <c r="K393" s="66">
        <f ca="1">SUMIF(採点!$DB$5:$DG$13,"*"&amp;K391&amp;"*",採点!DB404:DM404)</f>
        <v>0</v>
      </c>
      <c r="L393" s="66">
        <f ca="1">SUMIF(採点!$DH$5:$DM$13,"*"&amp;K391&amp;"*",採点!DH404:DM404)</f>
        <v>0</v>
      </c>
      <c r="M393" s="66">
        <f ca="1">SUMIF(採点!$DB$5:$DG$13,"*"&amp;M391&amp;"*",採点!DB404:DM404)</f>
        <v>0</v>
      </c>
      <c r="N393" s="66">
        <f ca="1">SUMIF(採点!$DH$5:$DM$13,"*"&amp;M391&amp;"*",採点!DH404:DM404)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IFERROR(ROUNDDOWN(F394/初期設定!$C$48*100,0),"")</f>
        <v/>
      </c>
      <c r="I394" s="42" t="str">
        <f>IF(ISBLANK(採点!DP405),"",採点!DP405)</f>
        <v/>
      </c>
      <c r="K394" s="66">
        <f ca="1">SUMIF(採点!$DB$5:$DG$13,"*"&amp;K392&amp;"*",採点!DB405:DM405)</f>
        <v>0</v>
      </c>
      <c r="L394" s="66">
        <f ca="1">SUMIF(採点!$DH$5:$DM$13,"*"&amp;K392&amp;"*",採点!DH405:DM405)</f>
        <v>0</v>
      </c>
      <c r="M394" s="66">
        <f ca="1">SUMIF(採点!$DB$5:$DG$13,"*"&amp;M392&amp;"*",採点!DB405:DM405)</f>
        <v>0</v>
      </c>
      <c r="N394" s="66">
        <f ca="1">SUMIF(採点!$DH$5:$DM$13,"*"&amp;M392&amp;"*",採点!DH405:DM405)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IFERROR(ROUNDDOWN(F395/初期設定!$C$48*100,0),"")</f>
        <v/>
      </c>
      <c r="I395" s="42" t="str">
        <f>IF(ISBLANK(採点!DP406),"",採点!DP406)</f>
        <v/>
      </c>
      <c r="K395" s="66">
        <f ca="1">SUMIF(採点!$DB$5:$DG$13,"*"&amp;K393&amp;"*",採点!DB406:DM406)</f>
        <v>0</v>
      </c>
      <c r="L395" s="66">
        <f ca="1">SUMIF(採点!$DH$5:$DM$13,"*"&amp;K393&amp;"*",採点!DH406:DM406)</f>
        <v>0</v>
      </c>
      <c r="M395" s="66">
        <f ca="1">SUMIF(採点!$DB$5:$DG$13,"*"&amp;M393&amp;"*",採点!DB406:DM406)</f>
        <v>0</v>
      </c>
      <c r="N395" s="66">
        <f ca="1">SUMIF(採点!$DH$5:$DM$13,"*"&amp;M393&amp;"*",採点!DH406:DM406)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IFERROR(ROUNDDOWN(F396/初期設定!$C$48*100,0),"")</f>
        <v/>
      </c>
      <c r="I396" s="42" t="str">
        <f>IF(ISBLANK(採点!DP407),"",採点!DP407)</f>
        <v/>
      </c>
      <c r="K396" s="66">
        <f ca="1">SUMIF(採点!$DB$5:$DG$13,"*"&amp;K394&amp;"*",採点!DB407:DM407)</f>
        <v>0</v>
      </c>
      <c r="L396" s="66">
        <f ca="1">SUMIF(採点!$DH$5:$DM$13,"*"&amp;K394&amp;"*",採点!DH407:DM407)</f>
        <v>0</v>
      </c>
      <c r="M396" s="66">
        <f ca="1">SUMIF(採点!$DB$5:$DG$13,"*"&amp;M394&amp;"*",採点!DB407:DM407)</f>
        <v>0</v>
      </c>
      <c r="N396" s="66">
        <f ca="1">SUMIF(採点!$DH$5:$DM$13,"*"&amp;M394&amp;"*",採点!DH407:DM407)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IFERROR(ROUNDDOWN(F397/初期設定!$C$48*100,0),"")</f>
        <v/>
      </c>
      <c r="I397" s="42" t="str">
        <f>IF(ISBLANK(採点!DP408),"",採点!DP408)</f>
        <v/>
      </c>
      <c r="K397" s="66">
        <f ca="1">SUMIF(採点!$DB$5:$DG$13,"*"&amp;K395&amp;"*",採点!DB408:DM408)</f>
        <v>0</v>
      </c>
      <c r="L397" s="66">
        <f ca="1">SUMIF(採点!$DH$5:$DM$13,"*"&amp;K395&amp;"*",採点!DH408:DM408)</f>
        <v>0</v>
      </c>
      <c r="M397" s="66">
        <f ca="1">SUMIF(採点!$DB$5:$DG$13,"*"&amp;M395&amp;"*",採点!DB408:DM408)</f>
        <v>0</v>
      </c>
      <c r="N397" s="66">
        <f ca="1">SUMIF(採点!$DH$5:$DM$13,"*"&amp;M395&amp;"*",採点!DH408:DM408)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IFERROR(ROUNDDOWN(F398/初期設定!$C$48*100,0),"")</f>
        <v/>
      </c>
      <c r="I398" s="42" t="str">
        <f>IF(ISBLANK(採点!DP409),"",採点!DP409)</f>
        <v/>
      </c>
      <c r="K398" s="66">
        <f ca="1">SUMIF(採点!$DB$5:$DG$13,"*"&amp;K396&amp;"*",採点!DB409:DM409)</f>
        <v>0</v>
      </c>
      <c r="L398" s="66">
        <f ca="1">SUMIF(採点!$DH$5:$DM$13,"*"&amp;K396&amp;"*",採点!DH409:DM409)</f>
        <v>0</v>
      </c>
      <c r="M398" s="66">
        <f ca="1">SUMIF(採点!$DB$5:$DG$13,"*"&amp;M396&amp;"*",採点!DB409:DM409)</f>
        <v>0</v>
      </c>
      <c r="N398" s="66">
        <f ca="1">SUMIF(採点!$DH$5:$DM$13,"*"&amp;M396&amp;"*",採点!DH409:DM409)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IFERROR(ROUNDDOWN(F399/初期設定!$C$48*100,0),"")</f>
        <v/>
      </c>
      <c r="I399" s="42" t="str">
        <f>IF(ISBLANK(採点!DP410),"",採点!DP410)</f>
        <v/>
      </c>
      <c r="K399" s="66">
        <f ca="1">SUMIF(採点!$DB$5:$DG$13,"*"&amp;K397&amp;"*",採点!DB410:DM410)</f>
        <v>0</v>
      </c>
      <c r="L399" s="66">
        <f ca="1">SUMIF(採点!$DH$5:$DM$13,"*"&amp;K397&amp;"*",採点!DH410:DM410)</f>
        <v>0</v>
      </c>
      <c r="M399" s="66">
        <f ca="1">SUMIF(採点!$DB$5:$DG$13,"*"&amp;M397&amp;"*",採点!DB410:DM410)</f>
        <v>0</v>
      </c>
      <c r="N399" s="66">
        <f ca="1">SUMIF(採点!$DH$5:$DM$13,"*"&amp;M397&amp;"*",採点!DH410:DM410)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IFERROR(ROUNDDOWN(F400/初期設定!$C$48*100,0),"")</f>
        <v/>
      </c>
      <c r="I400" s="42" t="str">
        <f>IF(ISBLANK(採点!DP411),"",採点!DP411)</f>
        <v/>
      </c>
      <c r="K400" s="66">
        <f ca="1">SUMIF(採点!$DB$5:$DG$13,"*"&amp;K398&amp;"*",採点!DB411:DM411)</f>
        <v>0</v>
      </c>
      <c r="L400" s="66">
        <f ca="1">SUMIF(採点!$DH$5:$DM$13,"*"&amp;K398&amp;"*",採点!DH411:DM411)</f>
        <v>0</v>
      </c>
      <c r="M400" s="66">
        <f ca="1">SUMIF(採点!$DB$5:$DG$13,"*"&amp;M398&amp;"*",採点!DB411:DM411)</f>
        <v>0</v>
      </c>
      <c r="N400" s="66">
        <f ca="1">SUMIF(採点!$DH$5:$DM$13,"*"&amp;M398&amp;"*",採点!DH411:DM411)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IFERROR(ROUNDDOWN(F401/初期設定!$C$48*100,0),"")</f>
        <v/>
      </c>
      <c r="I401" s="42" t="str">
        <f>IF(ISBLANK(採点!DP412),"",採点!DP412)</f>
        <v/>
      </c>
      <c r="K401" s="66">
        <f ca="1">SUMIF(採点!$DB$5:$DG$13,"*"&amp;K399&amp;"*",採点!DB412:DM412)</f>
        <v>0</v>
      </c>
      <c r="L401" s="66">
        <f ca="1">SUMIF(採点!$DH$5:$DM$13,"*"&amp;K399&amp;"*",採点!DH412:DM412)</f>
        <v>0</v>
      </c>
      <c r="M401" s="66">
        <f ca="1">SUMIF(採点!$DB$5:$DG$13,"*"&amp;M399&amp;"*",採点!DB412:DM412)</f>
        <v>0</v>
      </c>
      <c r="N401" s="66">
        <f ca="1">SUMIF(採点!$DH$5:$DM$13,"*"&amp;M399&amp;"*",採点!DH412:DM412)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IFERROR(ROUNDDOWN(F402/初期設定!$C$48*100,0),"")</f>
        <v/>
      </c>
      <c r="I402" s="42" t="str">
        <f>IF(ISBLANK(採点!DP413),"",採点!DP413)</f>
        <v/>
      </c>
      <c r="K402" s="66">
        <f ca="1">SUMIF(採点!$DB$5:$DG$13,"*"&amp;K400&amp;"*",採点!DB413:DM413)</f>
        <v>0</v>
      </c>
      <c r="L402" s="66">
        <f ca="1">SUMIF(採点!$DH$5:$DM$13,"*"&amp;K400&amp;"*",採点!DH413:DM413)</f>
        <v>0</v>
      </c>
      <c r="M402" s="66">
        <f ca="1">SUMIF(採点!$DB$5:$DG$13,"*"&amp;M400&amp;"*",採点!DB413:DM413)</f>
        <v>0</v>
      </c>
      <c r="N402" s="66">
        <f ca="1">SUMIF(採点!$DH$5:$DM$13,"*"&amp;M400&amp;"*",採点!DH413:DM413)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IFERROR(ROUNDDOWN(F403/初期設定!$C$48*100,0),"")</f>
        <v/>
      </c>
      <c r="I403" s="42" t="str">
        <f>IF(ISBLANK(採点!DP414),"",採点!DP414)</f>
        <v/>
      </c>
      <c r="K403" s="66">
        <f ca="1">SUMIF(採点!$DB$5:$DG$13,"*"&amp;K401&amp;"*",採点!DB414:DM414)</f>
        <v>0</v>
      </c>
      <c r="L403" s="66">
        <f ca="1">SUMIF(採点!$DH$5:$DM$13,"*"&amp;K401&amp;"*",採点!DH414:DM414)</f>
        <v>0</v>
      </c>
      <c r="M403" s="66">
        <f ca="1">SUMIF(採点!$DB$5:$DG$13,"*"&amp;M401&amp;"*",採点!DB414:DM414)</f>
        <v>0</v>
      </c>
      <c r="N403" s="66">
        <f ca="1">SUMIF(採点!$DH$5:$DM$13,"*"&amp;M401&amp;"*",採点!DH414:DM414)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IFERROR(ROUNDDOWN(F404/初期設定!$C$48*100,0),"")</f>
        <v/>
      </c>
      <c r="I404" s="42" t="str">
        <f>IF(ISBLANK(採点!DP415),"",採点!DP415)</f>
        <v/>
      </c>
      <c r="K404" s="66">
        <f ca="1">SUMIF(採点!$DB$5:$DG$13,"*"&amp;K402&amp;"*",採点!DB415:DM415)</f>
        <v>0</v>
      </c>
      <c r="L404" s="66">
        <f ca="1">SUMIF(採点!$DH$5:$DM$13,"*"&amp;K402&amp;"*",採点!DH415:DM415)</f>
        <v>0</v>
      </c>
      <c r="M404" s="66">
        <f ca="1">SUMIF(採点!$DB$5:$DG$13,"*"&amp;M402&amp;"*",採点!DB415:DM415)</f>
        <v>0</v>
      </c>
      <c r="N404" s="66">
        <f ca="1">SUMIF(採点!$DH$5:$DM$13,"*"&amp;M402&amp;"*",採点!DH415:DM415)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IFERROR(ROUNDDOWN(F405/初期設定!$C$48*100,0),"")</f>
        <v/>
      </c>
      <c r="I405" s="42" t="str">
        <f>IF(ISBLANK(採点!DP416),"",採点!DP416)</f>
        <v/>
      </c>
      <c r="K405" s="66">
        <f ca="1">SUMIF(採点!$DB$5:$DG$13,"*"&amp;K403&amp;"*",採点!DB416:DM416)</f>
        <v>0</v>
      </c>
      <c r="L405" s="66">
        <f ca="1">SUMIF(採点!$DH$5:$DM$13,"*"&amp;K403&amp;"*",採点!DH416:DM416)</f>
        <v>0</v>
      </c>
      <c r="M405" s="66">
        <f ca="1">SUMIF(採点!$DB$5:$DG$13,"*"&amp;M403&amp;"*",採点!DB416:DM416)</f>
        <v>0</v>
      </c>
      <c r="N405" s="66">
        <f ca="1">SUMIF(採点!$DH$5:$DM$13,"*"&amp;M403&amp;"*",採点!DH416:DM416)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IFERROR(ROUNDDOWN(F406/初期設定!$C$48*100,0),"")</f>
        <v/>
      </c>
      <c r="I406" s="42" t="str">
        <f>IF(ISBLANK(採点!DP417),"",採点!DP417)</f>
        <v/>
      </c>
      <c r="K406" s="66">
        <f ca="1">SUMIF(採点!$DB$5:$DG$13,"*"&amp;K404&amp;"*",採点!DB417:DM417)</f>
        <v>0</v>
      </c>
      <c r="L406" s="66">
        <f ca="1">SUMIF(採点!$DH$5:$DM$13,"*"&amp;K404&amp;"*",採点!DH417:DM417)</f>
        <v>0</v>
      </c>
      <c r="M406" s="66">
        <f ca="1">SUMIF(採点!$DB$5:$DG$13,"*"&amp;M404&amp;"*",採点!DB417:DM417)</f>
        <v>0</v>
      </c>
      <c r="N406" s="66">
        <f ca="1">SUMIF(採点!$DH$5:$DM$13,"*"&amp;M404&amp;"*",採点!DH417:DM417)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IFERROR(ROUNDDOWN(F407/初期設定!$C$48*100,0),"")</f>
        <v/>
      </c>
      <c r="I407" s="42" t="str">
        <f>IF(ISBLANK(採点!DP418),"",採点!DP418)</f>
        <v/>
      </c>
      <c r="K407" s="66">
        <f ca="1">SUMIF(採点!$DB$5:$DG$13,"*"&amp;K405&amp;"*",採点!DB418:DM418)</f>
        <v>0</v>
      </c>
      <c r="L407" s="66">
        <f ca="1">SUMIF(採点!$DH$5:$DM$13,"*"&amp;K405&amp;"*",採点!DH418:DM418)</f>
        <v>0</v>
      </c>
      <c r="M407" s="66">
        <f ca="1">SUMIF(採点!$DB$5:$DG$13,"*"&amp;M405&amp;"*",採点!DB418:DM418)</f>
        <v>0</v>
      </c>
      <c r="N407" s="66">
        <f ca="1">SUMIF(採点!$DH$5:$DM$13,"*"&amp;M405&amp;"*",採点!DH418:DM418)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IFERROR(ROUNDDOWN(F408/初期設定!$C$48*100,0),"")</f>
        <v/>
      </c>
      <c r="I408" s="42" t="str">
        <f>IF(ISBLANK(採点!DP419),"",採点!DP419)</f>
        <v/>
      </c>
      <c r="K408" s="66">
        <f ca="1">SUMIF(採点!$DB$5:$DG$13,"*"&amp;K406&amp;"*",採点!DB419:DM419)</f>
        <v>0</v>
      </c>
      <c r="L408" s="66">
        <f ca="1">SUMIF(採点!$DH$5:$DM$13,"*"&amp;K406&amp;"*",採点!DH419:DM419)</f>
        <v>0</v>
      </c>
      <c r="M408" s="66">
        <f ca="1">SUMIF(採点!$DB$5:$DG$13,"*"&amp;M406&amp;"*",採点!DB419:DM419)</f>
        <v>0</v>
      </c>
      <c r="N408" s="66">
        <f ca="1">SUMIF(採点!$DH$5:$DM$13,"*"&amp;M406&amp;"*",採点!DH419:DM419)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IFERROR(ROUNDDOWN(F409/初期設定!$C$48*100,0),"")</f>
        <v/>
      </c>
      <c r="I409" s="42" t="str">
        <f>IF(ISBLANK(採点!DP420),"",採点!DP420)</f>
        <v/>
      </c>
      <c r="K409" s="66">
        <f ca="1">SUMIF(採点!$DB$5:$DG$13,"*"&amp;K407&amp;"*",採点!DB420:DM420)</f>
        <v>0</v>
      </c>
      <c r="L409" s="66">
        <f ca="1">SUMIF(採点!$DH$5:$DM$13,"*"&amp;K407&amp;"*",採点!DH420:DM420)</f>
        <v>0</v>
      </c>
      <c r="M409" s="66">
        <f ca="1">SUMIF(採点!$DB$5:$DG$13,"*"&amp;M407&amp;"*",採点!DB420:DM420)</f>
        <v>0</v>
      </c>
      <c r="N409" s="66">
        <f ca="1">SUMIF(採点!$DH$5:$DM$13,"*"&amp;M407&amp;"*",採点!DH420:DM420)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IFERROR(ROUNDDOWN(F410/初期設定!$C$48*100,0),"")</f>
        <v/>
      </c>
      <c r="I410" s="42" t="str">
        <f>IF(ISBLANK(採点!DP421),"",採点!DP421)</f>
        <v/>
      </c>
      <c r="K410" s="66">
        <f ca="1">SUMIF(採点!$DB$5:$DG$13,"*"&amp;K408&amp;"*",採点!DB421:DM421)</f>
        <v>0</v>
      </c>
      <c r="L410" s="66">
        <f ca="1">SUMIF(採点!$DH$5:$DM$13,"*"&amp;K408&amp;"*",採点!DH421:DM421)</f>
        <v>0</v>
      </c>
      <c r="M410" s="66">
        <f ca="1">SUMIF(採点!$DB$5:$DG$13,"*"&amp;M408&amp;"*",採点!DB421:DM421)</f>
        <v>0</v>
      </c>
      <c r="N410" s="66">
        <f ca="1">SUMIF(採点!$DH$5:$DM$13,"*"&amp;M408&amp;"*",採点!DH421:DM421)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IFERROR(ROUNDDOWN(F411/初期設定!$C$48*100,0),"")</f>
        <v/>
      </c>
      <c r="I411" s="42" t="str">
        <f>IF(ISBLANK(採点!DP422),"",採点!DP422)</f>
        <v/>
      </c>
      <c r="K411" s="66">
        <f ca="1">SUMIF(採点!$DB$5:$DG$13,"*"&amp;K409&amp;"*",採点!DB422:DM422)</f>
        <v>0</v>
      </c>
      <c r="L411" s="66">
        <f ca="1">SUMIF(採点!$DH$5:$DM$13,"*"&amp;K409&amp;"*",採点!DH422:DM422)</f>
        <v>0</v>
      </c>
      <c r="M411" s="66">
        <f ca="1">SUMIF(採点!$DB$5:$DG$13,"*"&amp;M409&amp;"*",採点!DB422:DM422)</f>
        <v>0</v>
      </c>
      <c r="N411" s="66">
        <f ca="1">SUMIF(採点!$DH$5:$DM$13,"*"&amp;M409&amp;"*",採点!DH422:DM422)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IFERROR(ROUNDDOWN(F412/初期設定!$C$48*100,0),"")</f>
        <v/>
      </c>
      <c r="I412" s="42" t="str">
        <f>IF(ISBLANK(採点!DP423),"",採点!DP423)</f>
        <v/>
      </c>
      <c r="K412" s="66">
        <f ca="1">SUMIF(採点!$DB$5:$DG$13,"*"&amp;K410&amp;"*",採点!DB423:DM423)</f>
        <v>0</v>
      </c>
      <c r="L412" s="66">
        <f ca="1">SUMIF(採点!$DH$5:$DM$13,"*"&amp;K410&amp;"*",採点!DH423:DM423)</f>
        <v>0</v>
      </c>
      <c r="M412" s="66">
        <f ca="1">SUMIF(採点!$DB$5:$DG$13,"*"&amp;M410&amp;"*",採点!DB423:DM423)</f>
        <v>0</v>
      </c>
      <c r="N412" s="66">
        <f ca="1">SUMIF(採点!$DH$5:$DM$13,"*"&amp;M410&amp;"*",採点!DH423:DM423)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IFERROR(ROUNDDOWN(F413/初期設定!$C$48*100,0),"")</f>
        <v/>
      </c>
      <c r="I413" s="42" t="str">
        <f>IF(ISBLANK(採点!DP424),"",採点!DP424)</f>
        <v/>
      </c>
      <c r="K413" s="66">
        <f ca="1">SUMIF(採点!$DB$5:$DG$13,"*"&amp;K411&amp;"*",採点!DB424:DM424)</f>
        <v>0</v>
      </c>
      <c r="L413" s="66">
        <f ca="1">SUMIF(採点!$DH$5:$DM$13,"*"&amp;K411&amp;"*",採点!DH424:DM424)</f>
        <v>0</v>
      </c>
      <c r="M413" s="66">
        <f ca="1">SUMIF(採点!$DB$5:$DG$13,"*"&amp;M411&amp;"*",採点!DB424:DM424)</f>
        <v>0</v>
      </c>
      <c r="N413" s="66">
        <f ca="1">SUMIF(採点!$DH$5:$DM$13,"*"&amp;M411&amp;"*",採点!DH424:DM424)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IFERROR(ROUNDDOWN(F414/初期設定!$C$48*100,0),"")</f>
        <v/>
      </c>
      <c r="I414" s="42" t="str">
        <f>IF(ISBLANK(採点!DP425),"",採点!DP425)</f>
        <v/>
      </c>
      <c r="K414" s="66">
        <f ca="1">SUMIF(採点!$DB$5:$DG$13,"*"&amp;K412&amp;"*",採点!DB425:DM425)</f>
        <v>0</v>
      </c>
      <c r="L414" s="66">
        <f ca="1">SUMIF(採点!$DH$5:$DM$13,"*"&amp;K412&amp;"*",採点!DH425:DM425)</f>
        <v>0</v>
      </c>
      <c r="M414" s="66">
        <f ca="1">SUMIF(採点!$DB$5:$DG$13,"*"&amp;M412&amp;"*",採点!DB425:DM425)</f>
        <v>0</v>
      </c>
      <c r="N414" s="66">
        <f ca="1">SUMIF(採点!$DH$5:$DM$13,"*"&amp;M412&amp;"*",採点!DH425:DM425)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IFERROR(ROUNDDOWN(F415/初期設定!$C$48*100,0),"")</f>
        <v/>
      </c>
      <c r="I415" s="42" t="str">
        <f>IF(ISBLANK(採点!DP426),"",採点!DP426)</f>
        <v/>
      </c>
      <c r="K415" s="66">
        <f ca="1">SUMIF(採点!$DB$5:$DG$13,"*"&amp;K413&amp;"*",採点!DB426:DM426)</f>
        <v>0</v>
      </c>
      <c r="L415" s="66">
        <f ca="1">SUMIF(採点!$DH$5:$DM$13,"*"&amp;K413&amp;"*",採点!DH426:DM426)</f>
        <v>0</v>
      </c>
      <c r="M415" s="66">
        <f ca="1">SUMIF(採点!$DB$5:$DG$13,"*"&amp;M413&amp;"*",採点!DB426:DM426)</f>
        <v>0</v>
      </c>
      <c r="N415" s="66">
        <f ca="1">SUMIF(採点!$DH$5:$DM$13,"*"&amp;M413&amp;"*",採点!DH426:DM426)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IFERROR(ROUNDDOWN(F416/初期設定!$C$48*100,0),"")</f>
        <v/>
      </c>
      <c r="I416" s="42" t="str">
        <f>IF(ISBLANK(採点!DP427),"",採点!DP427)</f>
        <v/>
      </c>
      <c r="K416" s="66">
        <f ca="1">SUMIF(採点!$DB$5:$DG$13,"*"&amp;K414&amp;"*",採点!DB427:DM427)</f>
        <v>0</v>
      </c>
      <c r="L416" s="66">
        <f ca="1">SUMIF(採点!$DH$5:$DM$13,"*"&amp;K414&amp;"*",採点!DH427:DM427)</f>
        <v>0</v>
      </c>
      <c r="M416" s="66">
        <f ca="1">SUMIF(採点!$DB$5:$DG$13,"*"&amp;M414&amp;"*",採点!DB427:DM427)</f>
        <v>0</v>
      </c>
      <c r="N416" s="66">
        <f ca="1">SUMIF(採点!$DH$5:$DM$13,"*"&amp;M414&amp;"*",採点!DH427:DM427)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IFERROR(ROUNDDOWN(F417/初期設定!$C$48*100,0),"")</f>
        <v/>
      </c>
      <c r="I417" s="42" t="str">
        <f>IF(ISBLANK(採点!DP428),"",採点!DP428)</f>
        <v/>
      </c>
      <c r="K417" s="66">
        <f ca="1">SUMIF(採点!$DB$5:$DG$13,"*"&amp;K415&amp;"*",採点!DB428:DM428)</f>
        <v>0</v>
      </c>
      <c r="L417" s="66">
        <f ca="1">SUMIF(採点!$DH$5:$DM$13,"*"&amp;K415&amp;"*",採点!DH428:DM428)</f>
        <v>0</v>
      </c>
      <c r="M417" s="66">
        <f ca="1">SUMIF(採点!$DB$5:$DG$13,"*"&amp;M415&amp;"*",採点!DB428:DM428)</f>
        <v>0</v>
      </c>
      <c r="N417" s="66">
        <f ca="1">SUMIF(採点!$DH$5:$DM$13,"*"&amp;M415&amp;"*",採点!DH428:DM428)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IFERROR(ROUNDDOWN(F418/初期設定!$C$48*100,0),"")</f>
        <v/>
      </c>
      <c r="I418" s="42" t="str">
        <f>IF(ISBLANK(採点!DP429),"",採点!DP429)</f>
        <v/>
      </c>
      <c r="K418" s="66">
        <f ca="1">SUMIF(採点!$DB$5:$DG$13,"*"&amp;K416&amp;"*",採点!DB429:DM429)</f>
        <v>0</v>
      </c>
      <c r="L418" s="66">
        <f ca="1">SUMIF(採点!$DH$5:$DM$13,"*"&amp;K416&amp;"*",採点!DH429:DM429)</f>
        <v>0</v>
      </c>
      <c r="M418" s="66">
        <f ca="1">SUMIF(採点!$DB$5:$DG$13,"*"&amp;M416&amp;"*",採点!DB429:DM429)</f>
        <v>0</v>
      </c>
      <c r="N418" s="66">
        <f ca="1">SUMIF(採点!$DH$5:$DM$13,"*"&amp;M416&amp;"*",採点!DH429:DM429)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IFERROR(ROUNDDOWN(F419/初期設定!$C$48*100,0),"")</f>
        <v/>
      </c>
      <c r="I419" s="42" t="str">
        <f>IF(ISBLANK(採点!DP430),"",採点!DP430)</f>
        <v/>
      </c>
      <c r="K419" s="66">
        <f ca="1">SUMIF(採点!$DB$5:$DG$13,"*"&amp;K417&amp;"*",採点!DB430:DM430)</f>
        <v>0</v>
      </c>
      <c r="L419" s="66">
        <f ca="1">SUMIF(採点!$DH$5:$DM$13,"*"&amp;K417&amp;"*",採点!DH430:DM430)</f>
        <v>0</v>
      </c>
      <c r="M419" s="66">
        <f ca="1">SUMIF(採点!$DB$5:$DG$13,"*"&amp;M417&amp;"*",採点!DB430:DM430)</f>
        <v>0</v>
      </c>
      <c r="N419" s="66">
        <f ca="1">SUMIF(採点!$DH$5:$DM$13,"*"&amp;M417&amp;"*",採点!DH430:DM430)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IFERROR(ROUNDDOWN(F420/初期設定!$C$48*100,0),"")</f>
        <v/>
      </c>
      <c r="I420" s="42" t="str">
        <f>IF(ISBLANK(採点!DP431),"",採点!DP431)</f>
        <v/>
      </c>
      <c r="K420" s="66">
        <f ca="1">SUMIF(採点!$DB$5:$DG$13,"*"&amp;K418&amp;"*",採点!DB431:DM431)</f>
        <v>0</v>
      </c>
      <c r="L420" s="66">
        <f ca="1">SUMIF(採点!$DH$5:$DM$13,"*"&amp;K418&amp;"*",採点!DH431:DM431)</f>
        <v>0</v>
      </c>
      <c r="M420" s="66">
        <f ca="1">SUMIF(採点!$DB$5:$DG$13,"*"&amp;M418&amp;"*",採点!DB431:DM431)</f>
        <v>0</v>
      </c>
      <c r="N420" s="66">
        <f ca="1">SUMIF(採点!$DH$5:$DM$13,"*"&amp;M418&amp;"*",採点!DH431:DM431)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IFERROR(ROUNDDOWN(F421/初期設定!$C$48*100,0),"")</f>
        <v/>
      </c>
      <c r="I421" s="42" t="str">
        <f>IF(ISBLANK(採点!DP432),"",採点!DP432)</f>
        <v/>
      </c>
      <c r="K421" s="66">
        <f ca="1">SUMIF(採点!$DB$5:$DG$13,"*"&amp;K419&amp;"*",採点!DB432:DM432)</f>
        <v>0</v>
      </c>
      <c r="L421" s="66">
        <f ca="1">SUMIF(採点!$DH$5:$DM$13,"*"&amp;K419&amp;"*",採点!DH432:DM432)</f>
        <v>0</v>
      </c>
      <c r="M421" s="66">
        <f ca="1">SUMIF(採点!$DB$5:$DG$13,"*"&amp;M419&amp;"*",採点!DB432:DM432)</f>
        <v>0</v>
      </c>
      <c r="N421" s="66">
        <f ca="1">SUMIF(採点!$DH$5:$DM$13,"*"&amp;M419&amp;"*",採点!DH432:DM432)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IFERROR(ROUNDDOWN(F422/初期設定!$C$48*100,0),"")</f>
        <v/>
      </c>
      <c r="I422" s="42" t="str">
        <f>IF(ISBLANK(採点!DP433),"",採点!DP433)</f>
        <v/>
      </c>
      <c r="K422" s="66">
        <f ca="1">SUMIF(採点!$DB$5:$DG$13,"*"&amp;K420&amp;"*",採点!DB433:DM433)</f>
        <v>0</v>
      </c>
      <c r="L422" s="66">
        <f ca="1">SUMIF(採点!$DH$5:$DM$13,"*"&amp;K420&amp;"*",採点!DH433:DM433)</f>
        <v>0</v>
      </c>
      <c r="M422" s="66">
        <f ca="1">SUMIF(採点!$DB$5:$DG$13,"*"&amp;M420&amp;"*",採点!DB433:DM433)</f>
        <v>0</v>
      </c>
      <c r="N422" s="66">
        <f ca="1">SUMIF(採点!$DH$5:$DM$13,"*"&amp;M420&amp;"*",採点!DH433:DM433)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IFERROR(ROUNDDOWN(F423/初期設定!$C$48*100,0),"")</f>
        <v/>
      </c>
      <c r="I423" s="42" t="str">
        <f>IF(ISBLANK(採点!DP434),"",採点!DP434)</f>
        <v/>
      </c>
      <c r="K423" s="66">
        <f ca="1">SUMIF(採点!$DB$5:$DG$13,"*"&amp;K421&amp;"*",採点!DB434:DM434)</f>
        <v>0</v>
      </c>
      <c r="L423" s="66">
        <f ca="1">SUMIF(採点!$DH$5:$DM$13,"*"&amp;K421&amp;"*",採点!DH434:DM434)</f>
        <v>0</v>
      </c>
      <c r="M423" s="66">
        <f ca="1">SUMIF(採点!$DB$5:$DG$13,"*"&amp;M421&amp;"*",採点!DB434:DM434)</f>
        <v>0</v>
      </c>
      <c r="N423" s="66">
        <f ca="1">SUMIF(採点!$DH$5:$DM$13,"*"&amp;M421&amp;"*",採点!DH434:DM434)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IFERROR(ROUNDDOWN(F424/初期設定!$C$48*100,0),"")</f>
        <v/>
      </c>
      <c r="I424" s="42" t="str">
        <f>IF(ISBLANK(採点!DP435),"",採点!DP435)</f>
        <v/>
      </c>
      <c r="K424" s="66">
        <f ca="1">SUMIF(採点!$DB$5:$DG$13,"*"&amp;K422&amp;"*",採点!DB435:DM435)</f>
        <v>0</v>
      </c>
      <c r="L424" s="66">
        <f ca="1">SUMIF(採点!$DH$5:$DM$13,"*"&amp;K422&amp;"*",採点!DH435:DM435)</f>
        <v>0</v>
      </c>
      <c r="M424" s="66">
        <f ca="1">SUMIF(採点!$DB$5:$DG$13,"*"&amp;M422&amp;"*",採点!DB435:DM435)</f>
        <v>0</v>
      </c>
      <c r="N424" s="66">
        <f ca="1">SUMIF(採点!$DH$5:$DM$13,"*"&amp;M422&amp;"*",採点!DH435:DM435)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IFERROR(ROUNDDOWN(F425/初期設定!$C$48*100,0),"")</f>
        <v/>
      </c>
      <c r="I425" s="42" t="str">
        <f>IF(ISBLANK(採点!DP436),"",採点!DP436)</f>
        <v/>
      </c>
      <c r="K425" s="66">
        <f ca="1">SUMIF(採点!$DB$5:$DG$13,"*"&amp;K423&amp;"*",採点!DB436:DM436)</f>
        <v>0</v>
      </c>
      <c r="L425" s="66">
        <f ca="1">SUMIF(採点!$DH$5:$DM$13,"*"&amp;K423&amp;"*",採点!DH436:DM436)</f>
        <v>0</v>
      </c>
      <c r="M425" s="66">
        <f ca="1">SUMIF(採点!$DB$5:$DG$13,"*"&amp;M423&amp;"*",採点!DB436:DM436)</f>
        <v>0</v>
      </c>
      <c r="N425" s="66">
        <f ca="1">SUMIF(採点!$DH$5:$DM$13,"*"&amp;M423&amp;"*",採点!DH436:DM436)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IFERROR(ROUNDDOWN(F426/初期設定!$C$48*100,0),"")</f>
        <v/>
      </c>
      <c r="I426" s="42" t="str">
        <f>IF(ISBLANK(採点!DP437),"",採点!DP437)</f>
        <v/>
      </c>
      <c r="K426" s="66">
        <f ca="1">SUMIF(採点!$DB$5:$DG$13,"*"&amp;K424&amp;"*",採点!DB437:DM437)</f>
        <v>0</v>
      </c>
      <c r="L426" s="66">
        <f ca="1">SUMIF(採点!$DH$5:$DM$13,"*"&amp;K424&amp;"*",採点!DH437:DM437)</f>
        <v>0</v>
      </c>
      <c r="M426" s="66">
        <f ca="1">SUMIF(採点!$DB$5:$DG$13,"*"&amp;M424&amp;"*",採点!DB437:DM437)</f>
        <v>0</v>
      </c>
      <c r="N426" s="66">
        <f ca="1">SUMIF(採点!$DH$5:$DM$13,"*"&amp;M424&amp;"*",採点!DH437:DM437)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IFERROR(ROUNDDOWN(F427/初期設定!$C$48*100,0),"")</f>
        <v/>
      </c>
      <c r="I427" s="42" t="str">
        <f>IF(ISBLANK(採点!DP438),"",採点!DP438)</f>
        <v/>
      </c>
      <c r="K427" s="66">
        <f ca="1">SUMIF(採点!$DB$5:$DG$13,"*"&amp;K425&amp;"*",採点!DB438:DM438)</f>
        <v>0</v>
      </c>
      <c r="L427" s="66">
        <f ca="1">SUMIF(採点!$DH$5:$DM$13,"*"&amp;K425&amp;"*",採点!DH438:DM438)</f>
        <v>0</v>
      </c>
      <c r="M427" s="66">
        <f ca="1">SUMIF(採点!$DB$5:$DG$13,"*"&amp;M425&amp;"*",採点!DB438:DM438)</f>
        <v>0</v>
      </c>
      <c r="N427" s="66">
        <f ca="1">SUMIF(採点!$DH$5:$DM$13,"*"&amp;M425&amp;"*",採点!DH438:DM438)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IFERROR(ROUNDDOWN(F428/初期設定!$C$48*100,0),"")</f>
        <v/>
      </c>
      <c r="I428" s="42" t="str">
        <f>IF(ISBLANK(採点!DP439),"",採点!DP439)</f>
        <v/>
      </c>
      <c r="K428" s="66">
        <f ca="1">SUMIF(採点!$DB$5:$DG$13,"*"&amp;K426&amp;"*",採点!DB439:DM439)</f>
        <v>0</v>
      </c>
      <c r="L428" s="66">
        <f ca="1">SUMIF(採点!$DH$5:$DM$13,"*"&amp;K426&amp;"*",採点!DH439:DM439)</f>
        <v>0</v>
      </c>
      <c r="M428" s="66">
        <f ca="1">SUMIF(採点!$DB$5:$DG$13,"*"&amp;M426&amp;"*",採点!DB439:DM439)</f>
        <v>0</v>
      </c>
      <c r="N428" s="66">
        <f ca="1">SUMIF(採点!$DH$5:$DM$13,"*"&amp;M426&amp;"*",採点!DH439:DM439)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IFERROR(ROUNDDOWN(F429/初期設定!$C$48*100,0),"")</f>
        <v/>
      </c>
      <c r="I429" s="42" t="str">
        <f>IF(ISBLANK(採点!DP440),"",採点!DP440)</f>
        <v/>
      </c>
      <c r="K429" s="66">
        <f ca="1">SUMIF(採点!$DB$5:$DG$13,"*"&amp;K427&amp;"*",採点!DB440:DM440)</f>
        <v>0</v>
      </c>
      <c r="L429" s="66">
        <f ca="1">SUMIF(採点!$DH$5:$DM$13,"*"&amp;K427&amp;"*",採点!DH440:DM440)</f>
        <v>0</v>
      </c>
      <c r="M429" s="66">
        <f ca="1">SUMIF(採点!$DB$5:$DG$13,"*"&amp;M427&amp;"*",採点!DB440:DM440)</f>
        <v>0</v>
      </c>
      <c r="N429" s="66">
        <f ca="1">SUMIF(採点!$DH$5:$DM$13,"*"&amp;M427&amp;"*",採点!DH440:DM440)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IFERROR(ROUNDDOWN(F430/初期設定!$C$48*100,0),"")</f>
        <v/>
      </c>
      <c r="I430" s="42" t="str">
        <f>IF(ISBLANK(採点!DP441),"",採点!DP441)</f>
        <v/>
      </c>
      <c r="K430" s="66">
        <f ca="1">SUMIF(採点!$DB$5:$DG$13,"*"&amp;K428&amp;"*",採点!DB441:DM441)</f>
        <v>0</v>
      </c>
      <c r="L430" s="66">
        <f ca="1">SUMIF(採点!$DH$5:$DM$13,"*"&amp;K428&amp;"*",採点!DH441:DM441)</f>
        <v>0</v>
      </c>
      <c r="M430" s="66">
        <f ca="1">SUMIF(採点!$DB$5:$DG$13,"*"&amp;M428&amp;"*",採点!DB441:DM441)</f>
        <v>0</v>
      </c>
      <c r="N430" s="66">
        <f ca="1">SUMIF(採点!$DH$5:$DM$13,"*"&amp;M428&amp;"*",採点!DH441:DM441)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2022-08-24T00:35:57Z</dcterms:modified>
</cp:coreProperties>
</file>