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D7B58F98-2108-B94D-86DC-23D6CEC2A811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1" i="25" l="1"/>
  <c r="L11" i="19"/>
  <c r="B11" i="25"/>
  <c r="B11" i="19"/>
  <c r="P11" i="25"/>
  <c r="F11" i="25"/>
  <c r="N4" i="24"/>
  <c r="M4" i="24"/>
  <c r="L4" i="24"/>
  <c r="K4" i="24"/>
  <c r="M1" i="24"/>
  <c r="N3" i="24" s="1"/>
  <c r="K1" i="24"/>
  <c r="L3" i="24" s="1"/>
  <c r="O14" i="19"/>
  <c r="M3" i="24" l="1"/>
  <c r="K3" i="24"/>
  <c r="K5" i="24" s="1"/>
  <c r="M6" i="24"/>
  <c r="N6" i="24"/>
  <c r="M5" i="24"/>
  <c r="N5" i="24"/>
  <c r="K6" i="24"/>
  <c r="L6" i="24"/>
  <c r="J37" i="25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L5" i="24" l="1"/>
  <c r="M7" i="24"/>
  <c r="N7" i="24"/>
  <c r="M8" i="24"/>
  <c r="N8" i="24"/>
  <c r="K7" i="24"/>
  <c r="L7" i="24"/>
  <c r="K8" i="24"/>
  <c r="L8" i="24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M10" i="24" l="1"/>
  <c r="N10" i="24"/>
  <c r="M9" i="24"/>
  <c r="N9" i="24"/>
  <c r="K10" i="24"/>
  <c r="L10" i="24"/>
  <c r="K9" i="24"/>
  <c r="L9" i="24"/>
  <c r="A351" i="2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64" i="19"/>
  <c r="C57" i="19"/>
  <c r="C68" i="19"/>
  <c r="C39" i="19"/>
  <c r="R38" i="19"/>
  <c r="C53" i="19"/>
  <c r="R37" i="19"/>
  <c r="R55" i="19"/>
  <c r="C23" i="19"/>
  <c r="C79" i="19"/>
  <c r="C40" i="19"/>
  <c r="C33" i="19"/>
  <c r="R43" i="19"/>
  <c r="R40" i="19"/>
  <c r="C86" i="19"/>
  <c r="C32" i="19"/>
  <c r="C52" i="19"/>
  <c r="R41" i="19"/>
  <c r="C50" i="19"/>
  <c r="C41" i="19"/>
  <c r="C87" i="19"/>
  <c r="R53" i="19"/>
  <c r="R50" i="19"/>
  <c r="R29" i="19"/>
  <c r="C30" i="19"/>
  <c r="R57" i="19"/>
  <c r="C51" i="19"/>
  <c r="C85" i="19"/>
  <c r="C42" i="19"/>
  <c r="R27" i="19"/>
  <c r="C29" i="19"/>
  <c r="C72" i="19"/>
  <c r="C74" i="19"/>
  <c r="R32" i="19"/>
  <c r="R25" i="19"/>
  <c r="R35" i="19"/>
  <c r="R30" i="19"/>
  <c r="C28" i="19"/>
  <c r="C73" i="19"/>
  <c r="R42" i="19"/>
  <c r="C89" i="19"/>
  <c r="R56" i="19"/>
  <c r="C48" i="19"/>
  <c r="C90" i="19"/>
  <c r="R45" i="19"/>
  <c r="R31" i="19"/>
  <c r="B1" i="19"/>
  <c r="R54" i="19"/>
  <c r="C26" i="19"/>
  <c r="C70" i="19"/>
  <c r="C36" i="19"/>
  <c r="R36" i="19"/>
  <c r="C71" i="19"/>
  <c r="R44" i="19"/>
  <c r="C45" i="19"/>
  <c r="C84" i="19"/>
  <c r="R34" i="19"/>
  <c r="C44" i="19"/>
  <c r="C31" i="19"/>
  <c r="R49" i="19"/>
  <c r="C69" i="19"/>
  <c r="C76" i="19"/>
  <c r="C66" i="19"/>
  <c r="C77" i="19"/>
  <c r="C92" i="19"/>
  <c r="C63" i="19"/>
  <c r="C81" i="19"/>
  <c r="R47" i="19"/>
  <c r="C91" i="19"/>
  <c r="C78" i="19"/>
  <c r="R48" i="19"/>
  <c r="R46" i="19"/>
  <c r="C38" i="19"/>
  <c r="C47" i="19"/>
  <c r="R39" i="19"/>
  <c r="R51" i="19"/>
  <c r="C80" i="19"/>
  <c r="C82" i="19"/>
  <c r="C56" i="19"/>
  <c r="R52" i="19"/>
  <c r="R33" i="19"/>
  <c r="C49" i="19"/>
  <c r="C34" i="19"/>
  <c r="C25" i="19"/>
  <c r="C37" i="19"/>
  <c r="C54" i="19"/>
  <c r="C55" i="19"/>
  <c r="C43" i="19"/>
  <c r="R23" i="19"/>
  <c r="C88" i="19"/>
  <c r="R26" i="19"/>
  <c r="C83" i="19"/>
  <c r="R28" i="19"/>
  <c r="C67" i="19"/>
  <c r="C46" i="19"/>
  <c r="C35" i="19"/>
  <c r="C75" i="19"/>
  <c r="C27" i="19"/>
  <c r="C65" i="19"/>
  <c r="R24" i="19"/>
  <c r="M11" i="24" l="1"/>
  <c r="P11" i="19" s="1"/>
  <c r="N11" i="24"/>
  <c r="S11" i="19" s="1"/>
  <c r="M12" i="24"/>
  <c r="N12" i="24"/>
  <c r="K11" i="24"/>
  <c r="L11" i="24"/>
  <c r="I11" i="19" s="1"/>
  <c r="K12" i="24"/>
  <c r="L12" i="24"/>
  <c r="DF439" i="2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31" i="19"/>
  <c r="G67" i="19"/>
  <c r="V51" i="19"/>
  <c r="G46" i="19"/>
  <c r="V29" i="19"/>
  <c r="V25" i="19"/>
  <c r="V24" i="19"/>
  <c r="G65" i="19"/>
  <c r="V34" i="19"/>
  <c r="G79" i="19"/>
  <c r="G63" i="19"/>
  <c r="V54" i="19"/>
  <c r="G33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29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G34" i="19"/>
  <c r="V45" i="19"/>
  <c r="V46" i="19"/>
  <c r="G81" i="19"/>
  <c r="V33" i="19"/>
  <c r="G30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32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28" i="19"/>
  <c r="G27" i="19"/>
  <c r="G26" i="19"/>
  <c r="G25" i="19"/>
  <c r="G23" i="19"/>
  <c r="C24" i="19"/>
  <c r="F11" i="19" l="1"/>
  <c r="M14" i="24"/>
  <c r="N14" i="24"/>
  <c r="M13" i="24"/>
  <c r="N13" i="24"/>
  <c r="K14" i="24"/>
  <c r="L14" i="24"/>
  <c r="K13" i="24"/>
  <c r="L13" i="24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M15" i="24" l="1"/>
  <c r="N15" i="24"/>
  <c r="M16" i="24"/>
  <c r="N16" i="24"/>
  <c r="K15" i="24"/>
  <c r="L15" i="24"/>
  <c r="K16" i="24"/>
  <c r="L16" i="24"/>
  <c r="H7" i="24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M18" i="24" l="1"/>
  <c r="N18" i="24"/>
  <c r="M17" i="24"/>
  <c r="N17" i="24"/>
  <c r="K18" i="24"/>
  <c r="L18" i="24"/>
  <c r="K17" i="24"/>
  <c r="L17" i="24"/>
  <c r="J3" i="24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M19" i="24" l="1"/>
  <c r="N19" i="24"/>
  <c r="M20" i="24"/>
  <c r="N20" i="24"/>
  <c r="K19" i="24"/>
  <c r="L19" i="24"/>
  <c r="K20" i="24"/>
  <c r="L20" i="24"/>
  <c r="M22" i="24" l="1"/>
  <c r="N22" i="24"/>
  <c r="M21" i="24"/>
  <c r="N21" i="24"/>
  <c r="K22" i="24"/>
  <c r="L22" i="24"/>
  <c r="K21" i="24"/>
  <c r="L21" i="24"/>
  <c r="M23" i="24" l="1"/>
  <c r="N23" i="24"/>
  <c r="M24" i="24"/>
  <c r="N24" i="24"/>
  <c r="K23" i="24"/>
  <c r="L23" i="24"/>
  <c r="K24" i="24"/>
  <c r="L24" i="24"/>
  <c r="M26" i="24" l="1"/>
  <c r="N26" i="24"/>
  <c r="M25" i="24"/>
  <c r="N25" i="24"/>
  <c r="K26" i="24"/>
  <c r="L26" i="24"/>
  <c r="K25" i="24"/>
  <c r="L25" i="24"/>
  <c r="M27" i="24" l="1"/>
  <c r="N27" i="24"/>
  <c r="M28" i="24"/>
  <c r="N28" i="24"/>
  <c r="K27" i="24"/>
  <c r="L27" i="24"/>
  <c r="K28" i="24"/>
  <c r="L28" i="24"/>
  <c r="M30" i="24" l="1"/>
  <c r="N30" i="24"/>
  <c r="M29" i="24"/>
  <c r="N29" i="24"/>
  <c r="K30" i="24"/>
  <c r="L30" i="24"/>
  <c r="K29" i="24"/>
  <c r="L29" i="24"/>
  <c r="M31" i="24" l="1"/>
  <c r="N31" i="24"/>
  <c r="M32" i="24"/>
  <c r="N32" i="24"/>
  <c r="K31" i="24"/>
  <c r="L31" i="24"/>
  <c r="K32" i="24"/>
  <c r="L32" i="24"/>
  <c r="M34" i="24" l="1"/>
  <c r="N34" i="24"/>
  <c r="M33" i="24"/>
  <c r="N33" i="24"/>
  <c r="K34" i="24"/>
  <c r="L34" i="24"/>
  <c r="K33" i="24"/>
  <c r="L33" i="24"/>
  <c r="M35" i="24" l="1"/>
  <c r="N35" i="24"/>
  <c r="M36" i="24"/>
  <c r="N36" i="24"/>
  <c r="K35" i="24"/>
  <c r="L35" i="24"/>
  <c r="K36" i="24"/>
  <c r="L36" i="24"/>
  <c r="M38" i="24" l="1"/>
  <c r="N38" i="24"/>
  <c r="M37" i="24"/>
  <c r="N37" i="24"/>
  <c r="K38" i="24"/>
  <c r="L38" i="24"/>
  <c r="K37" i="24"/>
  <c r="L37" i="24"/>
  <c r="M39" i="24" l="1"/>
  <c r="N39" i="24"/>
  <c r="M40" i="24"/>
  <c r="N40" i="24"/>
  <c r="K39" i="24"/>
  <c r="L39" i="24"/>
  <c r="K40" i="24"/>
  <c r="L40" i="24"/>
  <c r="M42" i="24" l="1"/>
  <c r="N42" i="24"/>
  <c r="M41" i="24"/>
  <c r="N41" i="24"/>
  <c r="K42" i="24"/>
  <c r="L42" i="24"/>
  <c r="K41" i="24"/>
  <c r="L41" i="24"/>
  <c r="M43" i="24" l="1"/>
  <c r="N43" i="24"/>
  <c r="M44" i="24"/>
  <c r="N44" i="24"/>
  <c r="K43" i="24"/>
  <c r="L43" i="24"/>
  <c r="K44" i="24"/>
  <c r="L44" i="24"/>
  <c r="M46" i="24" l="1"/>
  <c r="N46" i="24"/>
  <c r="M45" i="24"/>
  <c r="N45" i="24"/>
  <c r="K46" i="24"/>
  <c r="L46" i="24"/>
  <c r="K45" i="24"/>
  <c r="L45" i="24"/>
  <c r="M47" i="24" l="1"/>
  <c r="N47" i="24"/>
  <c r="M48" i="24"/>
  <c r="N48" i="24"/>
  <c r="K47" i="24"/>
  <c r="L47" i="24"/>
  <c r="K48" i="24"/>
  <c r="L48" i="24"/>
  <c r="M50" i="24" l="1"/>
  <c r="N50" i="24"/>
  <c r="M49" i="24"/>
  <c r="N49" i="24"/>
  <c r="K50" i="24"/>
  <c r="L50" i="24"/>
  <c r="K49" i="24"/>
  <c r="L49" i="24"/>
  <c r="M51" i="24" l="1"/>
  <c r="N51" i="24"/>
  <c r="M52" i="24"/>
  <c r="N52" i="24"/>
  <c r="K51" i="24"/>
  <c r="L51" i="24"/>
  <c r="K52" i="24"/>
  <c r="L52" i="24"/>
  <c r="M54" i="24" l="1"/>
  <c r="N54" i="24"/>
  <c r="M53" i="24"/>
  <c r="N53" i="24"/>
  <c r="K54" i="24"/>
  <c r="L54" i="24"/>
  <c r="K53" i="24"/>
  <c r="L53" i="24"/>
  <c r="M55" i="24" l="1"/>
  <c r="N55" i="24"/>
  <c r="M56" i="24"/>
  <c r="N56" i="24"/>
  <c r="K55" i="24"/>
  <c r="L55" i="24"/>
  <c r="K56" i="24"/>
  <c r="L56" i="24"/>
  <c r="M58" i="24" l="1"/>
  <c r="N58" i="24"/>
  <c r="M57" i="24"/>
  <c r="N57" i="24"/>
  <c r="K58" i="24"/>
  <c r="L58" i="24"/>
  <c r="K57" i="24"/>
  <c r="L57" i="24"/>
  <c r="M59" i="24" l="1"/>
  <c r="N59" i="24"/>
  <c r="M60" i="24"/>
  <c r="N60" i="24"/>
  <c r="K59" i="24"/>
  <c r="L59" i="24"/>
  <c r="K60" i="24"/>
  <c r="L60" i="24"/>
  <c r="M62" i="24" l="1"/>
  <c r="N62" i="24"/>
  <c r="M61" i="24"/>
  <c r="N61" i="24"/>
  <c r="K62" i="24"/>
  <c r="L62" i="24"/>
  <c r="K61" i="24"/>
  <c r="L61" i="24"/>
  <c r="M63" i="24" l="1"/>
  <c r="N63" i="24"/>
  <c r="M64" i="24"/>
  <c r="N64" i="24"/>
  <c r="K63" i="24"/>
  <c r="L63" i="24"/>
  <c r="K64" i="24"/>
  <c r="L64" i="24"/>
  <c r="M66" i="24" l="1"/>
  <c r="N66" i="24"/>
  <c r="M65" i="24"/>
  <c r="N65" i="24"/>
  <c r="K66" i="24"/>
  <c r="L66" i="24"/>
  <c r="K65" i="24"/>
  <c r="L65" i="24"/>
  <c r="M67" i="24" l="1"/>
  <c r="N67" i="24"/>
  <c r="M68" i="24"/>
  <c r="N68" i="24"/>
  <c r="K67" i="24"/>
  <c r="L67" i="24"/>
  <c r="K68" i="24"/>
  <c r="L68" i="24"/>
  <c r="M70" i="24" l="1"/>
  <c r="N70" i="24"/>
  <c r="M69" i="24"/>
  <c r="N69" i="24"/>
  <c r="K70" i="24"/>
  <c r="L70" i="24"/>
  <c r="K69" i="24"/>
  <c r="L69" i="24"/>
  <c r="M71" i="24" l="1"/>
  <c r="N71" i="24"/>
  <c r="M72" i="24"/>
  <c r="N72" i="24"/>
  <c r="K71" i="24"/>
  <c r="L71" i="24"/>
  <c r="K72" i="24"/>
  <c r="L72" i="24"/>
  <c r="M74" i="24" l="1"/>
  <c r="N74" i="24"/>
  <c r="M73" i="24"/>
  <c r="N73" i="24"/>
  <c r="K74" i="24"/>
  <c r="L74" i="24"/>
  <c r="K73" i="24"/>
  <c r="L73" i="24"/>
  <c r="M75" i="24" l="1"/>
  <c r="N75" i="24"/>
  <c r="M76" i="24"/>
  <c r="N76" i="24"/>
  <c r="K75" i="24"/>
  <c r="L75" i="24"/>
  <c r="K76" i="24"/>
  <c r="L76" i="24"/>
  <c r="M78" i="24" l="1"/>
  <c r="N78" i="24"/>
  <c r="M77" i="24"/>
  <c r="N77" i="24"/>
  <c r="K78" i="24"/>
  <c r="L78" i="24"/>
  <c r="K77" i="24"/>
  <c r="L77" i="24"/>
  <c r="M79" i="24" l="1"/>
  <c r="N79" i="24"/>
  <c r="M80" i="24"/>
  <c r="N80" i="24"/>
  <c r="K79" i="24"/>
  <c r="L79" i="24"/>
  <c r="K80" i="24"/>
  <c r="L80" i="24"/>
  <c r="M82" i="24" l="1"/>
  <c r="N82" i="24"/>
  <c r="M81" i="24"/>
  <c r="N81" i="24"/>
  <c r="K82" i="24"/>
  <c r="L82" i="24"/>
  <c r="K81" i="24"/>
  <c r="L81" i="24"/>
  <c r="M83" i="24" l="1"/>
  <c r="N83" i="24"/>
  <c r="M84" i="24"/>
  <c r="N84" i="24"/>
  <c r="K83" i="24"/>
  <c r="L83" i="24"/>
  <c r="K84" i="24"/>
  <c r="L84" i="24"/>
  <c r="M86" i="24" l="1"/>
  <c r="N86" i="24"/>
  <c r="M85" i="24"/>
  <c r="N85" i="24"/>
  <c r="K86" i="24"/>
  <c r="L86" i="24"/>
  <c r="K85" i="24"/>
  <c r="L85" i="24"/>
  <c r="M87" i="24" l="1"/>
  <c r="N87" i="24"/>
  <c r="M88" i="24"/>
  <c r="N88" i="24"/>
  <c r="K87" i="24"/>
  <c r="L87" i="24"/>
  <c r="K88" i="24"/>
  <c r="L88" i="24"/>
  <c r="M90" i="24" l="1"/>
  <c r="N90" i="24"/>
  <c r="M89" i="24"/>
  <c r="N89" i="24"/>
  <c r="K90" i="24"/>
  <c r="L90" i="24"/>
  <c r="K89" i="24"/>
  <c r="L89" i="24"/>
  <c r="M91" i="24" l="1"/>
  <c r="N91" i="24"/>
  <c r="M92" i="24"/>
  <c r="N92" i="24"/>
  <c r="K91" i="24"/>
  <c r="L91" i="24"/>
  <c r="K92" i="24"/>
  <c r="L92" i="24"/>
  <c r="M94" i="24" l="1"/>
  <c r="N94" i="24"/>
  <c r="M93" i="24"/>
  <c r="N93" i="24"/>
  <c r="K94" i="24"/>
  <c r="L94" i="24"/>
  <c r="K93" i="24"/>
  <c r="L93" i="24"/>
  <c r="M95" i="24" l="1"/>
  <c r="N95" i="24"/>
  <c r="M96" i="24"/>
  <c r="N96" i="24"/>
  <c r="K95" i="24"/>
  <c r="L95" i="24"/>
  <c r="K96" i="24"/>
  <c r="L96" i="24"/>
  <c r="M98" i="24" l="1"/>
  <c r="N98" i="24"/>
  <c r="M97" i="24"/>
  <c r="N97" i="24"/>
  <c r="K98" i="24"/>
  <c r="L98" i="24"/>
  <c r="K97" i="24"/>
  <c r="L97" i="24"/>
  <c r="M99" i="24" l="1"/>
  <c r="N99" i="24"/>
  <c r="M100" i="24"/>
  <c r="N100" i="24"/>
  <c r="K99" i="24"/>
  <c r="L99" i="24"/>
  <c r="K100" i="24"/>
  <c r="L100" i="24"/>
  <c r="M102" i="24" l="1"/>
  <c r="N102" i="24"/>
  <c r="M101" i="24"/>
  <c r="N101" i="24"/>
  <c r="K102" i="24"/>
  <c r="L102" i="24"/>
  <c r="K101" i="24"/>
  <c r="L101" i="24"/>
  <c r="M103" i="24" l="1"/>
  <c r="N103" i="24"/>
  <c r="M104" i="24"/>
  <c r="N104" i="24"/>
  <c r="K103" i="24"/>
  <c r="L103" i="24"/>
  <c r="K104" i="24"/>
  <c r="L104" i="24"/>
  <c r="M106" i="24" l="1"/>
  <c r="N106" i="24"/>
  <c r="M105" i="24"/>
  <c r="N105" i="24"/>
  <c r="K106" i="24"/>
  <c r="L106" i="24"/>
  <c r="K105" i="24"/>
  <c r="L105" i="24"/>
  <c r="M107" i="24" l="1"/>
  <c r="N107" i="24"/>
  <c r="M108" i="24"/>
  <c r="N108" i="24"/>
  <c r="K107" i="24"/>
  <c r="L107" i="24"/>
  <c r="K108" i="24"/>
  <c r="L108" i="24"/>
  <c r="M110" i="24" l="1"/>
  <c r="N110" i="24"/>
  <c r="M109" i="24"/>
  <c r="N109" i="24"/>
  <c r="K110" i="24"/>
  <c r="L110" i="24"/>
  <c r="K109" i="24"/>
  <c r="L109" i="24"/>
  <c r="M111" i="24" l="1"/>
  <c r="N111" i="24"/>
  <c r="M112" i="24"/>
  <c r="N112" i="24"/>
  <c r="K111" i="24"/>
  <c r="L111" i="24"/>
  <c r="K112" i="24"/>
  <c r="L112" i="24"/>
  <c r="M114" i="24" l="1"/>
  <c r="N114" i="24"/>
  <c r="M113" i="24"/>
  <c r="N113" i="24"/>
  <c r="K114" i="24"/>
  <c r="L114" i="24"/>
  <c r="K113" i="24"/>
  <c r="L113" i="24"/>
  <c r="M115" i="24" l="1"/>
  <c r="N115" i="24"/>
  <c r="M116" i="24"/>
  <c r="N116" i="24"/>
  <c r="K115" i="24"/>
  <c r="L115" i="24"/>
  <c r="K116" i="24"/>
  <c r="L116" i="24"/>
  <c r="M118" i="24" l="1"/>
  <c r="N118" i="24"/>
  <c r="M117" i="24"/>
  <c r="N117" i="24"/>
  <c r="K118" i="24"/>
  <c r="L118" i="24"/>
  <c r="K117" i="24"/>
  <c r="L117" i="24"/>
  <c r="M119" i="24" l="1"/>
  <c r="N119" i="24"/>
  <c r="M120" i="24"/>
  <c r="N120" i="24"/>
  <c r="K119" i="24"/>
  <c r="L119" i="24"/>
  <c r="K120" i="24"/>
  <c r="L120" i="24"/>
  <c r="M122" i="24" l="1"/>
  <c r="N122" i="24"/>
  <c r="M121" i="24"/>
  <c r="N121" i="24"/>
  <c r="K122" i="24"/>
  <c r="L122" i="24"/>
  <c r="K121" i="24"/>
  <c r="L121" i="24"/>
  <c r="M123" i="24" l="1"/>
  <c r="N123" i="24"/>
  <c r="M124" i="24"/>
  <c r="N124" i="24"/>
  <c r="K123" i="24"/>
  <c r="L123" i="24"/>
  <c r="K124" i="24"/>
  <c r="L124" i="24"/>
  <c r="M126" i="24" l="1"/>
  <c r="N126" i="24"/>
  <c r="M125" i="24"/>
  <c r="N125" i="24"/>
  <c r="K126" i="24"/>
  <c r="L126" i="24"/>
  <c r="K125" i="24"/>
  <c r="L125" i="24"/>
  <c r="M127" i="24" l="1"/>
  <c r="N127" i="24"/>
  <c r="M128" i="24"/>
  <c r="N128" i="24"/>
  <c r="K127" i="24"/>
  <c r="L127" i="24"/>
  <c r="K128" i="24"/>
  <c r="L128" i="24"/>
  <c r="M130" i="24" l="1"/>
  <c r="N130" i="24"/>
  <c r="M129" i="24"/>
  <c r="N129" i="24"/>
  <c r="K130" i="24"/>
  <c r="L130" i="24"/>
  <c r="K129" i="24"/>
  <c r="L129" i="24"/>
  <c r="M131" i="24" l="1"/>
  <c r="N131" i="24"/>
  <c r="M132" i="24"/>
  <c r="N132" i="24"/>
  <c r="K131" i="24"/>
  <c r="L131" i="24"/>
  <c r="K132" i="24"/>
  <c r="L132" i="24"/>
  <c r="M134" i="24" l="1"/>
  <c r="N134" i="24"/>
  <c r="M133" i="24"/>
  <c r="N133" i="24"/>
  <c r="K134" i="24"/>
  <c r="L134" i="24"/>
  <c r="K133" i="24"/>
  <c r="L133" i="24"/>
  <c r="M135" i="24" l="1"/>
  <c r="N135" i="24"/>
  <c r="M136" i="24"/>
  <c r="N136" i="24"/>
  <c r="K135" i="24"/>
  <c r="L135" i="24"/>
  <c r="K136" i="24"/>
  <c r="L136" i="24"/>
  <c r="M138" i="24" l="1"/>
  <c r="N138" i="24"/>
  <c r="M137" i="24"/>
  <c r="N137" i="24"/>
  <c r="K138" i="24"/>
  <c r="L138" i="24"/>
  <c r="K137" i="24"/>
  <c r="L137" i="24"/>
  <c r="M139" i="24" l="1"/>
  <c r="N139" i="24"/>
  <c r="M140" i="24"/>
  <c r="N140" i="24"/>
  <c r="K139" i="24"/>
  <c r="L139" i="24"/>
  <c r="K140" i="24"/>
  <c r="L140" i="24"/>
  <c r="M142" i="24" l="1"/>
  <c r="N142" i="24"/>
  <c r="M141" i="24"/>
  <c r="N141" i="24"/>
  <c r="K142" i="24"/>
  <c r="L142" i="24"/>
  <c r="K141" i="24"/>
  <c r="L141" i="24"/>
  <c r="M143" i="24" l="1"/>
  <c r="N143" i="24"/>
  <c r="M144" i="24"/>
  <c r="N144" i="24"/>
  <c r="K143" i="24"/>
  <c r="L143" i="24"/>
  <c r="K144" i="24"/>
  <c r="L144" i="24"/>
  <c r="M146" i="24" l="1"/>
  <c r="N146" i="24"/>
  <c r="M145" i="24"/>
  <c r="N145" i="24"/>
  <c r="K146" i="24"/>
  <c r="L146" i="24"/>
  <c r="K145" i="24"/>
  <c r="L145" i="24"/>
  <c r="M147" i="24" l="1"/>
  <c r="N147" i="24"/>
  <c r="M148" i="24"/>
  <c r="N148" i="24"/>
  <c r="K147" i="24"/>
  <c r="L147" i="24"/>
  <c r="K148" i="24"/>
  <c r="L148" i="24"/>
  <c r="M150" i="24" l="1"/>
  <c r="N150" i="24"/>
  <c r="M149" i="24"/>
  <c r="N149" i="24"/>
  <c r="K150" i="24"/>
  <c r="L150" i="24"/>
  <c r="K149" i="24"/>
  <c r="L149" i="24"/>
  <c r="M151" i="24" l="1"/>
  <c r="N151" i="24"/>
  <c r="M152" i="24"/>
  <c r="N152" i="24"/>
  <c r="K151" i="24"/>
  <c r="L151" i="24"/>
  <c r="K152" i="24"/>
  <c r="L152" i="24"/>
  <c r="M154" i="24" l="1"/>
  <c r="N154" i="24"/>
  <c r="M153" i="24"/>
  <c r="N153" i="24"/>
  <c r="K154" i="24"/>
  <c r="L154" i="24"/>
  <c r="K153" i="24"/>
  <c r="L153" i="24"/>
  <c r="M155" i="24" l="1"/>
  <c r="N155" i="24"/>
  <c r="M156" i="24"/>
  <c r="N156" i="24"/>
  <c r="K155" i="24"/>
  <c r="L155" i="24"/>
  <c r="K156" i="24"/>
  <c r="L156" i="24"/>
  <c r="M158" i="24" l="1"/>
  <c r="N158" i="24"/>
  <c r="M157" i="24"/>
  <c r="N157" i="24"/>
  <c r="K158" i="24"/>
  <c r="L158" i="24"/>
  <c r="K157" i="24"/>
  <c r="L157" i="24"/>
  <c r="M159" i="24" l="1"/>
  <c r="N159" i="24"/>
  <c r="M160" i="24"/>
  <c r="N160" i="24"/>
  <c r="K159" i="24"/>
  <c r="L159" i="24"/>
  <c r="K160" i="24"/>
  <c r="L160" i="24"/>
  <c r="M162" i="24" l="1"/>
  <c r="N162" i="24"/>
  <c r="M161" i="24"/>
  <c r="N161" i="24"/>
  <c r="K162" i="24"/>
  <c r="L162" i="24"/>
  <c r="K161" i="24"/>
  <c r="L161" i="24"/>
  <c r="M163" i="24" l="1"/>
  <c r="N163" i="24"/>
  <c r="M164" i="24"/>
  <c r="N164" i="24"/>
  <c r="K163" i="24"/>
  <c r="L163" i="24"/>
  <c r="K164" i="24"/>
  <c r="L164" i="24"/>
  <c r="M166" i="24" l="1"/>
  <c r="N166" i="24"/>
  <c r="M165" i="24"/>
  <c r="N165" i="24"/>
  <c r="K166" i="24"/>
  <c r="L166" i="24"/>
  <c r="K165" i="24"/>
  <c r="L165" i="24"/>
  <c r="M167" i="24" l="1"/>
  <c r="N167" i="24"/>
  <c r="M168" i="24"/>
  <c r="N168" i="24"/>
  <c r="K167" i="24"/>
  <c r="L167" i="24"/>
  <c r="K168" i="24"/>
  <c r="L168" i="24"/>
  <c r="M170" i="24" l="1"/>
  <c r="N170" i="24"/>
  <c r="M169" i="24"/>
  <c r="N169" i="24"/>
  <c r="K170" i="24"/>
  <c r="L170" i="24"/>
  <c r="K169" i="24"/>
  <c r="L169" i="24"/>
  <c r="M171" i="24" l="1"/>
  <c r="N171" i="24"/>
  <c r="M172" i="24"/>
  <c r="N172" i="24"/>
  <c r="K171" i="24"/>
  <c r="L171" i="24"/>
  <c r="K172" i="24"/>
  <c r="L172" i="24"/>
  <c r="M174" i="24" l="1"/>
  <c r="N174" i="24"/>
  <c r="M173" i="24"/>
  <c r="N173" i="24"/>
  <c r="K174" i="24"/>
  <c r="L174" i="24"/>
  <c r="K173" i="24"/>
  <c r="L173" i="24"/>
  <c r="M175" i="24" l="1"/>
  <c r="N175" i="24"/>
  <c r="M176" i="24"/>
  <c r="N176" i="24"/>
  <c r="K175" i="24"/>
  <c r="L175" i="24"/>
  <c r="K176" i="24"/>
  <c r="L176" i="24"/>
  <c r="M178" i="24" l="1"/>
  <c r="N178" i="24"/>
  <c r="M177" i="24"/>
  <c r="N177" i="24"/>
  <c r="K178" i="24"/>
  <c r="L178" i="24"/>
  <c r="K177" i="24"/>
  <c r="L177" i="24"/>
  <c r="M179" i="24" l="1"/>
  <c r="N179" i="24"/>
  <c r="M180" i="24"/>
  <c r="N180" i="24"/>
  <c r="K179" i="24"/>
  <c r="L179" i="24"/>
  <c r="K180" i="24"/>
  <c r="L180" i="24"/>
  <c r="M182" i="24" l="1"/>
  <c r="N182" i="24"/>
  <c r="M181" i="24"/>
  <c r="N181" i="24"/>
  <c r="K182" i="24"/>
  <c r="L182" i="24"/>
  <c r="K181" i="24"/>
  <c r="L181" i="24"/>
  <c r="M183" i="24" l="1"/>
  <c r="N183" i="24"/>
  <c r="M184" i="24"/>
  <c r="N184" i="24"/>
  <c r="K183" i="24"/>
  <c r="L183" i="24"/>
  <c r="K184" i="24"/>
  <c r="L184" i="24"/>
  <c r="M186" i="24" l="1"/>
  <c r="N186" i="24"/>
  <c r="M185" i="24"/>
  <c r="N185" i="24"/>
  <c r="K186" i="24"/>
  <c r="L186" i="24"/>
  <c r="K185" i="24"/>
  <c r="L185" i="24"/>
  <c r="M187" i="24" l="1"/>
  <c r="N187" i="24"/>
  <c r="M188" i="24"/>
  <c r="N188" i="24"/>
  <c r="K187" i="24"/>
  <c r="L187" i="24"/>
  <c r="K188" i="24"/>
  <c r="L188" i="24"/>
  <c r="M190" i="24" l="1"/>
  <c r="N190" i="24"/>
  <c r="M189" i="24"/>
  <c r="N189" i="24"/>
  <c r="K190" i="24"/>
  <c r="L190" i="24"/>
  <c r="K189" i="24"/>
  <c r="L189" i="24"/>
  <c r="M191" i="24" l="1"/>
  <c r="N191" i="24"/>
  <c r="M192" i="24"/>
  <c r="N192" i="24"/>
  <c r="K191" i="24"/>
  <c r="L191" i="24"/>
  <c r="K192" i="24"/>
  <c r="L192" i="24"/>
  <c r="M194" i="24" l="1"/>
  <c r="N194" i="24"/>
  <c r="M193" i="24"/>
  <c r="N193" i="24"/>
  <c r="K194" i="24"/>
  <c r="L194" i="24"/>
  <c r="K193" i="24"/>
  <c r="L193" i="24"/>
  <c r="M195" i="24" l="1"/>
  <c r="N195" i="24"/>
  <c r="M196" i="24"/>
  <c r="N196" i="24"/>
  <c r="K195" i="24"/>
  <c r="L195" i="24"/>
  <c r="K196" i="24"/>
  <c r="L196" i="24"/>
  <c r="M198" i="24" l="1"/>
  <c r="N198" i="24"/>
  <c r="M197" i="24"/>
  <c r="N197" i="24"/>
  <c r="K198" i="24"/>
  <c r="L198" i="24"/>
  <c r="K197" i="24"/>
  <c r="L197" i="24"/>
  <c r="M199" i="24" l="1"/>
  <c r="N199" i="24"/>
  <c r="M200" i="24"/>
  <c r="N200" i="24"/>
  <c r="K199" i="24"/>
  <c r="L199" i="24"/>
  <c r="K200" i="24"/>
  <c r="L200" i="24"/>
  <c r="M202" i="24" l="1"/>
  <c r="N202" i="24"/>
  <c r="M201" i="24"/>
  <c r="N201" i="24"/>
  <c r="K202" i="24"/>
  <c r="L202" i="24"/>
  <c r="K201" i="24"/>
  <c r="L201" i="24"/>
  <c r="M203" i="24" l="1"/>
  <c r="N203" i="24"/>
  <c r="M204" i="24"/>
  <c r="N204" i="24"/>
  <c r="K203" i="24"/>
  <c r="L203" i="24"/>
  <c r="K204" i="24"/>
  <c r="L204" i="24"/>
  <c r="M206" i="24" l="1"/>
  <c r="N206" i="24"/>
  <c r="M205" i="24"/>
  <c r="N205" i="24"/>
  <c r="K206" i="24"/>
  <c r="L206" i="24"/>
  <c r="K205" i="24"/>
  <c r="L205" i="24"/>
  <c r="M207" i="24" l="1"/>
  <c r="N207" i="24"/>
  <c r="M208" i="24"/>
  <c r="N208" i="24"/>
  <c r="K207" i="24"/>
  <c r="L207" i="24"/>
  <c r="K208" i="24"/>
  <c r="L208" i="24"/>
  <c r="M210" i="24" l="1"/>
  <c r="N210" i="24"/>
  <c r="M209" i="24"/>
  <c r="N209" i="24"/>
  <c r="K210" i="24"/>
  <c r="L210" i="24"/>
  <c r="K209" i="24"/>
  <c r="L209" i="24"/>
  <c r="M211" i="24" l="1"/>
  <c r="N211" i="24"/>
  <c r="M212" i="24"/>
  <c r="N212" i="24"/>
  <c r="K211" i="24"/>
  <c r="L211" i="24"/>
  <c r="K212" i="24"/>
  <c r="L212" i="24"/>
  <c r="M214" i="24" l="1"/>
  <c r="N214" i="24"/>
  <c r="M213" i="24"/>
  <c r="N213" i="24"/>
  <c r="K214" i="24"/>
  <c r="L214" i="24"/>
  <c r="K213" i="24"/>
  <c r="L213" i="24"/>
  <c r="M215" i="24" l="1"/>
  <c r="N215" i="24"/>
  <c r="M216" i="24"/>
  <c r="N216" i="24"/>
  <c r="K215" i="24"/>
  <c r="L215" i="24"/>
  <c r="K216" i="24"/>
  <c r="L216" i="24"/>
  <c r="M218" i="24" l="1"/>
  <c r="N218" i="24"/>
  <c r="M217" i="24"/>
  <c r="N217" i="24"/>
  <c r="K218" i="24"/>
  <c r="L218" i="24"/>
  <c r="K217" i="24"/>
  <c r="L217" i="24"/>
  <c r="M219" i="24" l="1"/>
  <c r="N219" i="24"/>
  <c r="M220" i="24"/>
  <c r="N220" i="24"/>
  <c r="K219" i="24"/>
  <c r="L219" i="24"/>
  <c r="K220" i="24"/>
  <c r="L220" i="24"/>
  <c r="M222" i="24" l="1"/>
  <c r="N222" i="24"/>
  <c r="M221" i="24"/>
  <c r="N221" i="24"/>
  <c r="K222" i="24"/>
  <c r="L222" i="24"/>
  <c r="K221" i="24"/>
  <c r="L221" i="24"/>
  <c r="M223" i="24" l="1"/>
  <c r="N223" i="24"/>
  <c r="M224" i="24"/>
  <c r="N224" i="24"/>
  <c r="K223" i="24"/>
  <c r="L223" i="24"/>
  <c r="K224" i="24"/>
  <c r="L224" i="24"/>
  <c r="M226" i="24" l="1"/>
  <c r="N226" i="24"/>
  <c r="M225" i="24"/>
  <c r="N225" i="24"/>
  <c r="K226" i="24"/>
  <c r="L226" i="24"/>
  <c r="K225" i="24"/>
  <c r="L225" i="24"/>
  <c r="M227" i="24" l="1"/>
  <c r="N227" i="24"/>
  <c r="M228" i="24"/>
  <c r="N228" i="24"/>
  <c r="K227" i="24"/>
  <c r="L227" i="24"/>
  <c r="K228" i="24"/>
  <c r="L228" i="24"/>
  <c r="M230" i="24" l="1"/>
  <c r="N230" i="24"/>
  <c r="M229" i="24"/>
  <c r="N229" i="24"/>
  <c r="K230" i="24"/>
  <c r="L230" i="24"/>
  <c r="K229" i="24"/>
  <c r="L229" i="24"/>
  <c r="M231" i="24" l="1"/>
  <c r="N231" i="24"/>
  <c r="M232" i="24"/>
  <c r="N232" i="24"/>
  <c r="K231" i="24"/>
  <c r="L231" i="24"/>
  <c r="K232" i="24"/>
  <c r="L232" i="24"/>
  <c r="M234" i="24" l="1"/>
  <c r="N234" i="24"/>
  <c r="M233" i="24"/>
  <c r="N233" i="24"/>
  <c r="K234" i="24"/>
  <c r="L234" i="24"/>
  <c r="K233" i="24"/>
  <c r="L233" i="24"/>
  <c r="M235" i="24" l="1"/>
  <c r="N235" i="24"/>
  <c r="M236" i="24"/>
  <c r="N236" i="24"/>
  <c r="K235" i="24"/>
  <c r="L235" i="24"/>
  <c r="K236" i="24"/>
  <c r="L236" i="24"/>
  <c r="M238" i="24" l="1"/>
  <c r="N238" i="24"/>
  <c r="M237" i="24"/>
  <c r="N237" i="24"/>
  <c r="K238" i="24"/>
  <c r="L238" i="24"/>
  <c r="K237" i="24"/>
  <c r="L237" i="24"/>
  <c r="M239" i="24" l="1"/>
  <c r="N239" i="24"/>
  <c r="M240" i="24"/>
  <c r="N240" i="24"/>
  <c r="K239" i="24"/>
  <c r="L239" i="24"/>
  <c r="K240" i="24"/>
  <c r="L240" i="24"/>
  <c r="M242" i="24" l="1"/>
  <c r="N242" i="24"/>
  <c r="M241" i="24"/>
  <c r="N241" i="24"/>
  <c r="K242" i="24"/>
  <c r="L242" i="24"/>
  <c r="K241" i="24"/>
  <c r="L241" i="24"/>
  <c r="M243" i="24" l="1"/>
  <c r="N243" i="24"/>
  <c r="M244" i="24"/>
  <c r="N244" i="24"/>
  <c r="K243" i="24"/>
  <c r="L243" i="24"/>
  <c r="K244" i="24"/>
  <c r="L244" i="24"/>
  <c r="M246" i="24" l="1"/>
  <c r="N246" i="24"/>
  <c r="M245" i="24"/>
  <c r="N245" i="24"/>
  <c r="K246" i="24"/>
  <c r="L246" i="24"/>
  <c r="K245" i="24"/>
  <c r="L245" i="24"/>
  <c r="M247" i="24" l="1"/>
  <c r="N247" i="24"/>
  <c r="M248" i="24"/>
  <c r="N248" i="24"/>
  <c r="K247" i="24"/>
  <c r="L247" i="24"/>
  <c r="K248" i="24"/>
  <c r="L248" i="24"/>
  <c r="M250" i="24" l="1"/>
  <c r="N250" i="24"/>
  <c r="M249" i="24"/>
  <c r="N249" i="24"/>
  <c r="K250" i="24"/>
  <c r="L250" i="24"/>
  <c r="K249" i="24"/>
  <c r="L249" i="24"/>
  <c r="M251" i="24" l="1"/>
  <c r="N251" i="24"/>
  <c r="M252" i="24"/>
  <c r="N252" i="24"/>
  <c r="K251" i="24"/>
  <c r="L251" i="24"/>
  <c r="K252" i="24"/>
  <c r="L252" i="24"/>
  <c r="M254" i="24" l="1"/>
  <c r="N254" i="24"/>
  <c r="M253" i="24"/>
  <c r="N253" i="24"/>
  <c r="K254" i="24"/>
  <c r="L254" i="24"/>
  <c r="K253" i="24"/>
  <c r="L253" i="24"/>
  <c r="M255" i="24" l="1"/>
  <c r="N255" i="24"/>
  <c r="M256" i="24"/>
  <c r="N256" i="24"/>
  <c r="K255" i="24"/>
  <c r="L255" i="24"/>
  <c r="K256" i="24"/>
  <c r="L256" i="24"/>
  <c r="M258" i="24" l="1"/>
  <c r="N258" i="24"/>
  <c r="M257" i="24"/>
  <c r="N257" i="24"/>
  <c r="K258" i="24"/>
  <c r="L258" i="24"/>
  <c r="K257" i="24"/>
  <c r="L257" i="24"/>
  <c r="M259" i="24" l="1"/>
  <c r="N259" i="24"/>
  <c r="M260" i="24"/>
  <c r="N260" i="24"/>
  <c r="K259" i="24"/>
  <c r="L259" i="24"/>
  <c r="K260" i="24"/>
  <c r="L260" i="24"/>
  <c r="M262" i="24" l="1"/>
  <c r="N262" i="24"/>
  <c r="M261" i="24"/>
  <c r="N261" i="24"/>
  <c r="K262" i="24"/>
  <c r="L262" i="24"/>
  <c r="K261" i="24"/>
  <c r="L261" i="24"/>
  <c r="M263" i="24" l="1"/>
  <c r="N263" i="24"/>
  <c r="M264" i="24"/>
  <c r="N264" i="24"/>
  <c r="K263" i="24"/>
  <c r="L263" i="24"/>
  <c r="K264" i="24"/>
  <c r="L264" i="24"/>
  <c r="M266" i="24" l="1"/>
  <c r="N266" i="24"/>
  <c r="M265" i="24"/>
  <c r="N265" i="24"/>
  <c r="K266" i="24"/>
  <c r="L266" i="24"/>
  <c r="K265" i="24"/>
  <c r="L265" i="24"/>
  <c r="M267" i="24" l="1"/>
  <c r="N267" i="24"/>
  <c r="M268" i="24"/>
  <c r="N268" i="24"/>
  <c r="K267" i="24"/>
  <c r="L267" i="24"/>
  <c r="K268" i="24"/>
  <c r="L268" i="24"/>
  <c r="M270" i="24" l="1"/>
  <c r="N270" i="24"/>
  <c r="M269" i="24"/>
  <c r="N269" i="24"/>
  <c r="K270" i="24"/>
  <c r="L270" i="24"/>
  <c r="K269" i="24"/>
  <c r="L269" i="24"/>
  <c r="M271" i="24" l="1"/>
  <c r="N271" i="24"/>
  <c r="M272" i="24"/>
  <c r="N272" i="24"/>
  <c r="K271" i="24"/>
  <c r="L271" i="24"/>
  <c r="K272" i="24"/>
  <c r="L272" i="24"/>
  <c r="M274" i="24" l="1"/>
  <c r="N274" i="24"/>
  <c r="M273" i="24"/>
  <c r="N273" i="24"/>
  <c r="K274" i="24"/>
  <c r="L274" i="24"/>
  <c r="K273" i="24"/>
  <c r="L273" i="24"/>
  <c r="M275" i="24" l="1"/>
  <c r="N275" i="24"/>
  <c r="M276" i="24"/>
  <c r="N276" i="24"/>
  <c r="K275" i="24"/>
  <c r="L275" i="24"/>
  <c r="K276" i="24"/>
  <c r="L276" i="24"/>
  <c r="M278" i="24" l="1"/>
  <c r="N278" i="24"/>
  <c r="M277" i="24"/>
  <c r="N277" i="24"/>
  <c r="K278" i="24"/>
  <c r="L278" i="24"/>
  <c r="K277" i="24"/>
  <c r="L277" i="24"/>
  <c r="M279" i="24" l="1"/>
  <c r="N279" i="24"/>
  <c r="M280" i="24"/>
  <c r="N280" i="24"/>
  <c r="K279" i="24"/>
  <c r="L279" i="24"/>
  <c r="K280" i="24"/>
  <c r="L280" i="24"/>
  <c r="M282" i="24" l="1"/>
  <c r="N282" i="24"/>
  <c r="M281" i="24"/>
  <c r="N281" i="24"/>
  <c r="K282" i="24"/>
  <c r="L282" i="24"/>
  <c r="K281" i="24"/>
  <c r="L281" i="24"/>
  <c r="M283" i="24" l="1"/>
  <c r="N283" i="24"/>
  <c r="M284" i="24"/>
  <c r="N284" i="24"/>
  <c r="K283" i="24"/>
  <c r="L283" i="24"/>
  <c r="K284" i="24"/>
  <c r="L284" i="24"/>
  <c r="M286" i="24" l="1"/>
  <c r="N286" i="24"/>
  <c r="M285" i="24"/>
  <c r="N285" i="24"/>
  <c r="K286" i="24"/>
  <c r="L286" i="24"/>
  <c r="K285" i="24"/>
  <c r="L285" i="24"/>
  <c r="M287" i="24" l="1"/>
  <c r="N287" i="24"/>
  <c r="M288" i="24"/>
  <c r="N288" i="24"/>
  <c r="K287" i="24"/>
  <c r="L287" i="24"/>
  <c r="K288" i="24"/>
  <c r="L288" i="24"/>
  <c r="M290" i="24" l="1"/>
  <c r="N290" i="24"/>
  <c r="M289" i="24"/>
  <c r="N289" i="24"/>
  <c r="K290" i="24"/>
  <c r="L290" i="24"/>
  <c r="K289" i="24"/>
  <c r="L289" i="24"/>
  <c r="M291" i="24" l="1"/>
  <c r="N291" i="24"/>
  <c r="M292" i="24"/>
  <c r="N292" i="24"/>
  <c r="K291" i="24"/>
  <c r="L291" i="24"/>
  <c r="K292" i="24"/>
  <c r="L292" i="24"/>
  <c r="M294" i="24" l="1"/>
  <c r="N294" i="24"/>
  <c r="M293" i="24"/>
  <c r="N293" i="24"/>
  <c r="K294" i="24"/>
  <c r="L294" i="24"/>
  <c r="K293" i="24"/>
  <c r="L293" i="24"/>
  <c r="M295" i="24" l="1"/>
  <c r="N295" i="24"/>
  <c r="M296" i="24"/>
  <c r="N296" i="24"/>
  <c r="K295" i="24"/>
  <c r="L295" i="24"/>
  <c r="K296" i="24"/>
  <c r="L296" i="24"/>
  <c r="M298" i="24" l="1"/>
  <c r="N298" i="24"/>
  <c r="M297" i="24"/>
  <c r="N297" i="24"/>
  <c r="K298" i="24"/>
  <c r="L298" i="24"/>
  <c r="K297" i="24"/>
  <c r="L297" i="24"/>
  <c r="M299" i="24" l="1"/>
  <c r="N299" i="24"/>
  <c r="M300" i="24"/>
  <c r="N300" i="24"/>
  <c r="K299" i="24"/>
  <c r="L299" i="24"/>
  <c r="K300" i="24"/>
  <c r="L300" i="24"/>
  <c r="M302" i="24" l="1"/>
  <c r="N302" i="24"/>
  <c r="M301" i="24"/>
  <c r="N301" i="24"/>
  <c r="K302" i="24"/>
  <c r="L302" i="24"/>
  <c r="K301" i="24"/>
  <c r="L301" i="24"/>
  <c r="M303" i="24" l="1"/>
  <c r="N303" i="24"/>
  <c r="M304" i="24"/>
  <c r="N304" i="24"/>
  <c r="K303" i="24"/>
  <c r="L303" i="24"/>
  <c r="K304" i="24"/>
  <c r="L304" i="24"/>
  <c r="M306" i="24" l="1"/>
  <c r="N306" i="24"/>
  <c r="M305" i="24"/>
  <c r="N305" i="24"/>
  <c r="K306" i="24"/>
  <c r="L306" i="24"/>
  <c r="K305" i="24"/>
  <c r="L305" i="24"/>
  <c r="M307" i="24" l="1"/>
  <c r="N307" i="24"/>
  <c r="M308" i="24"/>
  <c r="N308" i="24"/>
  <c r="K307" i="24"/>
  <c r="L307" i="24"/>
  <c r="K308" i="24"/>
  <c r="L308" i="24"/>
  <c r="M310" i="24" l="1"/>
  <c r="N310" i="24"/>
  <c r="M309" i="24"/>
  <c r="N309" i="24"/>
  <c r="K310" i="24"/>
  <c r="L310" i="24"/>
  <c r="K309" i="24"/>
  <c r="L309" i="24"/>
  <c r="M311" i="24" l="1"/>
  <c r="N311" i="24"/>
  <c r="M312" i="24"/>
  <c r="N312" i="24"/>
  <c r="K311" i="24"/>
  <c r="L311" i="24"/>
  <c r="K312" i="24"/>
  <c r="L312" i="24"/>
  <c r="M314" i="24" l="1"/>
  <c r="N314" i="24"/>
  <c r="M313" i="24"/>
  <c r="N313" i="24"/>
  <c r="K314" i="24"/>
  <c r="L314" i="24"/>
  <c r="K313" i="24"/>
  <c r="L313" i="24"/>
  <c r="M315" i="24" l="1"/>
  <c r="N315" i="24"/>
  <c r="M316" i="24"/>
  <c r="N316" i="24"/>
  <c r="K315" i="24"/>
  <c r="L315" i="24"/>
  <c r="K316" i="24"/>
  <c r="L316" i="24"/>
  <c r="M318" i="24" l="1"/>
  <c r="N318" i="24"/>
  <c r="M317" i="24"/>
  <c r="N317" i="24"/>
  <c r="K318" i="24"/>
  <c r="L318" i="24"/>
  <c r="K317" i="24"/>
  <c r="L317" i="24"/>
  <c r="M319" i="24" l="1"/>
  <c r="N319" i="24"/>
  <c r="M320" i="24"/>
  <c r="N320" i="24"/>
  <c r="K319" i="24"/>
  <c r="L319" i="24"/>
  <c r="K320" i="24"/>
  <c r="L320" i="24"/>
  <c r="M322" i="24" l="1"/>
  <c r="N322" i="24"/>
  <c r="M321" i="24"/>
  <c r="N321" i="24"/>
  <c r="K322" i="24"/>
  <c r="L322" i="24"/>
  <c r="K321" i="24"/>
  <c r="L321" i="24"/>
  <c r="M323" i="24" l="1"/>
  <c r="N323" i="24"/>
  <c r="M324" i="24"/>
  <c r="N324" i="24"/>
  <c r="K323" i="24"/>
  <c r="L323" i="24"/>
  <c r="K324" i="24"/>
  <c r="L324" i="24"/>
  <c r="M326" i="24" l="1"/>
  <c r="N326" i="24"/>
  <c r="M325" i="24"/>
  <c r="N325" i="24"/>
  <c r="K326" i="24"/>
  <c r="L326" i="24"/>
  <c r="K325" i="24"/>
  <c r="L325" i="24"/>
  <c r="M327" i="24" l="1"/>
  <c r="N327" i="24"/>
  <c r="M328" i="24"/>
  <c r="N328" i="24"/>
  <c r="K327" i="24"/>
  <c r="L327" i="24"/>
  <c r="K328" i="24"/>
  <c r="L328" i="24"/>
  <c r="M330" i="24" l="1"/>
  <c r="N330" i="24"/>
  <c r="M329" i="24"/>
  <c r="N329" i="24"/>
  <c r="K330" i="24"/>
  <c r="L330" i="24"/>
  <c r="K329" i="24"/>
  <c r="L329" i="24"/>
  <c r="M331" i="24" l="1"/>
  <c r="N331" i="24"/>
  <c r="M332" i="24"/>
  <c r="N332" i="24"/>
  <c r="K331" i="24"/>
  <c r="L331" i="24"/>
  <c r="K332" i="24"/>
  <c r="L332" i="24"/>
  <c r="M334" i="24" l="1"/>
  <c r="N334" i="24"/>
  <c r="M333" i="24"/>
  <c r="N333" i="24"/>
  <c r="K334" i="24"/>
  <c r="L334" i="24"/>
  <c r="K333" i="24"/>
  <c r="L333" i="24"/>
  <c r="M335" i="24" l="1"/>
  <c r="N335" i="24"/>
  <c r="M336" i="24"/>
  <c r="N336" i="24"/>
  <c r="K335" i="24"/>
  <c r="L335" i="24"/>
  <c r="K336" i="24"/>
  <c r="L336" i="24"/>
  <c r="M338" i="24" l="1"/>
  <c r="N338" i="24"/>
  <c r="M337" i="24"/>
  <c r="N337" i="24"/>
  <c r="K338" i="24"/>
  <c r="L338" i="24"/>
  <c r="K337" i="24"/>
  <c r="L337" i="24"/>
  <c r="M339" i="24" l="1"/>
  <c r="N339" i="24"/>
  <c r="M340" i="24"/>
  <c r="N340" i="24"/>
  <c r="K339" i="24"/>
  <c r="L339" i="24"/>
  <c r="K340" i="24"/>
  <c r="L340" i="24"/>
  <c r="M342" i="24" l="1"/>
  <c r="N342" i="24"/>
  <c r="M341" i="24"/>
  <c r="N341" i="24"/>
  <c r="K342" i="24"/>
  <c r="L342" i="24"/>
  <c r="K341" i="24"/>
  <c r="L341" i="24"/>
  <c r="M343" i="24" l="1"/>
  <c r="N343" i="24"/>
  <c r="M344" i="24"/>
  <c r="N344" i="24"/>
  <c r="K343" i="24"/>
  <c r="L343" i="24"/>
  <c r="K344" i="24"/>
  <c r="L344" i="24"/>
  <c r="M346" i="24" l="1"/>
  <c r="N346" i="24"/>
  <c r="M345" i="24"/>
  <c r="N345" i="24"/>
  <c r="K346" i="24"/>
  <c r="L346" i="24"/>
  <c r="K345" i="24"/>
  <c r="L345" i="24"/>
  <c r="M347" i="24" l="1"/>
  <c r="N347" i="24"/>
  <c r="M348" i="24"/>
  <c r="N348" i="24"/>
  <c r="K347" i="24"/>
  <c r="L347" i="24"/>
  <c r="K348" i="24"/>
  <c r="L348" i="24"/>
  <c r="M350" i="24" l="1"/>
  <c r="N350" i="24"/>
  <c r="M349" i="24"/>
  <c r="N349" i="24"/>
  <c r="K350" i="24"/>
  <c r="L350" i="24"/>
  <c r="K349" i="24"/>
  <c r="L349" i="24"/>
  <c r="M351" i="24" l="1"/>
  <c r="N351" i="24"/>
  <c r="M352" i="24"/>
  <c r="N352" i="24"/>
  <c r="K351" i="24"/>
  <c r="L351" i="24"/>
  <c r="K352" i="24"/>
  <c r="L352" i="24"/>
  <c r="M354" i="24" l="1"/>
  <c r="N354" i="24"/>
  <c r="M353" i="24"/>
  <c r="N353" i="24"/>
  <c r="K354" i="24"/>
  <c r="L354" i="24"/>
  <c r="K353" i="24"/>
  <c r="L353" i="24"/>
  <c r="M355" i="24" l="1"/>
  <c r="N355" i="24"/>
  <c r="M356" i="24"/>
  <c r="N356" i="24"/>
  <c r="K355" i="24"/>
  <c r="L355" i="24"/>
  <c r="K356" i="24"/>
  <c r="L356" i="24"/>
  <c r="M358" i="24" l="1"/>
  <c r="N358" i="24"/>
  <c r="M357" i="24"/>
  <c r="N357" i="24"/>
  <c r="K358" i="24"/>
  <c r="L358" i="24"/>
  <c r="K357" i="24"/>
  <c r="L357" i="24"/>
  <c r="M359" i="24" l="1"/>
  <c r="N359" i="24"/>
  <c r="M360" i="24"/>
  <c r="N360" i="24"/>
  <c r="K359" i="24"/>
  <c r="L359" i="24"/>
  <c r="K360" i="24"/>
  <c r="L360" i="24"/>
  <c r="M362" i="24" l="1"/>
  <c r="N362" i="24"/>
  <c r="M361" i="24"/>
  <c r="N361" i="24"/>
  <c r="K362" i="24"/>
  <c r="L362" i="24"/>
  <c r="K361" i="24"/>
  <c r="L361" i="24"/>
  <c r="M363" i="24" l="1"/>
  <c r="N363" i="24"/>
  <c r="M364" i="24"/>
  <c r="N364" i="24"/>
  <c r="K363" i="24"/>
  <c r="L363" i="24"/>
  <c r="K364" i="24"/>
  <c r="L364" i="24"/>
  <c r="M366" i="24" l="1"/>
  <c r="N366" i="24"/>
  <c r="M365" i="24"/>
  <c r="N365" i="24"/>
  <c r="K366" i="24"/>
  <c r="L366" i="24"/>
  <c r="K365" i="24"/>
  <c r="L365" i="24"/>
  <c r="M367" i="24" l="1"/>
  <c r="N367" i="24"/>
  <c r="M368" i="24"/>
  <c r="N368" i="24"/>
  <c r="K367" i="24"/>
  <c r="L367" i="24"/>
  <c r="K368" i="24"/>
  <c r="L368" i="24"/>
  <c r="M370" i="24" l="1"/>
  <c r="N370" i="24"/>
  <c r="M369" i="24"/>
  <c r="N369" i="24"/>
  <c r="K370" i="24"/>
  <c r="L370" i="24"/>
  <c r="K369" i="24"/>
  <c r="L369" i="24"/>
  <c r="M371" i="24" l="1"/>
  <c r="N371" i="24"/>
  <c r="M372" i="24"/>
  <c r="N372" i="24"/>
  <c r="K371" i="24"/>
  <c r="L371" i="24"/>
  <c r="K372" i="24"/>
  <c r="L372" i="24"/>
  <c r="M374" i="24" l="1"/>
  <c r="N374" i="24"/>
  <c r="M373" i="24"/>
  <c r="N373" i="24"/>
  <c r="K374" i="24"/>
  <c r="L374" i="24"/>
  <c r="K373" i="24"/>
  <c r="L373" i="24"/>
  <c r="M375" i="24" l="1"/>
  <c r="N375" i="24"/>
  <c r="M376" i="24"/>
  <c r="N376" i="24"/>
  <c r="K375" i="24"/>
  <c r="L375" i="24"/>
  <c r="K376" i="24"/>
  <c r="L376" i="24"/>
  <c r="M378" i="24" l="1"/>
  <c r="N378" i="24"/>
  <c r="M377" i="24"/>
  <c r="N377" i="24"/>
  <c r="K378" i="24"/>
  <c r="L378" i="24"/>
  <c r="K377" i="24"/>
  <c r="L377" i="24"/>
  <c r="M379" i="24" l="1"/>
  <c r="N379" i="24"/>
  <c r="M380" i="24"/>
  <c r="N380" i="24"/>
  <c r="K379" i="24"/>
  <c r="L379" i="24"/>
  <c r="K380" i="24"/>
  <c r="L380" i="24"/>
  <c r="M382" i="24" l="1"/>
  <c r="N382" i="24"/>
  <c r="M381" i="24"/>
  <c r="N381" i="24"/>
  <c r="K382" i="24"/>
  <c r="L382" i="24"/>
  <c r="K381" i="24"/>
  <c r="L381" i="24"/>
  <c r="M383" i="24" l="1"/>
  <c r="N383" i="24"/>
  <c r="M384" i="24"/>
  <c r="N384" i="24"/>
  <c r="K383" i="24"/>
  <c r="L383" i="24"/>
  <c r="K384" i="24"/>
  <c r="L384" i="24"/>
  <c r="M386" i="24" l="1"/>
  <c r="N386" i="24"/>
  <c r="M385" i="24"/>
  <c r="N385" i="24"/>
  <c r="K386" i="24"/>
  <c r="L386" i="24"/>
  <c r="K385" i="24"/>
  <c r="L385" i="24"/>
  <c r="M387" i="24" l="1"/>
  <c r="N387" i="24"/>
  <c r="M388" i="24"/>
  <c r="N388" i="24"/>
  <c r="K387" i="24"/>
  <c r="L387" i="24"/>
  <c r="K388" i="24"/>
  <c r="L388" i="24"/>
  <c r="M390" i="24" l="1"/>
  <c r="N390" i="24"/>
  <c r="M389" i="24"/>
  <c r="N389" i="24"/>
  <c r="K390" i="24"/>
  <c r="L390" i="24"/>
  <c r="K389" i="24"/>
  <c r="L389" i="24"/>
  <c r="M391" i="24" l="1"/>
  <c r="N391" i="24"/>
  <c r="M392" i="24"/>
  <c r="N392" i="24"/>
  <c r="K391" i="24"/>
  <c r="L391" i="24"/>
  <c r="K392" i="24"/>
  <c r="L392" i="24"/>
  <c r="M394" i="24" l="1"/>
  <c r="N394" i="24"/>
  <c r="M393" i="24"/>
  <c r="N393" i="24"/>
  <c r="K394" i="24"/>
  <c r="L394" i="24"/>
  <c r="K393" i="24"/>
  <c r="L393" i="24"/>
  <c r="M395" i="24" l="1"/>
  <c r="N395" i="24"/>
  <c r="M396" i="24"/>
  <c r="N396" i="24"/>
  <c r="K395" i="24"/>
  <c r="L395" i="24"/>
  <c r="K396" i="24"/>
  <c r="L396" i="24"/>
  <c r="M398" i="24" l="1"/>
  <c r="N398" i="24"/>
  <c r="M397" i="24"/>
  <c r="N397" i="24"/>
  <c r="K398" i="24"/>
  <c r="L398" i="24"/>
  <c r="K397" i="24"/>
  <c r="L397" i="24"/>
  <c r="M399" i="24" l="1"/>
  <c r="N399" i="24"/>
  <c r="M400" i="24"/>
  <c r="N400" i="24"/>
  <c r="K399" i="24"/>
  <c r="L399" i="24"/>
  <c r="K400" i="24"/>
  <c r="L400" i="24"/>
  <c r="M402" i="24" l="1"/>
  <c r="N402" i="24"/>
  <c r="M401" i="24"/>
  <c r="N401" i="24"/>
  <c r="K402" i="24"/>
  <c r="L402" i="24"/>
  <c r="K401" i="24"/>
  <c r="L401" i="24"/>
  <c r="M403" i="24" l="1"/>
  <c r="N403" i="24"/>
  <c r="M404" i="24"/>
  <c r="N404" i="24"/>
  <c r="K403" i="24"/>
  <c r="L403" i="24"/>
  <c r="K404" i="24"/>
  <c r="L404" i="24"/>
  <c r="M406" i="24" l="1"/>
  <c r="N406" i="24"/>
  <c r="M405" i="24"/>
  <c r="N405" i="24"/>
  <c r="K406" i="24"/>
  <c r="L406" i="24"/>
  <c r="K405" i="24"/>
  <c r="L405" i="24"/>
  <c r="M407" i="24" l="1"/>
  <c r="N407" i="24"/>
  <c r="M408" i="24"/>
  <c r="N408" i="24"/>
  <c r="K407" i="24"/>
  <c r="L407" i="24"/>
  <c r="K408" i="24"/>
  <c r="L408" i="24"/>
  <c r="M410" i="24" l="1"/>
  <c r="N410" i="24"/>
  <c r="M409" i="24"/>
  <c r="N409" i="24"/>
  <c r="K410" i="24"/>
  <c r="L410" i="24"/>
  <c r="K409" i="24"/>
  <c r="L409" i="24"/>
  <c r="M411" i="24" l="1"/>
  <c r="N411" i="24"/>
  <c r="M412" i="24"/>
  <c r="N412" i="24"/>
  <c r="K411" i="24"/>
  <c r="L411" i="24"/>
  <c r="K412" i="24"/>
  <c r="L412" i="24"/>
  <c r="M414" i="24" l="1"/>
  <c r="N414" i="24"/>
  <c r="M413" i="24"/>
  <c r="N413" i="24"/>
  <c r="K414" i="24"/>
  <c r="L414" i="24"/>
  <c r="K413" i="24"/>
  <c r="L413" i="24"/>
  <c r="M415" i="24" l="1"/>
  <c r="N415" i="24"/>
  <c r="M416" i="24"/>
  <c r="N416" i="24"/>
  <c r="K415" i="24"/>
  <c r="L415" i="24"/>
  <c r="K416" i="24"/>
  <c r="L416" i="24"/>
  <c r="M418" i="24" l="1"/>
  <c r="N418" i="24"/>
  <c r="M417" i="24"/>
  <c r="N417" i="24"/>
  <c r="K418" i="24"/>
  <c r="L418" i="24"/>
  <c r="K417" i="24"/>
  <c r="L417" i="24"/>
  <c r="M419" i="24" l="1"/>
  <c r="N419" i="24"/>
  <c r="M420" i="24"/>
  <c r="N420" i="24"/>
  <c r="K419" i="24"/>
  <c r="L419" i="24"/>
  <c r="K420" i="24"/>
  <c r="L420" i="24"/>
  <c r="M422" i="24" l="1"/>
  <c r="N422" i="24"/>
  <c r="M421" i="24"/>
  <c r="N421" i="24"/>
  <c r="K422" i="24"/>
  <c r="L422" i="24"/>
  <c r="K421" i="24"/>
  <c r="L421" i="24"/>
  <c r="M423" i="24" l="1"/>
  <c r="N423" i="24"/>
  <c r="M424" i="24"/>
  <c r="N424" i="24"/>
  <c r="K423" i="24"/>
  <c r="L423" i="24"/>
  <c r="K424" i="24"/>
  <c r="L424" i="24"/>
  <c r="M426" i="24" l="1"/>
  <c r="N426" i="24"/>
  <c r="M425" i="24"/>
  <c r="N425" i="24"/>
  <c r="K426" i="24"/>
  <c r="L426" i="24"/>
  <c r="K425" i="24"/>
  <c r="L425" i="24"/>
  <c r="M427" i="24" l="1"/>
  <c r="N427" i="24"/>
  <c r="M428" i="24"/>
  <c r="N428" i="24"/>
  <c r="K427" i="24"/>
  <c r="L427" i="24"/>
  <c r="K428" i="24"/>
  <c r="L428" i="24"/>
  <c r="M430" i="24" l="1"/>
  <c r="N430" i="24"/>
  <c r="M429" i="24"/>
  <c r="N429" i="24"/>
  <c r="K430" i="24"/>
  <c r="L430" i="24"/>
  <c r="K429" i="24"/>
  <c r="L429" i="24"/>
</calcChain>
</file>

<file path=xl/sharedStrings.xml><?xml version="1.0" encoding="utf-8"?>
<sst xmlns="http://schemas.openxmlformats.org/spreadsheetml/2006/main" count="279" uniqueCount="75">
  <si>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</si>
  <si>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</si>
  <si>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</si>
  <si>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</si>
  <si>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</si>
  <si>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</si>
  <si>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</si>
  <si>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</si>
  <si>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</si>
  <si>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</si>
  <si>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</si>
  <si>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</si>
  <si>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</si>
  <si>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</si>
  <si>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</si>
  <si>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</si>
  <si>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</si>
  <si>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</si>
  <si>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</si>
  <si>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</si>
  <si>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</si>
  <si>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</si>
  <si>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</si>
  <si>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</si>
  <si>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</si>
  <si>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</si>
  <si>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</si>
  <si>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</si>
  <si>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</si>
  <si>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</si>
  <si>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</si>
  <si>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</si>
  <si>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</si>
  <si>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</si>
  <si>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</si>
  <si>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</si>
  <si>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</si>
  <si>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</si>
  <si>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</si>
  <si>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</si>
  <si>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</si>
  <si>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</si>
  <si>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</si>
  <si>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</si>
  <si>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</si>
  <si>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</si>
  <si>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</si>
  <si>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</si>
  <si>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</si>
  <si>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</si>
  <si>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</si>
  <si>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</si>
  <si>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</si>
  <si>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</si>
  <si>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</si>
  <si>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</si>
  <si>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</si>
  <si>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</si>
  <si>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</si>
  <si>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</si>
  <si>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</si>
  <si>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</si>
  <si>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知識技能（マーク）</t>
    <rPh sb="0" eb="4">
      <t xml:space="preserve">チシキギノウ </t>
    </rPh>
    <phoneticPr fontId="14"/>
  </si>
  <si>
    <t>知識技能（記述）</t>
    <rPh sb="0" eb="4">
      <t xml:space="preserve">チシキギノウ </t>
    </rPh>
    <rPh sb="5" eb="7">
      <t xml:space="preserve">キジュツ </t>
    </rPh>
    <phoneticPr fontId="14"/>
  </si>
  <si>
    <t>思考判断表現（マーク）</t>
    <rPh sb="0" eb="6">
      <t>シｋ</t>
    </rPh>
    <phoneticPr fontId="14"/>
  </si>
  <si>
    <t>思考判断表現（記述）</t>
    <rPh sb="0" eb="6">
      <t>シコウ</t>
    </rPh>
    <rPh sb="7" eb="9">
      <t xml:space="preserve">キジュツ 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</si>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</sst>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14" borderId="1" xfId="0" applyFont="1" applyFill="1" applyBorder="1" applyAlignment="1">
      <alignment horizontal="center" vertical="center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7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観点の設定例：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topLeftCell="C1" zoomScale="136" zoomScaleNormal="100" zoomScaleSheetLayoutView="207" workbookViewId="0">
      <selection activeCell="K38" sqref="K38:R4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9" t="s">
        <v>38</v>
      </c>
      <c r="D3" s="219"/>
      <c r="E3" s="219"/>
      <c r="F3" s="219"/>
      <c r="G3" s="219"/>
      <c r="H3" s="219"/>
      <c r="I3" s="219"/>
      <c r="J3" s="219"/>
      <c r="K3" s="75"/>
      <c r="L3" s="75"/>
      <c r="M3" s="75"/>
    </row>
    <row r="4" spans="2:50" ht="9" customHeight="1">
      <c r="C4" s="219"/>
      <c r="D4" s="219"/>
      <c r="E4" s="219"/>
      <c r="F4" s="219"/>
      <c r="G4" s="219"/>
      <c r="H4" s="219"/>
      <c r="I4" s="219"/>
      <c r="J4" s="219"/>
      <c r="K4" s="75"/>
      <c r="L4" s="75"/>
      <c r="M4" s="75"/>
    </row>
    <row r="5" spans="2:50" ht="9" customHeight="1" thickBot="1">
      <c r="B5" s="14"/>
      <c r="C5" s="220"/>
      <c r="D5" s="220"/>
      <c r="E5" s="220"/>
      <c r="F5" s="220"/>
      <c r="G5" s="220"/>
      <c r="H5" s="220"/>
      <c r="I5" s="220"/>
      <c r="J5" s="220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5" t="s">
        <v>36</v>
      </c>
      <c r="D6" s="185"/>
      <c r="E6" s="185"/>
      <c r="F6" s="185"/>
      <c r="G6" s="216">
        <v>1</v>
      </c>
      <c r="H6" s="216"/>
      <c r="I6" s="216"/>
      <c r="J6" s="216"/>
      <c r="K6" s="216">
        <v>2</v>
      </c>
      <c r="L6" s="216"/>
      <c r="M6" s="216"/>
      <c r="N6" s="216"/>
      <c r="O6" s="216">
        <v>3</v>
      </c>
      <c r="P6" s="216"/>
      <c r="Q6" s="216"/>
      <c r="R6" s="216"/>
      <c r="S6" s="216">
        <v>4</v>
      </c>
      <c r="T6" s="216"/>
      <c r="U6" s="216"/>
      <c r="V6" s="216"/>
      <c r="W6" s="216">
        <v>5</v>
      </c>
      <c r="X6" s="216"/>
      <c r="Y6" s="216"/>
      <c r="Z6" s="216"/>
      <c r="AA6" s="216">
        <v>6</v>
      </c>
      <c r="AB6" s="216"/>
      <c r="AC6" s="216"/>
      <c r="AD6" s="216"/>
      <c r="AE6" s="216">
        <v>7</v>
      </c>
      <c r="AF6" s="216"/>
      <c r="AG6" s="216"/>
      <c r="AH6" s="216"/>
      <c r="AI6" s="216">
        <v>8</v>
      </c>
      <c r="AJ6" s="216"/>
      <c r="AK6" s="216"/>
      <c r="AL6" s="216"/>
      <c r="AM6" s="216">
        <v>9</v>
      </c>
      <c r="AN6" s="216"/>
      <c r="AO6" s="216"/>
      <c r="AP6" s="216"/>
      <c r="AQ6" s="216"/>
      <c r="AR6" s="216"/>
      <c r="AS6" s="216"/>
      <c r="AT6" s="217"/>
      <c r="AU6" s="194" t="s">
        <v>24</v>
      </c>
      <c r="AV6" s="195"/>
      <c r="AW6" s="195"/>
      <c r="AX6" s="196"/>
    </row>
    <row r="7" spans="2:50" ht="9" customHeight="1">
      <c r="B7" s="14"/>
      <c r="C7" s="185"/>
      <c r="D7" s="185"/>
      <c r="E7" s="185"/>
      <c r="F7" s="185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7"/>
      <c r="AU7" s="197"/>
      <c r="AV7" s="185"/>
      <c r="AW7" s="185"/>
      <c r="AX7" s="198"/>
    </row>
    <row r="8" spans="2:50" ht="9" customHeight="1">
      <c r="B8" s="14"/>
      <c r="C8" s="185"/>
      <c r="D8" s="185"/>
      <c r="E8" s="185"/>
      <c r="F8" s="185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7"/>
      <c r="AU8" s="197"/>
      <c r="AV8" s="185"/>
      <c r="AW8" s="185"/>
      <c r="AX8" s="198"/>
    </row>
    <row r="9" spans="2:50" ht="9" customHeight="1">
      <c r="B9" s="14"/>
      <c r="C9" s="185"/>
      <c r="D9" s="185"/>
      <c r="E9" s="185"/>
      <c r="F9" s="185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7"/>
      <c r="AU9" s="197"/>
      <c r="AV9" s="185"/>
      <c r="AW9" s="185"/>
      <c r="AX9" s="198"/>
    </row>
    <row r="10" spans="2:50" ht="9" customHeight="1">
      <c r="B10" s="14"/>
      <c r="C10" s="185" t="s">
        <v>37</v>
      </c>
      <c r="D10" s="185"/>
      <c r="E10" s="185"/>
      <c r="F10" s="185"/>
      <c r="G10" s="218">
        <v>40</v>
      </c>
      <c r="H10" s="218"/>
      <c r="I10" s="218"/>
      <c r="J10" s="218"/>
      <c r="K10" s="207">
        <v>40</v>
      </c>
      <c r="L10" s="208"/>
      <c r="M10" s="208"/>
      <c r="N10" s="209"/>
      <c r="O10" s="207">
        <v>40</v>
      </c>
      <c r="P10" s="208"/>
      <c r="Q10" s="208"/>
      <c r="R10" s="209"/>
      <c r="S10" s="207">
        <v>40</v>
      </c>
      <c r="T10" s="208"/>
      <c r="U10" s="208"/>
      <c r="V10" s="209"/>
      <c r="W10" s="207">
        <v>40</v>
      </c>
      <c r="X10" s="208"/>
      <c r="Y10" s="208"/>
      <c r="Z10" s="209"/>
      <c r="AA10" s="207">
        <v>40</v>
      </c>
      <c r="AB10" s="208"/>
      <c r="AC10" s="208"/>
      <c r="AD10" s="209"/>
      <c r="AE10" s="207">
        <v>40</v>
      </c>
      <c r="AF10" s="208"/>
      <c r="AG10" s="208"/>
      <c r="AH10" s="209"/>
      <c r="AI10" s="207">
        <v>40</v>
      </c>
      <c r="AJ10" s="208"/>
      <c r="AK10" s="208"/>
      <c r="AL10" s="209"/>
      <c r="AM10" s="207">
        <v>40</v>
      </c>
      <c r="AN10" s="208"/>
      <c r="AO10" s="208"/>
      <c r="AP10" s="209"/>
      <c r="AQ10" s="207"/>
      <c r="AR10" s="208"/>
      <c r="AS10" s="208"/>
      <c r="AT10" s="208"/>
      <c r="AU10" s="199">
        <f>SUM(G10:AT13)</f>
        <v>360</v>
      </c>
      <c r="AV10" s="200"/>
      <c r="AW10" s="200"/>
      <c r="AX10" s="201"/>
    </row>
    <row r="11" spans="2:50" ht="9" customHeight="1">
      <c r="B11" s="14"/>
      <c r="C11" s="185"/>
      <c r="D11" s="185"/>
      <c r="E11" s="185"/>
      <c r="F11" s="185"/>
      <c r="G11" s="218"/>
      <c r="H11" s="218"/>
      <c r="I11" s="218"/>
      <c r="J11" s="218"/>
      <c r="K11" s="210"/>
      <c r="L11" s="211"/>
      <c r="M11" s="211"/>
      <c r="N11" s="212"/>
      <c r="O11" s="210"/>
      <c r="P11" s="211"/>
      <c r="Q11" s="211"/>
      <c r="R11" s="212"/>
      <c r="S11" s="210"/>
      <c r="T11" s="211"/>
      <c r="U11" s="211"/>
      <c r="V11" s="212"/>
      <c r="W11" s="210"/>
      <c r="X11" s="211"/>
      <c r="Y11" s="211"/>
      <c r="Z11" s="212"/>
      <c r="AA11" s="210"/>
      <c r="AB11" s="211"/>
      <c r="AC11" s="211"/>
      <c r="AD11" s="212"/>
      <c r="AE11" s="210"/>
      <c r="AF11" s="211"/>
      <c r="AG11" s="211"/>
      <c r="AH11" s="212"/>
      <c r="AI11" s="210"/>
      <c r="AJ11" s="211"/>
      <c r="AK11" s="211"/>
      <c r="AL11" s="212"/>
      <c r="AM11" s="210"/>
      <c r="AN11" s="211"/>
      <c r="AO11" s="211"/>
      <c r="AP11" s="212"/>
      <c r="AQ11" s="210"/>
      <c r="AR11" s="211"/>
      <c r="AS11" s="211"/>
      <c r="AT11" s="211"/>
      <c r="AU11" s="199"/>
      <c r="AV11" s="200"/>
      <c r="AW11" s="200"/>
      <c r="AX11" s="201"/>
    </row>
    <row r="12" spans="2:50" ht="9" customHeight="1">
      <c r="B12" s="14"/>
      <c r="C12" s="185"/>
      <c r="D12" s="185"/>
      <c r="E12" s="185"/>
      <c r="F12" s="185"/>
      <c r="G12" s="218"/>
      <c r="H12" s="218"/>
      <c r="I12" s="218"/>
      <c r="J12" s="218"/>
      <c r="K12" s="210"/>
      <c r="L12" s="211"/>
      <c r="M12" s="211"/>
      <c r="N12" s="212"/>
      <c r="O12" s="210"/>
      <c r="P12" s="211"/>
      <c r="Q12" s="211"/>
      <c r="R12" s="212"/>
      <c r="S12" s="210"/>
      <c r="T12" s="211"/>
      <c r="U12" s="211"/>
      <c r="V12" s="212"/>
      <c r="W12" s="210"/>
      <c r="X12" s="211"/>
      <c r="Y12" s="211"/>
      <c r="Z12" s="212"/>
      <c r="AA12" s="210"/>
      <c r="AB12" s="211"/>
      <c r="AC12" s="211"/>
      <c r="AD12" s="212"/>
      <c r="AE12" s="210"/>
      <c r="AF12" s="211"/>
      <c r="AG12" s="211"/>
      <c r="AH12" s="212"/>
      <c r="AI12" s="210"/>
      <c r="AJ12" s="211"/>
      <c r="AK12" s="211"/>
      <c r="AL12" s="212"/>
      <c r="AM12" s="210"/>
      <c r="AN12" s="211"/>
      <c r="AO12" s="211"/>
      <c r="AP12" s="212"/>
      <c r="AQ12" s="210"/>
      <c r="AR12" s="211"/>
      <c r="AS12" s="211"/>
      <c r="AT12" s="211"/>
      <c r="AU12" s="199"/>
      <c r="AV12" s="200"/>
      <c r="AW12" s="200"/>
      <c r="AX12" s="201"/>
    </row>
    <row r="13" spans="2:50" ht="9" customHeight="1" thickBot="1">
      <c r="B13" s="14"/>
      <c r="C13" s="185"/>
      <c r="D13" s="185"/>
      <c r="E13" s="185"/>
      <c r="F13" s="185"/>
      <c r="G13" s="218"/>
      <c r="H13" s="218"/>
      <c r="I13" s="218"/>
      <c r="J13" s="218"/>
      <c r="K13" s="213"/>
      <c r="L13" s="214"/>
      <c r="M13" s="214"/>
      <c r="N13" s="215"/>
      <c r="O13" s="213"/>
      <c r="P13" s="214"/>
      <c r="Q13" s="214"/>
      <c r="R13" s="215"/>
      <c r="S13" s="213"/>
      <c r="T13" s="214"/>
      <c r="U13" s="214"/>
      <c r="V13" s="215"/>
      <c r="W13" s="213"/>
      <c r="X13" s="214"/>
      <c r="Y13" s="214"/>
      <c r="Z13" s="215"/>
      <c r="AA13" s="213"/>
      <c r="AB13" s="214"/>
      <c r="AC13" s="214"/>
      <c r="AD13" s="215"/>
      <c r="AE13" s="213"/>
      <c r="AF13" s="214"/>
      <c r="AG13" s="214"/>
      <c r="AH13" s="215"/>
      <c r="AI13" s="213"/>
      <c r="AJ13" s="214"/>
      <c r="AK13" s="214"/>
      <c r="AL13" s="215"/>
      <c r="AM13" s="213"/>
      <c r="AN13" s="214"/>
      <c r="AO13" s="214"/>
      <c r="AP13" s="215"/>
      <c r="AQ13" s="213"/>
      <c r="AR13" s="214"/>
      <c r="AS13" s="214"/>
      <c r="AT13" s="214"/>
      <c r="AU13" s="202"/>
      <c r="AV13" s="203"/>
      <c r="AW13" s="203"/>
      <c r="AX13" s="204"/>
    </row>
    <row r="14" spans="2:50" ht="9" customHeight="1">
      <c r="B14" s="14"/>
      <c r="C14" s="185" t="s">
        <v>46</v>
      </c>
      <c r="D14" s="185"/>
      <c r="E14" s="185"/>
      <c r="F14" s="185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56"/>
      <c r="AV14" s="56"/>
      <c r="AW14" s="56"/>
      <c r="AX14" s="56"/>
    </row>
    <row r="15" spans="2:50" ht="9" customHeight="1">
      <c r="B15" s="14"/>
      <c r="C15" s="185"/>
      <c r="D15" s="185"/>
      <c r="E15" s="185"/>
      <c r="F15" s="185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56"/>
      <c r="AV15" s="56"/>
      <c r="AW15" s="56"/>
      <c r="AX15" s="56"/>
    </row>
    <row r="16" spans="2:50" ht="9" customHeight="1">
      <c r="B16" s="14"/>
      <c r="C16" s="185"/>
      <c r="D16" s="185"/>
      <c r="E16" s="185"/>
      <c r="F16" s="185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56"/>
      <c r="AV16" s="56"/>
      <c r="AW16" s="56"/>
      <c r="AX16" s="56"/>
    </row>
    <row r="17" spans="2:50" ht="9" customHeight="1">
      <c r="B17" s="14"/>
      <c r="C17" s="185"/>
      <c r="D17" s="185"/>
      <c r="E17" s="185"/>
      <c r="F17" s="185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90" t="s">
        <v>51</v>
      </c>
      <c r="D21" s="190"/>
      <c r="E21" s="190"/>
      <c r="F21" s="190"/>
      <c r="G21" s="190"/>
      <c r="H21" s="190"/>
      <c r="I21" s="190"/>
      <c r="J21" s="190"/>
      <c r="K21" s="75"/>
      <c r="L21" s="75"/>
      <c r="M21" s="75"/>
    </row>
    <row r="22" spans="2:50" ht="9" customHeight="1">
      <c r="B22" s="14"/>
      <c r="C22" s="190"/>
      <c r="D22" s="190"/>
      <c r="E22" s="190"/>
      <c r="F22" s="190"/>
      <c r="G22" s="190"/>
      <c r="H22" s="190"/>
      <c r="I22" s="190"/>
      <c r="J22" s="190"/>
      <c r="K22" s="75"/>
      <c r="L22" s="75"/>
      <c r="M22" s="75"/>
    </row>
    <row r="23" spans="2:50" ht="9" customHeight="1">
      <c r="B23" s="14"/>
      <c r="C23" s="191"/>
      <c r="D23" s="191"/>
      <c r="E23" s="191"/>
      <c r="F23" s="191"/>
      <c r="G23" s="191"/>
      <c r="H23" s="191"/>
      <c r="I23" s="191"/>
      <c r="J23" s="191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21"/>
      <c r="D24" s="221"/>
      <c r="E24" s="221"/>
      <c r="F24" s="221"/>
      <c r="G24" s="205" t="s">
        <v>0</v>
      </c>
      <c r="H24" s="205"/>
      <c r="I24" s="205"/>
      <c r="J24" s="205"/>
      <c r="K24" s="205" t="s">
        <v>1</v>
      </c>
      <c r="L24" s="205"/>
      <c r="M24" s="205"/>
      <c r="N24" s="205"/>
      <c r="O24" s="205" t="s">
        <v>2</v>
      </c>
      <c r="P24" s="205"/>
      <c r="Q24" s="205"/>
      <c r="R24" s="205"/>
      <c r="S24" s="205" t="s">
        <v>3</v>
      </c>
      <c r="T24" s="205"/>
      <c r="U24" s="205"/>
      <c r="V24" s="205"/>
      <c r="W24" s="205" t="s">
        <v>4</v>
      </c>
      <c r="X24" s="205"/>
      <c r="Y24" s="205"/>
      <c r="Z24" s="205"/>
      <c r="AA24" s="205" t="s">
        <v>5</v>
      </c>
      <c r="AB24" s="205"/>
      <c r="AC24" s="205"/>
      <c r="AD24" s="205"/>
      <c r="AE24" s="205" t="s">
        <v>6</v>
      </c>
      <c r="AF24" s="205"/>
      <c r="AG24" s="205"/>
      <c r="AH24" s="205"/>
      <c r="AI24" s="205" t="s">
        <v>20</v>
      </c>
      <c r="AJ24" s="205"/>
      <c r="AK24" s="205"/>
      <c r="AL24" s="205"/>
      <c r="AM24" s="205" t="s">
        <v>40</v>
      </c>
      <c r="AN24" s="205"/>
      <c r="AO24" s="205"/>
      <c r="AP24" s="205"/>
      <c r="AQ24" s="205" t="s">
        <v>41</v>
      </c>
      <c r="AR24" s="205"/>
      <c r="AS24" s="205"/>
      <c r="AT24" s="205"/>
    </row>
    <row r="25" spans="2:50" ht="9" customHeight="1">
      <c r="B25" s="14"/>
      <c r="C25" s="221"/>
      <c r="D25" s="221"/>
      <c r="E25" s="221"/>
      <c r="F25" s="221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5"/>
    </row>
    <row r="26" spans="2:50" ht="9" customHeight="1">
      <c r="B26" s="14"/>
      <c r="C26" s="221"/>
      <c r="D26" s="221"/>
      <c r="E26" s="221"/>
      <c r="F26" s="221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5"/>
      <c r="AL26" s="205"/>
      <c r="AM26" s="205"/>
      <c r="AN26" s="205"/>
      <c r="AO26" s="205"/>
      <c r="AP26" s="205"/>
      <c r="AQ26" s="205"/>
      <c r="AR26" s="205"/>
      <c r="AS26" s="205"/>
      <c r="AT26" s="205"/>
    </row>
    <row r="27" spans="2:50" ht="9" customHeight="1">
      <c r="B27" s="14"/>
      <c r="C27" s="221"/>
      <c r="D27" s="221"/>
      <c r="E27" s="221"/>
      <c r="F27" s="221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</row>
    <row r="28" spans="2:50" ht="11" customHeight="1">
      <c r="B28" s="14"/>
      <c r="C28" s="185" t="s">
        <v>22</v>
      </c>
      <c r="D28" s="185"/>
      <c r="E28" s="185"/>
      <c r="F28" s="185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</row>
    <row r="29" spans="2:50" ht="11" customHeight="1">
      <c r="B29" s="14"/>
      <c r="C29" s="185"/>
      <c r="D29" s="185"/>
      <c r="E29" s="185"/>
      <c r="F29" s="185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</row>
    <row r="30" spans="2:50" ht="11" customHeight="1">
      <c r="B30" s="14"/>
      <c r="C30" s="185"/>
      <c r="D30" s="185"/>
      <c r="E30" s="185"/>
      <c r="F30" s="185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</row>
    <row r="31" spans="2:50" ht="11" customHeight="1">
      <c r="B31" s="14"/>
      <c r="C31" s="185"/>
      <c r="D31" s="185"/>
      <c r="E31" s="185"/>
      <c r="F31" s="185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192" t="s">
        <v>74</v>
      </c>
      <c r="D35" s="192"/>
      <c r="E35" s="192"/>
      <c r="F35" s="192"/>
      <c r="G35" s="192"/>
      <c r="H35" s="192"/>
      <c r="I35" s="192"/>
      <c r="J35" s="192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192"/>
      <c r="D36" s="192"/>
      <c r="E36" s="192"/>
      <c r="F36" s="192"/>
      <c r="G36" s="192"/>
      <c r="H36" s="192"/>
      <c r="I36" s="192"/>
      <c r="J36" s="192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193"/>
      <c r="D37" s="193"/>
      <c r="E37" s="193"/>
      <c r="F37" s="193"/>
      <c r="G37" s="193"/>
      <c r="H37" s="193"/>
      <c r="I37" s="193"/>
      <c r="J37" s="193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188" t="s">
        <v>42</v>
      </c>
      <c r="D45" s="188"/>
      <c r="E45" s="188"/>
      <c r="F45" s="188"/>
      <c r="G45" s="188"/>
      <c r="H45" s="188"/>
      <c r="I45" s="188"/>
      <c r="J45" s="188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188"/>
      <c r="D46" s="188"/>
      <c r="E46" s="188"/>
      <c r="F46" s="188"/>
      <c r="G46" s="188"/>
      <c r="H46" s="188"/>
      <c r="I46" s="188"/>
      <c r="J46" s="188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189"/>
      <c r="D47" s="189"/>
      <c r="E47" s="189"/>
      <c r="F47" s="189"/>
      <c r="G47" s="189"/>
      <c r="H47" s="189"/>
      <c r="I47" s="189"/>
      <c r="J47" s="189"/>
      <c r="K47" s="75"/>
      <c r="L47" s="75"/>
      <c r="M47" s="75"/>
      <c r="N47" s="77"/>
    </row>
    <row r="48" spans="2:29" ht="9" customHeight="1">
      <c r="C48" s="173">
        <v>100</v>
      </c>
      <c r="D48" s="174"/>
      <c r="E48" s="174"/>
      <c r="F48" s="174"/>
      <c r="G48" s="174"/>
      <c r="H48" s="174"/>
      <c r="I48" s="179" t="s">
        <v>43</v>
      </c>
      <c r="J48" s="180"/>
    </row>
    <row r="49" spans="3:30" ht="9" customHeight="1">
      <c r="C49" s="175"/>
      <c r="D49" s="176"/>
      <c r="E49" s="176"/>
      <c r="F49" s="176"/>
      <c r="G49" s="176"/>
      <c r="H49" s="176"/>
      <c r="I49" s="181"/>
      <c r="J49" s="182"/>
    </row>
    <row r="50" spans="3:30" ht="9" customHeight="1">
      <c r="C50" s="175"/>
      <c r="D50" s="176"/>
      <c r="E50" s="176"/>
      <c r="F50" s="176"/>
      <c r="G50" s="176"/>
      <c r="H50" s="176"/>
      <c r="I50" s="181"/>
      <c r="J50" s="182"/>
    </row>
    <row r="51" spans="3:30" ht="9" customHeight="1">
      <c r="C51" s="177"/>
      <c r="D51" s="178"/>
      <c r="E51" s="178"/>
      <c r="F51" s="178"/>
      <c r="G51" s="178"/>
      <c r="H51" s="178"/>
      <c r="I51" s="183"/>
      <c r="J51" s="18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6" priority="4">
      <formula>LEN(TRIM(G28))=0</formula>
    </cfRule>
  </conditionalFormatting>
  <conditionalFormatting sqref="C48:H51">
    <cfRule type="containsBlanks" dxfId="25" priority="3">
      <formula>LEN(TRIM(C48))=0</formula>
    </cfRule>
  </conditionalFormatting>
  <conditionalFormatting sqref="G6:AT17">
    <cfRule type="containsBlanks" dxfId="24" priority="2">
      <formula>LEN(TRIM(G6))=0</formula>
    </cfRule>
  </conditionalFormatting>
  <conditionalFormatting sqref="C38:R41">
    <cfRule type="containsBlanks" dxfId="23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K26" sqref="K26:Q26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90" t="s">
        <v>39</v>
      </c>
      <c r="C3" s="190"/>
      <c r="D3" s="190"/>
      <c r="E3" s="190"/>
      <c r="F3" s="190"/>
      <c r="G3" s="190"/>
      <c r="H3" s="190"/>
      <c r="I3" s="190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90"/>
      <c r="C4" s="190"/>
      <c r="D4" s="190"/>
      <c r="E4" s="190"/>
      <c r="F4" s="190"/>
      <c r="G4" s="190"/>
      <c r="H4" s="190"/>
      <c r="I4" s="190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91"/>
      <c r="C5" s="191"/>
      <c r="D5" s="191"/>
      <c r="E5" s="191"/>
      <c r="F5" s="191"/>
      <c r="G5" s="191"/>
      <c r="H5" s="191"/>
      <c r="I5" s="19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21"/>
      <c r="C6" s="221"/>
      <c r="D6" s="221"/>
      <c r="E6" s="221"/>
      <c r="F6" s="239" t="s">
        <v>0</v>
      </c>
      <c r="G6" s="239"/>
      <c r="H6" s="239"/>
      <c r="I6" s="239"/>
      <c r="J6" s="239" t="s">
        <v>1</v>
      </c>
      <c r="K6" s="239"/>
      <c r="L6" s="239"/>
      <c r="M6" s="239"/>
      <c r="N6" s="239" t="s">
        <v>2</v>
      </c>
      <c r="O6" s="239"/>
      <c r="P6" s="239"/>
      <c r="Q6" s="239"/>
      <c r="R6" s="239" t="s">
        <v>3</v>
      </c>
      <c r="S6" s="239"/>
      <c r="T6" s="239"/>
      <c r="U6" s="239"/>
      <c r="V6" s="239" t="s">
        <v>4</v>
      </c>
      <c r="W6" s="239"/>
      <c r="X6" s="239"/>
      <c r="Y6" s="239"/>
      <c r="Z6" s="239" t="s">
        <v>5</v>
      </c>
      <c r="AA6" s="239"/>
      <c r="AB6" s="239"/>
      <c r="AC6" s="239"/>
      <c r="AD6" s="239" t="s">
        <v>6</v>
      </c>
      <c r="AE6" s="239"/>
      <c r="AF6" s="239"/>
      <c r="AG6" s="239"/>
      <c r="AH6" s="239" t="s">
        <v>20</v>
      </c>
      <c r="AI6" s="239"/>
      <c r="AJ6" s="239"/>
      <c r="AK6" s="239"/>
      <c r="AL6" s="239" t="s">
        <v>40</v>
      </c>
      <c r="AM6" s="239"/>
      <c r="AN6" s="239"/>
      <c r="AO6" s="239"/>
      <c r="AP6" s="239" t="s">
        <v>41</v>
      </c>
      <c r="AQ6" s="239"/>
      <c r="AR6" s="239"/>
      <c r="AS6" s="239"/>
    </row>
    <row r="7" spans="2:45" ht="7" customHeight="1">
      <c r="B7" s="221"/>
      <c r="C7" s="221"/>
      <c r="D7" s="221"/>
      <c r="E7" s="221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</row>
    <row r="8" spans="2:45" ht="7" customHeight="1">
      <c r="B8" s="221"/>
      <c r="C8" s="221"/>
      <c r="D8" s="221"/>
      <c r="E8" s="221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</row>
    <row r="9" spans="2:45" ht="7" customHeight="1">
      <c r="B9" s="221"/>
      <c r="C9" s="221"/>
      <c r="D9" s="221"/>
      <c r="E9" s="221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</row>
    <row r="10" spans="2:45" ht="9" customHeight="1">
      <c r="B10" s="239" t="s">
        <v>71</v>
      </c>
      <c r="C10" s="239"/>
      <c r="D10" s="239"/>
      <c r="E10" s="239"/>
      <c r="F10" s="251" t="str">
        <f>IF(ISBLANK(初期設定!G28),"",初期設定!G28)</f>
        <v/>
      </c>
      <c r="G10" s="251"/>
      <c r="H10" s="251"/>
      <c r="I10" s="251"/>
      <c r="J10" s="251" t="str">
        <f>IF(ISBLANK(初期設定!K28),"",初期設定!K28)</f>
        <v/>
      </c>
      <c r="K10" s="251"/>
      <c r="L10" s="251"/>
      <c r="M10" s="251"/>
      <c r="N10" s="251" t="str">
        <f>IF(ISBLANK(初期設定!O28),"",初期設定!O28)</f>
        <v/>
      </c>
      <c r="O10" s="251"/>
      <c r="P10" s="251"/>
      <c r="Q10" s="251"/>
      <c r="R10" s="251" t="str">
        <f>IF(ISBLANK(初期設定!S28),"",初期設定!S28)</f>
        <v/>
      </c>
      <c r="S10" s="251"/>
      <c r="T10" s="251"/>
      <c r="U10" s="251"/>
      <c r="V10" s="251" t="str">
        <f>IF(ISBLANK(初期設定!W28),"",初期設定!W28)</f>
        <v/>
      </c>
      <c r="W10" s="251"/>
      <c r="X10" s="251"/>
      <c r="Y10" s="251"/>
      <c r="Z10" s="251" t="str">
        <f>IF(ISBLANK(初期設定!AA28),"",初期設定!AA28)</f>
        <v/>
      </c>
      <c r="AA10" s="251"/>
      <c r="AB10" s="251"/>
      <c r="AC10" s="251"/>
      <c r="AD10" s="251" t="str">
        <f>IF(ISBLANK(初期設定!AE28),"",初期設定!AE28)</f>
        <v/>
      </c>
      <c r="AE10" s="251"/>
      <c r="AF10" s="251"/>
      <c r="AG10" s="251"/>
      <c r="AH10" s="251" t="str">
        <f>IF(ISBLANK(初期設定!AI28),"",初期設定!AI28)</f>
        <v/>
      </c>
      <c r="AI10" s="251"/>
      <c r="AJ10" s="251"/>
      <c r="AK10" s="251"/>
      <c r="AL10" s="251" t="str">
        <f>IF(ISBLANK(初期設定!AM28),"",初期設定!AM28)</f>
        <v/>
      </c>
      <c r="AM10" s="251"/>
      <c r="AN10" s="251"/>
      <c r="AO10" s="251"/>
      <c r="AP10" s="251" t="str">
        <f>IF(ISBLANK(初期設定!AQ28),"",初期設定!AQ28)</f>
        <v/>
      </c>
      <c r="AQ10" s="251"/>
      <c r="AR10" s="251"/>
      <c r="AS10" s="251"/>
    </row>
    <row r="11" spans="2:45" ht="9" customHeight="1">
      <c r="B11" s="239"/>
      <c r="C11" s="239"/>
      <c r="D11" s="239"/>
      <c r="E11" s="239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</row>
    <row r="12" spans="2:45" ht="9" customHeight="1">
      <c r="B12" s="239"/>
      <c r="C12" s="239"/>
      <c r="D12" s="239"/>
      <c r="E12" s="239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</row>
    <row r="13" spans="2:45" ht="9" customHeight="1">
      <c r="B13" s="239"/>
      <c r="C13" s="239"/>
      <c r="D13" s="239"/>
      <c r="E13" s="239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  <c r="AE13" s="251"/>
      <c r="AF13" s="251"/>
      <c r="AG13" s="251"/>
      <c r="AH13" s="251"/>
      <c r="AI13" s="251"/>
      <c r="AJ13" s="251"/>
      <c r="AK13" s="251"/>
      <c r="AL13" s="251"/>
      <c r="AM13" s="251"/>
      <c r="AN13" s="251"/>
      <c r="AO13" s="251"/>
      <c r="AP13" s="251"/>
      <c r="AQ13" s="251"/>
      <c r="AR13" s="251"/>
      <c r="AS13" s="251"/>
    </row>
    <row r="15" spans="2:45" ht="7" customHeight="1" thickBot="1"/>
    <row r="16" spans="2:45" ht="7" customHeight="1">
      <c r="B16" s="236" t="s">
        <v>44</v>
      </c>
      <c r="C16" s="237"/>
      <c r="D16" s="237"/>
      <c r="E16" s="237" t="s">
        <v>33</v>
      </c>
      <c r="F16" s="237"/>
      <c r="G16" s="237"/>
      <c r="H16" s="240" t="s">
        <v>45</v>
      </c>
      <c r="I16" s="241"/>
      <c r="J16" s="241"/>
      <c r="K16" s="241"/>
      <c r="L16" s="241"/>
      <c r="M16" s="241"/>
      <c r="N16" s="241"/>
      <c r="O16" s="241"/>
      <c r="P16" s="241"/>
      <c r="Q16" s="242"/>
      <c r="R16" s="237" t="s">
        <v>50</v>
      </c>
      <c r="S16" s="237"/>
      <c r="T16" s="249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8"/>
      <c r="C17" s="239"/>
      <c r="D17" s="239"/>
      <c r="E17" s="239"/>
      <c r="F17" s="239"/>
      <c r="G17" s="239"/>
      <c r="H17" s="243"/>
      <c r="I17" s="244"/>
      <c r="J17" s="244"/>
      <c r="K17" s="244"/>
      <c r="L17" s="244"/>
      <c r="M17" s="244"/>
      <c r="N17" s="244"/>
      <c r="O17" s="244"/>
      <c r="P17" s="244"/>
      <c r="Q17" s="245"/>
      <c r="R17" s="239"/>
      <c r="S17" s="239"/>
      <c r="T17" s="250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8"/>
      <c r="C18" s="239"/>
      <c r="D18" s="239"/>
      <c r="E18" s="239"/>
      <c r="F18" s="239"/>
      <c r="G18" s="239"/>
      <c r="H18" s="243"/>
      <c r="I18" s="244"/>
      <c r="J18" s="244"/>
      <c r="K18" s="244"/>
      <c r="L18" s="244"/>
      <c r="M18" s="244"/>
      <c r="N18" s="244"/>
      <c r="O18" s="244"/>
      <c r="P18" s="244"/>
      <c r="Q18" s="245"/>
      <c r="R18" s="239"/>
      <c r="S18" s="239"/>
      <c r="T18" s="250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8"/>
      <c r="C19" s="239"/>
      <c r="D19" s="239"/>
      <c r="E19" s="239"/>
      <c r="F19" s="239"/>
      <c r="G19" s="239"/>
      <c r="H19" s="246"/>
      <c r="I19" s="247"/>
      <c r="J19" s="247"/>
      <c r="K19" s="247"/>
      <c r="L19" s="247"/>
      <c r="M19" s="247"/>
      <c r="N19" s="247"/>
      <c r="O19" s="247"/>
      <c r="P19" s="247"/>
      <c r="Q19" s="248"/>
      <c r="R19" s="239"/>
      <c r="S19" s="239"/>
      <c r="T19" s="250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35"/>
      <c r="C20" s="230"/>
      <c r="D20" s="231"/>
      <c r="E20" s="229"/>
      <c r="F20" s="230"/>
      <c r="G20" s="231"/>
      <c r="H20" s="229"/>
      <c r="I20" s="230"/>
      <c r="J20" s="231"/>
      <c r="K20" s="232" t="str">
        <f>IFERROR(HLOOKUP(H20,$F$6:$AS$13,5,FALSE),"")</f>
        <v/>
      </c>
      <c r="L20" s="233"/>
      <c r="M20" s="233"/>
      <c r="N20" s="233"/>
      <c r="O20" s="233"/>
      <c r="P20" s="233"/>
      <c r="Q20" s="234"/>
      <c r="R20" s="255"/>
      <c r="S20" s="255"/>
      <c r="T20" s="256"/>
    </row>
    <row r="21" spans="2:33" ht="21" customHeight="1">
      <c r="B21" s="235"/>
      <c r="C21" s="230"/>
      <c r="D21" s="231"/>
      <c r="E21" s="229"/>
      <c r="F21" s="230"/>
      <c r="G21" s="231"/>
      <c r="H21" s="229"/>
      <c r="I21" s="230"/>
      <c r="J21" s="231"/>
      <c r="K21" s="232" t="str">
        <f t="shared" ref="K21:K84" si="0">IFERROR(HLOOKUP(H21,$F$6:$AS$13,5,FALSE),"")</f>
        <v/>
      </c>
      <c r="L21" s="233"/>
      <c r="M21" s="233"/>
      <c r="N21" s="233"/>
      <c r="O21" s="233"/>
      <c r="P21" s="233"/>
      <c r="Q21" s="234"/>
      <c r="R21" s="255"/>
      <c r="S21" s="255"/>
      <c r="T21" s="256"/>
    </row>
    <row r="22" spans="2:33" ht="21" customHeight="1">
      <c r="B22" s="235"/>
      <c r="C22" s="230"/>
      <c r="D22" s="231"/>
      <c r="E22" s="229"/>
      <c r="F22" s="230"/>
      <c r="G22" s="231"/>
      <c r="H22" s="229"/>
      <c r="I22" s="230"/>
      <c r="J22" s="231"/>
      <c r="K22" s="232" t="str">
        <f t="shared" si="0"/>
        <v/>
      </c>
      <c r="L22" s="233"/>
      <c r="M22" s="233"/>
      <c r="N22" s="233"/>
      <c r="O22" s="233"/>
      <c r="P22" s="233"/>
      <c r="Q22" s="234"/>
      <c r="R22" s="252"/>
      <c r="S22" s="253"/>
      <c r="T22" s="254"/>
    </row>
    <row r="23" spans="2:33" ht="21" customHeight="1">
      <c r="B23" s="235"/>
      <c r="C23" s="230"/>
      <c r="D23" s="231"/>
      <c r="E23" s="229"/>
      <c r="F23" s="230"/>
      <c r="G23" s="231"/>
      <c r="H23" s="229"/>
      <c r="I23" s="230"/>
      <c r="J23" s="231"/>
      <c r="K23" s="232" t="str">
        <f t="shared" si="0"/>
        <v/>
      </c>
      <c r="L23" s="233"/>
      <c r="M23" s="233"/>
      <c r="N23" s="233"/>
      <c r="O23" s="233"/>
      <c r="P23" s="233"/>
      <c r="Q23" s="234"/>
      <c r="R23" s="252"/>
      <c r="S23" s="253"/>
      <c r="T23" s="254"/>
    </row>
    <row r="24" spans="2:33" ht="21" customHeight="1">
      <c r="B24" s="235"/>
      <c r="C24" s="230"/>
      <c r="D24" s="231"/>
      <c r="E24" s="229"/>
      <c r="F24" s="230"/>
      <c r="G24" s="231"/>
      <c r="H24" s="229"/>
      <c r="I24" s="230"/>
      <c r="J24" s="231"/>
      <c r="K24" s="232" t="str">
        <f t="shared" si="0"/>
        <v/>
      </c>
      <c r="L24" s="233"/>
      <c r="M24" s="233"/>
      <c r="N24" s="233"/>
      <c r="O24" s="233"/>
      <c r="P24" s="233"/>
      <c r="Q24" s="234"/>
      <c r="R24" s="252"/>
      <c r="S24" s="253"/>
      <c r="T24" s="254"/>
    </row>
    <row r="25" spans="2:33" ht="21" customHeight="1">
      <c r="B25" s="235"/>
      <c r="C25" s="230"/>
      <c r="D25" s="231"/>
      <c r="E25" s="229"/>
      <c r="F25" s="230"/>
      <c r="G25" s="231"/>
      <c r="H25" s="229"/>
      <c r="I25" s="230"/>
      <c r="J25" s="231"/>
      <c r="K25" s="232" t="str">
        <f t="shared" si="0"/>
        <v/>
      </c>
      <c r="L25" s="233"/>
      <c r="M25" s="233"/>
      <c r="N25" s="233"/>
      <c r="O25" s="233"/>
      <c r="P25" s="233"/>
      <c r="Q25" s="234"/>
      <c r="R25" s="252"/>
      <c r="S25" s="253"/>
      <c r="T25" s="254"/>
    </row>
    <row r="26" spans="2:33" ht="21" customHeight="1">
      <c r="B26" s="235"/>
      <c r="C26" s="230"/>
      <c r="D26" s="231"/>
      <c r="E26" s="229"/>
      <c r="F26" s="230"/>
      <c r="G26" s="231"/>
      <c r="H26" s="229"/>
      <c r="I26" s="230"/>
      <c r="J26" s="231"/>
      <c r="K26" s="232" t="str">
        <f t="shared" si="0"/>
        <v/>
      </c>
      <c r="L26" s="233"/>
      <c r="M26" s="233"/>
      <c r="N26" s="233"/>
      <c r="O26" s="233"/>
      <c r="P26" s="233"/>
      <c r="Q26" s="234"/>
      <c r="R26" s="252"/>
      <c r="S26" s="253"/>
      <c r="T26" s="254"/>
    </row>
    <row r="27" spans="2:33" ht="21" customHeight="1">
      <c r="B27" s="235"/>
      <c r="C27" s="230"/>
      <c r="D27" s="231"/>
      <c r="E27" s="229"/>
      <c r="F27" s="230"/>
      <c r="G27" s="231"/>
      <c r="H27" s="229"/>
      <c r="I27" s="230"/>
      <c r="J27" s="231"/>
      <c r="K27" s="232" t="str">
        <f t="shared" si="0"/>
        <v/>
      </c>
      <c r="L27" s="233"/>
      <c r="M27" s="233"/>
      <c r="N27" s="233"/>
      <c r="O27" s="233"/>
      <c r="P27" s="233"/>
      <c r="Q27" s="234"/>
      <c r="R27" s="252"/>
      <c r="S27" s="253"/>
      <c r="T27" s="254"/>
    </row>
    <row r="28" spans="2:33" ht="21" customHeight="1">
      <c r="B28" s="235"/>
      <c r="C28" s="230"/>
      <c r="D28" s="231"/>
      <c r="E28" s="229"/>
      <c r="F28" s="230"/>
      <c r="G28" s="231"/>
      <c r="H28" s="229"/>
      <c r="I28" s="230"/>
      <c r="J28" s="231"/>
      <c r="K28" s="232" t="str">
        <f t="shared" si="0"/>
        <v/>
      </c>
      <c r="L28" s="233"/>
      <c r="M28" s="233"/>
      <c r="N28" s="233"/>
      <c r="O28" s="233"/>
      <c r="P28" s="233"/>
      <c r="Q28" s="234"/>
      <c r="R28" s="252"/>
      <c r="S28" s="253"/>
      <c r="T28" s="254"/>
    </row>
    <row r="29" spans="2:33" ht="21" customHeight="1">
      <c r="B29" s="235"/>
      <c r="C29" s="230"/>
      <c r="D29" s="231"/>
      <c r="E29" s="229"/>
      <c r="F29" s="230"/>
      <c r="G29" s="231"/>
      <c r="H29" s="229"/>
      <c r="I29" s="230"/>
      <c r="J29" s="231"/>
      <c r="K29" s="232" t="str">
        <f t="shared" si="0"/>
        <v/>
      </c>
      <c r="L29" s="233"/>
      <c r="M29" s="233"/>
      <c r="N29" s="233"/>
      <c r="O29" s="233"/>
      <c r="P29" s="233"/>
      <c r="Q29" s="234"/>
      <c r="R29" s="252"/>
      <c r="S29" s="253"/>
      <c r="T29" s="254"/>
    </row>
    <row r="30" spans="2:33" ht="21" customHeight="1">
      <c r="B30" s="235"/>
      <c r="C30" s="230"/>
      <c r="D30" s="231"/>
      <c r="E30" s="229"/>
      <c r="F30" s="230"/>
      <c r="G30" s="231"/>
      <c r="H30" s="229"/>
      <c r="I30" s="230"/>
      <c r="J30" s="231"/>
      <c r="K30" s="232" t="str">
        <f t="shared" si="0"/>
        <v/>
      </c>
      <c r="L30" s="233"/>
      <c r="M30" s="233"/>
      <c r="N30" s="233"/>
      <c r="O30" s="233"/>
      <c r="P30" s="233"/>
      <c r="Q30" s="234"/>
      <c r="R30" s="252"/>
      <c r="S30" s="253"/>
      <c r="T30" s="254"/>
    </row>
    <row r="31" spans="2:33" ht="21" customHeight="1">
      <c r="B31" s="235"/>
      <c r="C31" s="230"/>
      <c r="D31" s="231"/>
      <c r="E31" s="229"/>
      <c r="F31" s="230"/>
      <c r="G31" s="231"/>
      <c r="H31" s="229"/>
      <c r="I31" s="230"/>
      <c r="J31" s="231"/>
      <c r="K31" s="232" t="str">
        <f t="shared" si="0"/>
        <v/>
      </c>
      <c r="L31" s="233"/>
      <c r="M31" s="233"/>
      <c r="N31" s="233"/>
      <c r="O31" s="233"/>
      <c r="P31" s="233"/>
      <c r="Q31" s="234"/>
      <c r="R31" s="252"/>
      <c r="S31" s="253"/>
      <c r="T31" s="254"/>
    </row>
    <row r="32" spans="2:33" ht="21" customHeight="1">
      <c r="B32" s="235"/>
      <c r="C32" s="230"/>
      <c r="D32" s="231"/>
      <c r="E32" s="229"/>
      <c r="F32" s="230"/>
      <c r="G32" s="231"/>
      <c r="H32" s="229"/>
      <c r="I32" s="230"/>
      <c r="J32" s="231"/>
      <c r="K32" s="232" t="str">
        <f t="shared" si="0"/>
        <v/>
      </c>
      <c r="L32" s="233"/>
      <c r="M32" s="233"/>
      <c r="N32" s="233"/>
      <c r="O32" s="233"/>
      <c r="P32" s="233"/>
      <c r="Q32" s="234"/>
      <c r="R32" s="252"/>
      <c r="S32" s="253"/>
      <c r="T32" s="254"/>
    </row>
    <row r="33" spans="2:20" ht="21" customHeight="1">
      <c r="B33" s="235"/>
      <c r="C33" s="230"/>
      <c r="D33" s="231"/>
      <c r="E33" s="229"/>
      <c r="F33" s="230"/>
      <c r="G33" s="231"/>
      <c r="H33" s="229"/>
      <c r="I33" s="230"/>
      <c r="J33" s="231"/>
      <c r="K33" s="232" t="str">
        <f t="shared" si="0"/>
        <v/>
      </c>
      <c r="L33" s="233"/>
      <c r="M33" s="233"/>
      <c r="N33" s="233"/>
      <c r="O33" s="233"/>
      <c r="P33" s="233"/>
      <c r="Q33" s="234"/>
      <c r="R33" s="252"/>
      <c r="S33" s="253"/>
      <c r="T33" s="254"/>
    </row>
    <row r="34" spans="2:20" ht="21" customHeight="1">
      <c r="B34" s="235"/>
      <c r="C34" s="230"/>
      <c r="D34" s="231"/>
      <c r="E34" s="229"/>
      <c r="F34" s="230"/>
      <c r="G34" s="231"/>
      <c r="H34" s="229"/>
      <c r="I34" s="230"/>
      <c r="J34" s="231"/>
      <c r="K34" s="232" t="str">
        <f t="shared" si="0"/>
        <v/>
      </c>
      <c r="L34" s="233"/>
      <c r="M34" s="233"/>
      <c r="N34" s="233"/>
      <c r="O34" s="233"/>
      <c r="P34" s="233"/>
      <c r="Q34" s="234"/>
      <c r="R34" s="252"/>
      <c r="S34" s="253"/>
      <c r="T34" s="254"/>
    </row>
    <row r="35" spans="2:20" ht="21" customHeight="1">
      <c r="B35" s="235"/>
      <c r="C35" s="230"/>
      <c r="D35" s="231"/>
      <c r="E35" s="229"/>
      <c r="F35" s="230"/>
      <c r="G35" s="231"/>
      <c r="H35" s="229"/>
      <c r="I35" s="230"/>
      <c r="J35" s="231"/>
      <c r="K35" s="232" t="str">
        <f t="shared" si="0"/>
        <v/>
      </c>
      <c r="L35" s="233"/>
      <c r="M35" s="233"/>
      <c r="N35" s="233"/>
      <c r="O35" s="233"/>
      <c r="P35" s="233"/>
      <c r="Q35" s="234"/>
      <c r="R35" s="252"/>
      <c r="S35" s="253"/>
      <c r="T35" s="254"/>
    </row>
    <row r="36" spans="2:20" ht="21" customHeight="1">
      <c r="B36" s="235"/>
      <c r="C36" s="230"/>
      <c r="D36" s="231"/>
      <c r="E36" s="229"/>
      <c r="F36" s="230"/>
      <c r="G36" s="231"/>
      <c r="H36" s="229"/>
      <c r="I36" s="230"/>
      <c r="J36" s="231"/>
      <c r="K36" s="232" t="str">
        <f t="shared" si="0"/>
        <v/>
      </c>
      <c r="L36" s="233"/>
      <c r="M36" s="233"/>
      <c r="N36" s="233"/>
      <c r="O36" s="233"/>
      <c r="P36" s="233"/>
      <c r="Q36" s="234"/>
      <c r="R36" s="252"/>
      <c r="S36" s="253"/>
      <c r="T36" s="254"/>
    </row>
    <row r="37" spans="2:20" ht="21" customHeight="1">
      <c r="B37" s="235"/>
      <c r="C37" s="230"/>
      <c r="D37" s="231"/>
      <c r="E37" s="229"/>
      <c r="F37" s="230"/>
      <c r="G37" s="231"/>
      <c r="H37" s="229"/>
      <c r="I37" s="230"/>
      <c r="J37" s="231"/>
      <c r="K37" s="232" t="str">
        <f t="shared" si="0"/>
        <v/>
      </c>
      <c r="L37" s="233"/>
      <c r="M37" s="233"/>
      <c r="N37" s="233"/>
      <c r="O37" s="233"/>
      <c r="P37" s="233"/>
      <c r="Q37" s="234"/>
      <c r="R37" s="252"/>
      <c r="S37" s="253"/>
      <c r="T37" s="254"/>
    </row>
    <row r="38" spans="2:20" ht="21" customHeight="1">
      <c r="B38" s="235"/>
      <c r="C38" s="230"/>
      <c r="D38" s="231"/>
      <c r="E38" s="229"/>
      <c r="F38" s="230"/>
      <c r="G38" s="231"/>
      <c r="H38" s="229"/>
      <c r="I38" s="230"/>
      <c r="J38" s="231"/>
      <c r="K38" s="232" t="str">
        <f t="shared" si="0"/>
        <v/>
      </c>
      <c r="L38" s="233"/>
      <c r="M38" s="233"/>
      <c r="N38" s="233"/>
      <c r="O38" s="233"/>
      <c r="P38" s="233"/>
      <c r="Q38" s="234"/>
      <c r="R38" s="252"/>
      <c r="S38" s="253"/>
      <c r="T38" s="254"/>
    </row>
    <row r="39" spans="2:20" ht="21" customHeight="1">
      <c r="B39" s="235"/>
      <c r="C39" s="230"/>
      <c r="D39" s="231"/>
      <c r="E39" s="229"/>
      <c r="F39" s="230"/>
      <c r="G39" s="231"/>
      <c r="H39" s="229"/>
      <c r="I39" s="230"/>
      <c r="J39" s="231"/>
      <c r="K39" s="232" t="str">
        <f t="shared" si="0"/>
        <v/>
      </c>
      <c r="L39" s="233"/>
      <c r="M39" s="233"/>
      <c r="N39" s="233"/>
      <c r="O39" s="233"/>
      <c r="P39" s="233"/>
      <c r="Q39" s="234"/>
      <c r="R39" s="252"/>
      <c r="S39" s="253"/>
      <c r="T39" s="254"/>
    </row>
    <row r="40" spans="2:20" ht="21" customHeight="1">
      <c r="B40" s="235"/>
      <c r="C40" s="230"/>
      <c r="D40" s="231"/>
      <c r="E40" s="229"/>
      <c r="F40" s="230"/>
      <c r="G40" s="231"/>
      <c r="H40" s="229"/>
      <c r="I40" s="230"/>
      <c r="J40" s="231"/>
      <c r="K40" s="232" t="str">
        <f t="shared" si="0"/>
        <v/>
      </c>
      <c r="L40" s="233"/>
      <c r="M40" s="233"/>
      <c r="N40" s="233"/>
      <c r="O40" s="233"/>
      <c r="P40" s="233"/>
      <c r="Q40" s="234"/>
      <c r="R40" s="252"/>
      <c r="S40" s="253"/>
      <c r="T40" s="254"/>
    </row>
    <row r="41" spans="2:20" ht="21" customHeight="1">
      <c r="B41" s="235"/>
      <c r="C41" s="230"/>
      <c r="D41" s="231"/>
      <c r="E41" s="229"/>
      <c r="F41" s="230"/>
      <c r="G41" s="231"/>
      <c r="H41" s="229"/>
      <c r="I41" s="230"/>
      <c r="J41" s="231"/>
      <c r="K41" s="232" t="str">
        <f t="shared" si="0"/>
        <v/>
      </c>
      <c r="L41" s="233"/>
      <c r="M41" s="233"/>
      <c r="N41" s="233"/>
      <c r="O41" s="233"/>
      <c r="P41" s="233"/>
      <c r="Q41" s="234"/>
      <c r="R41" s="252"/>
      <c r="S41" s="253"/>
      <c r="T41" s="254"/>
    </row>
    <row r="42" spans="2:20" ht="21" customHeight="1">
      <c r="B42" s="235"/>
      <c r="C42" s="230"/>
      <c r="D42" s="231"/>
      <c r="E42" s="229"/>
      <c r="F42" s="230"/>
      <c r="G42" s="231"/>
      <c r="H42" s="229"/>
      <c r="I42" s="230"/>
      <c r="J42" s="231"/>
      <c r="K42" s="232" t="str">
        <f t="shared" si="0"/>
        <v/>
      </c>
      <c r="L42" s="233"/>
      <c r="M42" s="233"/>
      <c r="N42" s="233"/>
      <c r="O42" s="233"/>
      <c r="P42" s="233"/>
      <c r="Q42" s="234"/>
      <c r="R42" s="252"/>
      <c r="S42" s="253"/>
      <c r="T42" s="254"/>
    </row>
    <row r="43" spans="2:20" ht="21" customHeight="1">
      <c r="B43" s="235"/>
      <c r="C43" s="230"/>
      <c r="D43" s="231"/>
      <c r="E43" s="229"/>
      <c r="F43" s="230"/>
      <c r="G43" s="231"/>
      <c r="H43" s="229"/>
      <c r="I43" s="230"/>
      <c r="J43" s="231"/>
      <c r="K43" s="232" t="str">
        <f t="shared" si="0"/>
        <v/>
      </c>
      <c r="L43" s="233"/>
      <c r="M43" s="233"/>
      <c r="N43" s="233"/>
      <c r="O43" s="233"/>
      <c r="P43" s="233"/>
      <c r="Q43" s="234"/>
      <c r="R43" s="252"/>
      <c r="S43" s="253"/>
      <c r="T43" s="254"/>
    </row>
    <row r="44" spans="2:20" ht="21" customHeight="1">
      <c r="B44" s="235"/>
      <c r="C44" s="230"/>
      <c r="D44" s="231"/>
      <c r="E44" s="229"/>
      <c r="F44" s="230"/>
      <c r="G44" s="231"/>
      <c r="H44" s="229"/>
      <c r="I44" s="230"/>
      <c r="J44" s="231"/>
      <c r="K44" s="232" t="str">
        <f t="shared" si="0"/>
        <v/>
      </c>
      <c r="L44" s="233"/>
      <c r="M44" s="233"/>
      <c r="N44" s="233"/>
      <c r="O44" s="233"/>
      <c r="P44" s="233"/>
      <c r="Q44" s="234"/>
      <c r="R44" s="252"/>
      <c r="S44" s="253"/>
      <c r="T44" s="254"/>
    </row>
    <row r="45" spans="2:20" ht="21" customHeight="1">
      <c r="B45" s="235"/>
      <c r="C45" s="230"/>
      <c r="D45" s="231"/>
      <c r="E45" s="229"/>
      <c r="F45" s="230"/>
      <c r="G45" s="231"/>
      <c r="H45" s="229"/>
      <c r="I45" s="230"/>
      <c r="J45" s="231"/>
      <c r="K45" s="232" t="str">
        <f t="shared" si="0"/>
        <v/>
      </c>
      <c r="L45" s="233"/>
      <c r="M45" s="233"/>
      <c r="N45" s="233"/>
      <c r="O45" s="233"/>
      <c r="P45" s="233"/>
      <c r="Q45" s="234"/>
      <c r="R45" s="252"/>
      <c r="S45" s="253"/>
      <c r="T45" s="254"/>
    </row>
    <row r="46" spans="2:20" ht="21" customHeight="1">
      <c r="B46" s="235"/>
      <c r="C46" s="230"/>
      <c r="D46" s="231"/>
      <c r="E46" s="229"/>
      <c r="F46" s="230"/>
      <c r="G46" s="231"/>
      <c r="H46" s="229"/>
      <c r="I46" s="230"/>
      <c r="J46" s="231"/>
      <c r="K46" s="232" t="str">
        <f t="shared" si="0"/>
        <v/>
      </c>
      <c r="L46" s="233"/>
      <c r="M46" s="233"/>
      <c r="N46" s="233"/>
      <c r="O46" s="233"/>
      <c r="P46" s="233"/>
      <c r="Q46" s="234"/>
      <c r="R46" s="252"/>
      <c r="S46" s="253"/>
      <c r="T46" s="254"/>
    </row>
    <row r="47" spans="2:20" ht="21" customHeight="1">
      <c r="B47" s="235"/>
      <c r="C47" s="230"/>
      <c r="D47" s="231"/>
      <c r="E47" s="229"/>
      <c r="F47" s="230"/>
      <c r="G47" s="231"/>
      <c r="H47" s="229"/>
      <c r="I47" s="230"/>
      <c r="J47" s="231"/>
      <c r="K47" s="232" t="str">
        <f t="shared" si="0"/>
        <v/>
      </c>
      <c r="L47" s="233"/>
      <c r="M47" s="233"/>
      <c r="N47" s="233"/>
      <c r="O47" s="233"/>
      <c r="P47" s="233"/>
      <c r="Q47" s="234"/>
      <c r="R47" s="252"/>
      <c r="S47" s="253"/>
      <c r="T47" s="254"/>
    </row>
    <row r="48" spans="2:20" ht="21" customHeight="1">
      <c r="B48" s="235"/>
      <c r="C48" s="230"/>
      <c r="D48" s="231"/>
      <c r="E48" s="229"/>
      <c r="F48" s="230"/>
      <c r="G48" s="231"/>
      <c r="H48" s="229"/>
      <c r="I48" s="230"/>
      <c r="J48" s="231"/>
      <c r="K48" s="232" t="str">
        <f t="shared" si="0"/>
        <v/>
      </c>
      <c r="L48" s="233"/>
      <c r="M48" s="233"/>
      <c r="N48" s="233"/>
      <c r="O48" s="233"/>
      <c r="P48" s="233"/>
      <c r="Q48" s="234"/>
      <c r="R48" s="252"/>
      <c r="S48" s="253"/>
      <c r="T48" s="254"/>
    </row>
    <row r="49" spans="2:20" ht="21" customHeight="1">
      <c r="B49" s="235"/>
      <c r="C49" s="230"/>
      <c r="D49" s="231"/>
      <c r="E49" s="229"/>
      <c r="F49" s="230"/>
      <c r="G49" s="231"/>
      <c r="H49" s="229"/>
      <c r="I49" s="230"/>
      <c r="J49" s="231"/>
      <c r="K49" s="232" t="str">
        <f t="shared" si="0"/>
        <v/>
      </c>
      <c r="L49" s="233"/>
      <c r="M49" s="233"/>
      <c r="N49" s="233"/>
      <c r="O49" s="233"/>
      <c r="P49" s="233"/>
      <c r="Q49" s="234"/>
      <c r="R49" s="252"/>
      <c r="S49" s="253"/>
      <c r="T49" s="254"/>
    </row>
    <row r="50" spans="2:20" ht="21" customHeight="1">
      <c r="B50" s="235"/>
      <c r="C50" s="230"/>
      <c r="D50" s="231"/>
      <c r="E50" s="229"/>
      <c r="F50" s="230"/>
      <c r="G50" s="231"/>
      <c r="H50" s="229"/>
      <c r="I50" s="230"/>
      <c r="J50" s="231"/>
      <c r="K50" s="232" t="str">
        <f t="shared" si="0"/>
        <v/>
      </c>
      <c r="L50" s="233"/>
      <c r="M50" s="233"/>
      <c r="N50" s="233"/>
      <c r="O50" s="233"/>
      <c r="P50" s="233"/>
      <c r="Q50" s="234"/>
      <c r="R50" s="252"/>
      <c r="S50" s="253"/>
      <c r="T50" s="254"/>
    </row>
    <row r="51" spans="2:20" ht="21" customHeight="1">
      <c r="B51" s="235"/>
      <c r="C51" s="230"/>
      <c r="D51" s="231"/>
      <c r="E51" s="229"/>
      <c r="F51" s="230"/>
      <c r="G51" s="231"/>
      <c r="H51" s="229"/>
      <c r="I51" s="230"/>
      <c r="J51" s="231"/>
      <c r="K51" s="232" t="str">
        <f t="shared" si="0"/>
        <v/>
      </c>
      <c r="L51" s="233"/>
      <c r="M51" s="233"/>
      <c r="N51" s="233"/>
      <c r="O51" s="233"/>
      <c r="P51" s="233"/>
      <c r="Q51" s="234"/>
      <c r="R51" s="252"/>
      <c r="S51" s="253"/>
      <c r="T51" s="254"/>
    </row>
    <row r="52" spans="2:20" ht="21" customHeight="1">
      <c r="B52" s="235"/>
      <c r="C52" s="230"/>
      <c r="D52" s="231"/>
      <c r="E52" s="229"/>
      <c r="F52" s="230"/>
      <c r="G52" s="231"/>
      <c r="H52" s="229"/>
      <c r="I52" s="230"/>
      <c r="J52" s="231"/>
      <c r="K52" s="232" t="str">
        <f t="shared" si="0"/>
        <v/>
      </c>
      <c r="L52" s="233"/>
      <c r="M52" s="233"/>
      <c r="N52" s="233"/>
      <c r="O52" s="233"/>
      <c r="P52" s="233"/>
      <c r="Q52" s="234"/>
      <c r="R52" s="252"/>
      <c r="S52" s="253"/>
      <c r="T52" s="254"/>
    </row>
    <row r="53" spans="2:20" ht="21" customHeight="1">
      <c r="B53" s="235"/>
      <c r="C53" s="230"/>
      <c r="D53" s="231"/>
      <c r="E53" s="229"/>
      <c r="F53" s="230"/>
      <c r="G53" s="231"/>
      <c r="H53" s="229"/>
      <c r="I53" s="230"/>
      <c r="J53" s="231"/>
      <c r="K53" s="232" t="str">
        <f t="shared" si="0"/>
        <v/>
      </c>
      <c r="L53" s="233"/>
      <c r="M53" s="233"/>
      <c r="N53" s="233"/>
      <c r="O53" s="233"/>
      <c r="P53" s="233"/>
      <c r="Q53" s="234"/>
      <c r="R53" s="252"/>
      <c r="S53" s="253"/>
      <c r="T53" s="254"/>
    </row>
    <row r="54" spans="2:20" ht="21" customHeight="1">
      <c r="B54" s="235"/>
      <c r="C54" s="230"/>
      <c r="D54" s="231"/>
      <c r="E54" s="229"/>
      <c r="F54" s="230"/>
      <c r="G54" s="231"/>
      <c r="H54" s="229"/>
      <c r="I54" s="230"/>
      <c r="J54" s="231"/>
      <c r="K54" s="232" t="str">
        <f t="shared" si="0"/>
        <v/>
      </c>
      <c r="L54" s="233"/>
      <c r="M54" s="233"/>
      <c r="N54" s="233"/>
      <c r="O54" s="233"/>
      <c r="P54" s="233"/>
      <c r="Q54" s="234"/>
      <c r="R54" s="252"/>
      <c r="S54" s="253"/>
      <c r="T54" s="254"/>
    </row>
    <row r="55" spans="2:20" ht="21" customHeight="1">
      <c r="B55" s="235"/>
      <c r="C55" s="230"/>
      <c r="D55" s="231"/>
      <c r="E55" s="229"/>
      <c r="F55" s="230"/>
      <c r="G55" s="231"/>
      <c r="H55" s="229"/>
      <c r="I55" s="230"/>
      <c r="J55" s="231"/>
      <c r="K55" s="232" t="str">
        <f t="shared" si="0"/>
        <v/>
      </c>
      <c r="L55" s="233"/>
      <c r="M55" s="233"/>
      <c r="N55" s="233"/>
      <c r="O55" s="233"/>
      <c r="P55" s="233"/>
      <c r="Q55" s="234"/>
      <c r="R55" s="252"/>
      <c r="S55" s="253"/>
      <c r="T55" s="254"/>
    </row>
    <row r="56" spans="2:20" ht="21" customHeight="1">
      <c r="B56" s="235"/>
      <c r="C56" s="230"/>
      <c r="D56" s="231"/>
      <c r="E56" s="229"/>
      <c r="F56" s="230"/>
      <c r="G56" s="231"/>
      <c r="H56" s="229"/>
      <c r="I56" s="230"/>
      <c r="J56" s="231"/>
      <c r="K56" s="232" t="str">
        <f t="shared" si="0"/>
        <v/>
      </c>
      <c r="L56" s="233"/>
      <c r="M56" s="233"/>
      <c r="N56" s="233"/>
      <c r="O56" s="233"/>
      <c r="P56" s="233"/>
      <c r="Q56" s="234"/>
      <c r="R56" s="252"/>
      <c r="S56" s="253"/>
      <c r="T56" s="254"/>
    </row>
    <row r="57" spans="2:20" ht="21" customHeight="1">
      <c r="B57" s="235"/>
      <c r="C57" s="230"/>
      <c r="D57" s="231"/>
      <c r="E57" s="229"/>
      <c r="F57" s="230"/>
      <c r="G57" s="231"/>
      <c r="H57" s="229"/>
      <c r="I57" s="230"/>
      <c r="J57" s="231"/>
      <c r="K57" s="232" t="str">
        <f t="shared" si="0"/>
        <v/>
      </c>
      <c r="L57" s="233"/>
      <c r="M57" s="233"/>
      <c r="N57" s="233"/>
      <c r="O57" s="233"/>
      <c r="P57" s="233"/>
      <c r="Q57" s="234"/>
      <c r="R57" s="252"/>
      <c r="S57" s="253"/>
      <c r="T57" s="254"/>
    </row>
    <row r="58" spans="2:20" ht="21" customHeight="1">
      <c r="B58" s="235"/>
      <c r="C58" s="230"/>
      <c r="D58" s="231"/>
      <c r="E58" s="229"/>
      <c r="F58" s="230"/>
      <c r="G58" s="231"/>
      <c r="H58" s="229"/>
      <c r="I58" s="230"/>
      <c r="J58" s="231"/>
      <c r="K58" s="232" t="str">
        <f t="shared" si="0"/>
        <v/>
      </c>
      <c r="L58" s="233"/>
      <c r="M58" s="233"/>
      <c r="N58" s="233"/>
      <c r="O58" s="233"/>
      <c r="P58" s="233"/>
      <c r="Q58" s="234"/>
      <c r="R58" s="252"/>
      <c r="S58" s="253"/>
      <c r="T58" s="254"/>
    </row>
    <row r="59" spans="2:20" ht="21" customHeight="1">
      <c r="B59" s="235"/>
      <c r="C59" s="230"/>
      <c r="D59" s="231"/>
      <c r="E59" s="229"/>
      <c r="F59" s="230"/>
      <c r="G59" s="231"/>
      <c r="H59" s="229"/>
      <c r="I59" s="230"/>
      <c r="J59" s="231"/>
      <c r="K59" s="232" t="str">
        <f t="shared" si="0"/>
        <v/>
      </c>
      <c r="L59" s="233"/>
      <c r="M59" s="233"/>
      <c r="N59" s="233"/>
      <c r="O59" s="233"/>
      <c r="P59" s="233"/>
      <c r="Q59" s="234"/>
      <c r="R59" s="252"/>
      <c r="S59" s="253"/>
      <c r="T59" s="254"/>
    </row>
    <row r="60" spans="2:20" ht="21" customHeight="1">
      <c r="B60" s="235"/>
      <c r="C60" s="230"/>
      <c r="D60" s="231"/>
      <c r="E60" s="229"/>
      <c r="F60" s="230"/>
      <c r="G60" s="231"/>
      <c r="H60" s="229"/>
      <c r="I60" s="230"/>
      <c r="J60" s="231"/>
      <c r="K60" s="232" t="str">
        <f t="shared" si="0"/>
        <v/>
      </c>
      <c r="L60" s="233"/>
      <c r="M60" s="233"/>
      <c r="N60" s="233"/>
      <c r="O60" s="233"/>
      <c r="P60" s="233"/>
      <c r="Q60" s="234"/>
      <c r="R60" s="252"/>
      <c r="S60" s="253"/>
      <c r="T60" s="254"/>
    </row>
    <row r="61" spans="2:20" ht="21" customHeight="1">
      <c r="B61" s="235"/>
      <c r="C61" s="230"/>
      <c r="D61" s="231"/>
      <c r="E61" s="229"/>
      <c r="F61" s="230"/>
      <c r="G61" s="231"/>
      <c r="H61" s="229"/>
      <c r="I61" s="230"/>
      <c r="J61" s="231"/>
      <c r="K61" s="232" t="str">
        <f t="shared" si="0"/>
        <v/>
      </c>
      <c r="L61" s="233"/>
      <c r="M61" s="233"/>
      <c r="N61" s="233"/>
      <c r="O61" s="233"/>
      <c r="P61" s="233"/>
      <c r="Q61" s="234"/>
      <c r="R61" s="252"/>
      <c r="S61" s="253"/>
      <c r="T61" s="254"/>
    </row>
    <row r="62" spans="2:20" ht="21" customHeight="1">
      <c r="B62" s="235"/>
      <c r="C62" s="230"/>
      <c r="D62" s="231"/>
      <c r="E62" s="229"/>
      <c r="F62" s="230"/>
      <c r="G62" s="231"/>
      <c r="H62" s="229"/>
      <c r="I62" s="230"/>
      <c r="J62" s="231"/>
      <c r="K62" s="232" t="str">
        <f t="shared" si="0"/>
        <v/>
      </c>
      <c r="L62" s="233"/>
      <c r="M62" s="233"/>
      <c r="N62" s="233"/>
      <c r="O62" s="233"/>
      <c r="P62" s="233"/>
      <c r="Q62" s="234"/>
      <c r="R62" s="252"/>
      <c r="S62" s="253"/>
      <c r="T62" s="254"/>
    </row>
    <row r="63" spans="2:20" ht="21" customHeight="1">
      <c r="B63" s="235"/>
      <c r="C63" s="230"/>
      <c r="D63" s="231"/>
      <c r="E63" s="229"/>
      <c r="F63" s="230"/>
      <c r="G63" s="231"/>
      <c r="H63" s="229"/>
      <c r="I63" s="230"/>
      <c r="J63" s="231"/>
      <c r="K63" s="232" t="str">
        <f t="shared" si="0"/>
        <v/>
      </c>
      <c r="L63" s="233"/>
      <c r="M63" s="233"/>
      <c r="N63" s="233"/>
      <c r="O63" s="233"/>
      <c r="P63" s="233"/>
      <c r="Q63" s="234"/>
      <c r="R63" s="252"/>
      <c r="S63" s="253"/>
      <c r="T63" s="254"/>
    </row>
    <row r="64" spans="2:20" ht="21" customHeight="1">
      <c r="B64" s="235"/>
      <c r="C64" s="230"/>
      <c r="D64" s="231"/>
      <c r="E64" s="229"/>
      <c r="F64" s="230"/>
      <c r="G64" s="231"/>
      <c r="H64" s="229"/>
      <c r="I64" s="230"/>
      <c r="J64" s="231"/>
      <c r="K64" s="232" t="str">
        <f t="shared" si="0"/>
        <v/>
      </c>
      <c r="L64" s="233"/>
      <c r="M64" s="233"/>
      <c r="N64" s="233"/>
      <c r="O64" s="233"/>
      <c r="P64" s="233"/>
      <c r="Q64" s="234"/>
      <c r="R64" s="252"/>
      <c r="S64" s="253"/>
      <c r="T64" s="254"/>
    </row>
    <row r="65" spans="2:20" ht="21" customHeight="1">
      <c r="B65" s="235"/>
      <c r="C65" s="230"/>
      <c r="D65" s="231"/>
      <c r="E65" s="229"/>
      <c r="F65" s="230"/>
      <c r="G65" s="231"/>
      <c r="H65" s="229"/>
      <c r="I65" s="230"/>
      <c r="J65" s="231"/>
      <c r="K65" s="232" t="str">
        <f t="shared" si="0"/>
        <v/>
      </c>
      <c r="L65" s="233"/>
      <c r="M65" s="233"/>
      <c r="N65" s="233"/>
      <c r="O65" s="233"/>
      <c r="P65" s="233"/>
      <c r="Q65" s="234"/>
      <c r="R65" s="252"/>
      <c r="S65" s="253"/>
      <c r="T65" s="254"/>
    </row>
    <row r="66" spans="2:20" ht="21" customHeight="1">
      <c r="B66" s="235"/>
      <c r="C66" s="230"/>
      <c r="D66" s="231"/>
      <c r="E66" s="229"/>
      <c r="F66" s="230"/>
      <c r="G66" s="231"/>
      <c r="H66" s="229"/>
      <c r="I66" s="230"/>
      <c r="J66" s="231"/>
      <c r="K66" s="232" t="str">
        <f t="shared" si="0"/>
        <v/>
      </c>
      <c r="L66" s="233"/>
      <c r="M66" s="233"/>
      <c r="N66" s="233"/>
      <c r="O66" s="233"/>
      <c r="P66" s="233"/>
      <c r="Q66" s="234"/>
      <c r="R66" s="252"/>
      <c r="S66" s="253"/>
      <c r="T66" s="254"/>
    </row>
    <row r="67" spans="2:20" ht="21" customHeight="1">
      <c r="B67" s="235"/>
      <c r="C67" s="230"/>
      <c r="D67" s="231"/>
      <c r="E67" s="229"/>
      <c r="F67" s="230"/>
      <c r="G67" s="231"/>
      <c r="H67" s="229"/>
      <c r="I67" s="230"/>
      <c r="J67" s="231"/>
      <c r="K67" s="232" t="str">
        <f t="shared" si="0"/>
        <v/>
      </c>
      <c r="L67" s="233"/>
      <c r="M67" s="233"/>
      <c r="N67" s="233"/>
      <c r="O67" s="233"/>
      <c r="P67" s="233"/>
      <c r="Q67" s="234"/>
      <c r="R67" s="252"/>
      <c r="S67" s="253"/>
      <c r="T67" s="254"/>
    </row>
    <row r="68" spans="2:20" ht="21" customHeight="1">
      <c r="B68" s="235"/>
      <c r="C68" s="230"/>
      <c r="D68" s="231"/>
      <c r="E68" s="229"/>
      <c r="F68" s="230"/>
      <c r="G68" s="231"/>
      <c r="H68" s="229"/>
      <c r="I68" s="230"/>
      <c r="J68" s="231"/>
      <c r="K68" s="232" t="str">
        <f t="shared" si="0"/>
        <v/>
      </c>
      <c r="L68" s="233"/>
      <c r="M68" s="233"/>
      <c r="N68" s="233"/>
      <c r="O68" s="233"/>
      <c r="P68" s="233"/>
      <c r="Q68" s="234"/>
      <c r="R68" s="252"/>
      <c r="S68" s="253"/>
      <c r="T68" s="254"/>
    </row>
    <row r="69" spans="2:20" ht="21" customHeight="1">
      <c r="B69" s="235"/>
      <c r="C69" s="230"/>
      <c r="D69" s="231"/>
      <c r="E69" s="229"/>
      <c r="F69" s="230"/>
      <c r="G69" s="231"/>
      <c r="H69" s="229"/>
      <c r="I69" s="230"/>
      <c r="J69" s="231"/>
      <c r="K69" s="232" t="str">
        <f t="shared" si="0"/>
        <v/>
      </c>
      <c r="L69" s="233"/>
      <c r="M69" s="233"/>
      <c r="N69" s="233"/>
      <c r="O69" s="233"/>
      <c r="P69" s="233"/>
      <c r="Q69" s="234"/>
      <c r="R69" s="252"/>
      <c r="S69" s="253"/>
      <c r="T69" s="254"/>
    </row>
    <row r="70" spans="2:20" ht="21" customHeight="1">
      <c r="B70" s="235"/>
      <c r="C70" s="230"/>
      <c r="D70" s="231"/>
      <c r="E70" s="229"/>
      <c r="F70" s="230"/>
      <c r="G70" s="231"/>
      <c r="H70" s="229"/>
      <c r="I70" s="230"/>
      <c r="J70" s="231"/>
      <c r="K70" s="232" t="str">
        <f t="shared" si="0"/>
        <v/>
      </c>
      <c r="L70" s="233"/>
      <c r="M70" s="233"/>
      <c r="N70" s="233"/>
      <c r="O70" s="233"/>
      <c r="P70" s="233"/>
      <c r="Q70" s="234"/>
      <c r="R70" s="252"/>
      <c r="S70" s="253"/>
      <c r="T70" s="254"/>
    </row>
    <row r="71" spans="2:20" ht="21" customHeight="1">
      <c r="B71" s="235"/>
      <c r="C71" s="230"/>
      <c r="D71" s="231"/>
      <c r="E71" s="229"/>
      <c r="F71" s="230"/>
      <c r="G71" s="231"/>
      <c r="H71" s="229"/>
      <c r="I71" s="230"/>
      <c r="J71" s="231"/>
      <c r="K71" s="232" t="str">
        <f t="shared" si="0"/>
        <v/>
      </c>
      <c r="L71" s="233"/>
      <c r="M71" s="233"/>
      <c r="N71" s="233"/>
      <c r="O71" s="233"/>
      <c r="P71" s="233"/>
      <c r="Q71" s="234"/>
      <c r="R71" s="252"/>
      <c r="S71" s="253"/>
      <c r="T71" s="254"/>
    </row>
    <row r="72" spans="2:20" ht="21" customHeight="1">
      <c r="B72" s="235"/>
      <c r="C72" s="230"/>
      <c r="D72" s="231"/>
      <c r="E72" s="229"/>
      <c r="F72" s="230"/>
      <c r="G72" s="231"/>
      <c r="H72" s="229"/>
      <c r="I72" s="230"/>
      <c r="J72" s="231"/>
      <c r="K72" s="232" t="str">
        <f t="shared" si="0"/>
        <v/>
      </c>
      <c r="L72" s="233"/>
      <c r="M72" s="233"/>
      <c r="N72" s="233"/>
      <c r="O72" s="233"/>
      <c r="P72" s="233"/>
      <c r="Q72" s="234"/>
      <c r="R72" s="252"/>
      <c r="S72" s="253"/>
      <c r="T72" s="254"/>
    </row>
    <row r="73" spans="2:20" ht="21" customHeight="1">
      <c r="B73" s="235"/>
      <c r="C73" s="230"/>
      <c r="D73" s="231"/>
      <c r="E73" s="229"/>
      <c r="F73" s="230"/>
      <c r="G73" s="231"/>
      <c r="H73" s="229"/>
      <c r="I73" s="230"/>
      <c r="J73" s="231"/>
      <c r="K73" s="232" t="str">
        <f t="shared" si="0"/>
        <v/>
      </c>
      <c r="L73" s="233"/>
      <c r="M73" s="233"/>
      <c r="N73" s="233"/>
      <c r="O73" s="233"/>
      <c r="P73" s="233"/>
      <c r="Q73" s="234"/>
      <c r="R73" s="252"/>
      <c r="S73" s="253"/>
      <c r="T73" s="254"/>
    </row>
    <row r="74" spans="2:20" ht="21" customHeight="1">
      <c r="B74" s="235"/>
      <c r="C74" s="230"/>
      <c r="D74" s="231"/>
      <c r="E74" s="229"/>
      <c r="F74" s="230"/>
      <c r="G74" s="231"/>
      <c r="H74" s="229"/>
      <c r="I74" s="230"/>
      <c r="J74" s="231"/>
      <c r="K74" s="232" t="str">
        <f t="shared" si="0"/>
        <v/>
      </c>
      <c r="L74" s="233"/>
      <c r="M74" s="233"/>
      <c r="N74" s="233"/>
      <c r="O74" s="233"/>
      <c r="P74" s="233"/>
      <c r="Q74" s="234"/>
      <c r="R74" s="252"/>
      <c r="S74" s="253"/>
      <c r="T74" s="254"/>
    </row>
    <row r="75" spans="2:20" ht="21" customHeight="1">
      <c r="B75" s="235"/>
      <c r="C75" s="230"/>
      <c r="D75" s="231"/>
      <c r="E75" s="229"/>
      <c r="F75" s="230"/>
      <c r="G75" s="231"/>
      <c r="H75" s="229"/>
      <c r="I75" s="230"/>
      <c r="J75" s="231"/>
      <c r="K75" s="232" t="str">
        <f t="shared" si="0"/>
        <v/>
      </c>
      <c r="L75" s="233"/>
      <c r="M75" s="233"/>
      <c r="N75" s="233"/>
      <c r="O75" s="233"/>
      <c r="P75" s="233"/>
      <c r="Q75" s="234"/>
      <c r="R75" s="252"/>
      <c r="S75" s="253"/>
      <c r="T75" s="254"/>
    </row>
    <row r="76" spans="2:20" ht="21" customHeight="1">
      <c r="B76" s="235"/>
      <c r="C76" s="230"/>
      <c r="D76" s="231"/>
      <c r="E76" s="229"/>
      <c r="F76" s="230"/>
      <c r="G76" s="231"/>
      <c r="H76" s="229"/>
      <c r="I76" s="230"/>
      <c r="J76" s="231"/>
      <c r="K76" s="232" t="str">
        <f t="shared" si="0"/>
        <v/>
      </c>
      <c r="L76" s="233"/>
      <c r="M76" s="233"/>
      <c r="N76" s="233"/>
      <c r="O76" s="233"/>
      <c r="P76" s="233"/>
      <c r="Q76" s="234"/>
      <c r="R76" s="252"/>
      <c r="S76" s="253"/>
      <c r="T76" s="254"/>
    </row>
    <row r="77" spans="2:20" ht="21" customHeight="1">
      <c r="B77" s="235"/>
      <c r="C77" s="230"/>
      <c r="D77" s="231"/>
      <c r="E77" s="229"/>
      <c r="F77" s="230"/>
      <c r="G77" s="231"/>
      <c r="H77" s="229"/>
      <c r="I77" s="230"/>
      <c r="J77" s="231"/>
      <c r="K77" s="232" t="str">
        <f t="shared" si="0"/>
        <v/>
      </c>
      <c r="L77" s="233"/>
      <c r="M77" s="233"/>
      <c r="N77" s="233"/>
      <c r="O77" s="233"/>
      <c r="P77" s="233"/>
      <c r="Q77" s="234"/>
      <c r="R77" s="252"/>
      <c r="S77" s="253"/>
      <c r="T77" s="254"/>
    </row>
    <row r="78" spans="2:20" ht="21" customHeight="1">
      <c r="B78" s="235"/>
      <c r="C78" s="230"/>
      <c r="D78" s="231"/>
      <c r="E78" s="229"/>
      <c r="F78" s="230"/>
      <c r="G78" s="231"/>
      <c r="H78" s="229"/>
      <c r="I78" s="230"/>
      <c r="J78" s="231"/>
      <c r="K78" s="232" t="str">
        <f t="shared" si="0"/>
        <v/>
      </c>
      <c r="L78" s="233"/>
      <c r="M78" s="233"/>
      <c r="N78" s="233"/>
      <c r="O78" s="233"/>
      <c r="P78" s="233"/>
      <c r="Q78" s="234"/>
      <c r="R78" s="252"/>
      <c r="S78" s="253"/>
      <c r="T78" s="254"/>
    </row>
    <row r="79" spans="2:20" ht="21" customHeight="1">
      <c r="B79" s="235"/>
      <c r="C79" s="230"/>
      <c r="D79" s="231"/>
      <c r="E79" s="229"/>
      <c r="F79" s="230"/>
      <c r="G79" s="231"/>
      <c r="H79" s="229"/>
      <c r="I79" s="230"/>
      <c r="J79" s="231"/>
      <c r="K79" s="232" t="str">
        <f t="shared" si="0"/>
        <v/>
      </c>
      <c r="L79" s="233"/>
      <c r="M79" s="233"/>
      <c r="N79" s="233"/>
      <c r="O79" s="233"/>
      <c r="P79" s="233"/>
      <c r="Q79" s="234"/>
      <c r="R79" s="252"/>
      <c r="S79" s="253"/>
      <c r="T79" s="254"/>
    </row>
    <row r="80" spans="2:20" ht="21" customHeight="1">
      <c r="B80" s="235"/>
      <c r="C80" s="230"/>
      <c r="D80" s="231"/>
      <c r="E80" s="229"/>
      <c r="F80" s="230"/>
      <c r="G80" s="231"/>
      <c r="H80" s="229"/>
      <c r="I80" s="230"/>
      <c r="J80" s="231"/>
      <c r="K80" s="232" t="str">
        <f t="shared" si="0"/>
        <v/>
      </c>
      <c r="L80" s="233"/>
      <c r="M80" s="233"/>
      <c r="N80" s="233"/>
      <c r="O80" s="233"/>
      <c r="P80" s="233"/>
      <c r="Q80" s="234"/>
      <c r="R80" s="252"/>
      <c r="S80" s="253"/>
      <c r="T80" s="254"/>
    </row>
    <row r="81" spans="2:20" ht="21" customHeight="1">
      <c r="B81" s="235"/>
      <c r="C81" s="230"/>
      <c r="D81" s="231"/>
      <c r="E81" s="229"/>
      <c r="F81" s="230"/>
      <c r="G81" s="231"/>
      <c r="H81" s="229"/>
      <c r="I81" s="230"/>
      <c r="J81" s="231"/>
      <c r="K81" s="232" t="str">
        <f t="shared" si="0"/>
        <v/>
      </c>
      <c r="L81" s="233"/>
      <c r="M81" s="233"/>
      <c r="N81" s="233"/>
      <c r="O81" s="233"/>
      <c r="P81" s="233"/>
      <c r="Q81" s="234"/>
      <c r="R81" s="252"/>
      <c r="S81" s="253"/>
      <c r="T81" s="254"/>
    </row>
    <row r="82" spans="2:20" ht="21" customHeight="1">
      <c r="B82" s="235"/>
      <c r="C82" s="230"/>
      <c r="D82" s="231"/>
      <c r="E82" s="229"/>
      <c r="F82" s="230"/>
      <c r="G82" s="231"/>
      <c r="H82" s="229"/>
      <c r="I82" s="230"/>
      <c r="J82" s="231"/>
      <c r="K82" s="232" t="str">
        <f t="shared" si="0"/>
        <v/>
      </c>
      <c r="L82" s="233"/>
      <c r="M82" s="233"/>
      <c r="N82" s="233"/>
      <c r="O82" s="233"/>
      <c r="P82" s="233"/>
      <c r="Q82" s="234"/>
      <c r="R82" s="252"/>
      <c r="S82" s="253"/>
      <c r="T82" s="254"/>
    </row>
    <row r="83" spans="2:20" ht="21" customHeight="1">
      <c r="B83" s="235"/>
      <c r="C83" s="230"/>
      <c r="D83" s="231"/>
      <c r="E83" s="229"/>
      <c r="F83" s="230"/>
      <c r="G83" s="231"/>
      <c r="H83" s="229"/>
      <c r="I83" s="230"/>
      <c r="J83" s="231"/>
      <c r="K83" s="232" t="str">
        <f t="shared" si="0"/>
        <v/>
      </c>
      <c r="L83" s="233"/>
      <c r="M83" s="233"/>
      <c r="N83" s="233"/>
      <c r="O83" s="233"/>
      <c r="P83" s="233"/>
      <c r="Q83" s="234"/>
      <c r="R83" s="252"/>
      <c r="S83" s="253"/>
      <c r="T83" s="254"/>
    </row>
    <row r="84" spans="2:20" ht="21" customHeight="1">
      <c r="B84" s="235"/>
      <c r="C84" s="230"/>
      <c r="D84" s="231"/>
      <c r="E84" s="229"/>
      <c r="F84" s="230"/>
      <c r="G84" s="231"/>
      <c r="H84" s="229"/>
      <c r="I84" s="230"/>
      <c r="J84" s="231"/>
      <c r="K84" s="232" t="str">
        <f t="shared" si="0"/>
        <v/>
      </c>
      <c r="L84" s="233"/>
      <c r="M84" s="233"/>
      <c r="N84" s="233"/>
      <c r="O84" s="233"/>
      <c r="P84" s="233"/>
      <c r="Q84" s="234"/>
      <c r="R84" s="252"/>
      <c r="S84" s="253"/>
      <c r="T84" s="254"/>
    </row>
    <row r="85" spans="2:20" ht="21" customHeight="1">
      <c r="B85" s="235"/>
      <c r="C85" s="230"/>
      <c r="D85" s="231"/>
      <c r="E85" s="229"/>
      <c r="F85" s="230"/>
      <c r="G85" s="231"/>
      <c r="H85" s="229"/>
      <c r="I85" s="230"/>
      <c r="J85" s="231"/>
      <c r="K85" s="232" t="str">
        <f t="shared" ref="K85:K119" si="1">IFERROR(HLOOKUP(H85,$F$6:$AS$13,5,FALSE),"")</f>
        <v/>
      </c>
      <c r="L85" s="233"/>
      <c r="M85" s="233"/>
      <c r="N85" s="233"/>
      <c r="O85" s="233"/>
      <c r="P85" s="233"/>
      <c r="Q85" s="234"/>
      <c r="R85" s="252"/>
      <c r="S85" s="253"/>
      <c r="T85" s="254"/>
    </row>
    <row r="86" spans="2:20" ht="21" customHeight="1">
      <c r="B86" s="235"/>
      <c r="C86" s="230"/>
      <c r="D86" s="231"/>
      <c r="E86" s="229"/>
      <c r="F86" s="230"/>
      <c r="G86" s="231"/>
      <c r="H86" s="229"/>
      <c r="I86" s="230"/>
      <c r="J86" s="231"/>
      <c r="K86" s="232" t="str">
        <f t="shared" si="1"/>
        <v/>
      </c>
      <c r="L86" s="233"/>
      <c r="M86" s="233"/>
      <c r="N86" s="233"/>
      <c r="O86" s="233"/>
      <c r="P86" s="233"/>
      <c r="Q86" s="234"/>
      <c r="R86" s="252"/>
      <c r="S86" s="253"/>
      <c r="T86" s="254"/>
    </row>
    <row r="87" spans="2:20" ht="21" customHeight="1">
      <c r="B87" s="235"/>
      <c r="C87" s="230"/>
      <c r="D87" s="231"/>
      <c r="E87" s="229"/>
      <c r="F87" s="230"/>
      <c r="G87" s="231"/>
      <c r="H87" s="229"/>
      <c r="I87" s="230"/>
      <c r="J87" s="231"/>
      <c r="K87" s="232" t="str">
        <f t="shared" si="1"/>
        <v/>
      </c>
      <c r="L87" s="233"/>
      <c r="M87" s="233"/>
      <c r="N87" s="233"/>
      <c r="O87" s="233"/>
      <c r="P87" s="233"/>
      <c r="Q87" s="234"/>
      <c r="R87" s="252"/>
      <c r="S87" s="253"/>
      <c r="T87" s="254"/>
    </row>
    <row r="88" spans="2:20" ht="21" customHeight="1">
      <c r="B88" s="235"/>
      <c r="C88" s="230"/>
      <c r="D88" s="231"/>
      <c r="E88" s="229"/>
      <c r="F88" s="230"/>
      <c r="G88" s="231"/>
      <c r="H88" s="229"/>
      <c r="I88" s="230"/>
      <c r="J88" s="231"/>
      <c r="K88" s="232" t="str">
        <f t="shared" si="1"/>
        <v/>
      </c>
      <c r="L88" s="233"/>
      <c r="M88" s="233"/>
      <c r="N88" s="233"/>
      <c r="O88" s="233"/>
      <c r="P88" s="233"/>
      <c r="Q88" s="234"/>
      <c r="R88" s="252"/>
      <c r="S88" s="253"/>
      <c r="T88" s="254"/>
    </row>
    <row r="89" spans="2:20" ht="21" customHeight="1">
      <c r="B89" s="235"/>
      <c r="C89" s="230"/>
      <c r="D89" s="231"/>
      <c r="E89" s="229"/>
      <c r="F89" s="230"/>
      <c r="G89" s="231"/>
      <c r="H89" s="229"/>
      <c r="I89" s="230"/>
      <c r="J89" s="231"/>
      <c r="K89" s="232" t="str">
        <f t="shared" si="1"/>
        <v/>
      </c>
      <c r="L89" s="233"/>
      <c r="M89" s="233"/>
      <c r="N89" s="233"/>
      <c r="O89" s="233"/>
      <c r="P89" s="233"/>
      <c r="Q89" s="234"/>
      <c r="R89" s="252"/>
      <c r="S89" s="253"/>
      <c r="T89" s="254"/>
    </row>
    <row r="90" spans="2:20" ht="21" customHeight="1">
      <c r="B90" s="235"/>
      <c r="C90" s="230"/>
      <c r="D90" s="231"/>
      <c r="E90" s="229"/>
      <c r="F90" s="230"/>
      <c r="G90" s="231"/>
      <c r="H90" s="229"/>
      <c r="I90" s="230"/>
      <c r="J90" s="231"/>
      <c r="K90" s="232" t="str">
        <f t="shared" si="1"/>
        <v/>
      </c>
      <c r="L90" s="233"/>
      <c r="M90" s="233"/>
      <c r="N90" s="233"/>
      <c r="O90" s="233"/>
      <c r="P90" s="233"/>
      <c r="Q90" s="234"/>
      <c r="R90" s="252"/>
      <c r="S90" s="253"/>
      <c r="T90" s="254"/>
    </row>
    <row r="91" spans="2:20" ht="21" customHeight="1">
      <c r="B91" s="235"/>
      <c r="C91" s="230"/>
      <c r="D91" s="231"/>
      <c r="E91" s="229"/>
      <c r="F91" s="230"/>
      <c r="G91" s="231"/>
      <c r="H91" s="229"/>
      <c r="I91" s="230"/>
      <c r="J91" s="231"/>
      <c r="K91" s="232" t="str">
        <f t="shared" si="1"/>
        <v/>
      </c>
      <c r="L91" s="233"/>
      <c r="M91" s="233"/>
      <c r="N91" s="233"/>
      <c r="O91" s="233"/>
      <c r="P91" s="233"/>
      <c r="Q91" s="234"/>
      <c r="R91" s="252"/>
      <c r="S91" s="253"/>
      <c r="T91" s="254"/>
    </row>
    <row r="92" spans="2:20" ht="21" customHeight="1">
      <c r="B92" s="235"/>
      <c r="C92" s="230"/>
      <c r="D92" s="231"/>
      <c r="E92" s="229"/>
      <c r="F92" s="230"/>
      <c r="G92" s="231"/>
      <c r="H92" s="229"/>
      <c r="I92" s="230"/>
      <c r="J92" s="231"/>
      <c r="K92" s="232" t="str">
        <f t="shared" si="1"/>
        <v/>
      </c>
      <c r="L92" s="233"/>
      <c r="M92" s="233"/>
      <c r="N92" s="233"/>
      <c r="O92" s="233"/>
      <c r="P92" s="233"/>
      <c r="Q92" s="234"/>
      <c r="R92" s="252"/>
      <c r="S92" s="253"/>
      <c r="T92" s="254"/>
    </row>
    <row r="93" spans="2:20" ht="21" customHeight="1">
      <c r="B93" s="235"/>
      <c r="C93" s="230"/>
      <c r="D93" s="231"/>
      <c r="E93" s="229"/>
      <c r="F93" s="230"/>
      <c r="G93" s="231"/>
      <c r="H93" s="229"/>
      <c r="I93" s="230"/>
      <c r="J93" s="231"/>
      <c r="K93" s="232" t="str">
        <f t="shared" si="1"/>
        <v/>
      </c>
      <c r="L93" s="233"/>
      <c r="M93" s="233"/>
      <c r="N93" s="233"/>
      <c r="O93" s="233"/>
      <c r="P93" s="233"/>
      <c r="Q93" s="234"/>
      <c r="R93" s="252"/>
      <c r="S93" s="253"/>
      <c r="T93" s="254"/>
    </row>
    <row r="94" spans="2:20" ht="21" customHeight="1">
      <c r="B94" s="235"/>
      <c r="C94" s="230"/>
      <c r="D94" s="231"/>
      <c r="E94" s="229"/>
      <c r="F94" s="230"/>
      <c r="G94" s="231"/>
      <c r="H94" s="229"/>
      <c r="I94" s="230"/>
      <c r="J94" s="231"/>
      <c r="K94" s="232" t="str">
        <f t="shared" si="1"/>
        <v/>
      </c>
      <c r="L94" s="233"/>
      <c r="M94" s="233"/>
      <c r="N94" s="233"/>
      <c r="O94" s="233"/>
      <c r="P94" s="233"/>
      <c r="Q94" s="234"/>
      <c r="R94" s="252"/>
      <c r="S94" s="253"/>
      <c r="T94" s="254"/>
    </row>
    <row r="95" spans="2:20" ht="21" customHeight="1">
      <c r="B95" s="235"/>
      <c r="C95" s="230"/>
      <c r="D95" s="231"/>
      <c r="E95" s="229"/>
      <c r="F95" s="230"/>
      <c r="G95" s="231"/>
      <c r="H95" s="229"/>
      <c r="I95" s="230"/>
      <c r="J95" s="231"/>
      <c r="K95" s="232" t="str">
        <f t="shared" si="1"/>
        <v/>
      </c>
      <c r="L95" s="233"/>
      <c r="M95" s="233"/>
      <c r="N95" s="233"/>
      <c r="O95" s="233"/>
      <c r="P95" s="233"/>
      <c r="Q95" s="234"/>
      <c r="R95" s="252"/>
      <c r="S95" s="253"/>
      <c r="T95" s="254"/>
    </row>
    <row r="96" spans="2:20" ht="21" customHeight="1">
      <c r="B96" s="235"/>
      <c r="C96" s="230"/>
      <c r="D96" s="231"/>
      <c r="E96" s="229"/>
      <c r="F96" s="230"/>
      <c r="G96" s="231"/>
      <c r="H96" s="229"/>
      <c r="I96" s="230"/>
      <c r="J96" s="231"/>
      <c r="K96" s="232" t="str">
        <f t="shared" si="1"/>
        <v/>
      </c>
      <c r="L96" s="233"/>
      <c r="M96" s="233"/>
      <c r="N96" s="233"/>
      <c r="O96" s="233"/>
      <c r="P96" s="233"/>
      <c r="Q96" s="234"/>
      <c r="R96" s="252"/>
      <c r="S96" s="253"/>
      <c r="T96" s="254"/>
    </row>
    <row r="97" spans="2:20" ht="21" customHeight="1">
      <c r="B97" s="235"/>
      <c r="C97" s="230"/>
      <c r="D97" s="231"/>
      <c r="E97" s="229"/>
      <c r="F97" s="230"/>
      <c r="G97" s="231"/>
      <c r="H97" s="229"/>
      <c r="I97" s="230"/>
      <c r="J97" s="231"/>
      <c r="K97" s="232" t="str">
        <f t="shared" si="1"/>
        <v/>
      </c>
      <c r="L97" s="233"/>
      <c r="M97" s="233"/>
      <c r="N97" s="233"/>
      <c r="O97" s="233"/>
      <c r="P97" s="233"/>
      <c r="Q97" s="234"/>
      <c r="R97" s="252"/>
      <c r="S97" s="253"/>
      <c r="T97" s="254"/>
    </row>
    <row r="98" spans="2:20" ht="21" customHeight="1">
      <c r="B98" s="235"/>
      <c r="C98" s="230"/>
      <c r="D98" s="231"/>
      <c r="E98" s="229"/>
      <c r="F98" s="230"/>
      <c r="G98" s="231"/>
      <c r="H98" s="229"/>
      <c r="I98" s="230"/>
      <c r="J98" s="231"/>
      <c r="K98" s="232" t="str">
        <f t="shared" si="1"/>
        <v/>
      </c>
      <c r="L98" s="233"/>
      <c r="M98" s="233"/>
      <c r="N98" s="233"/>
      <c r="O98" s="233"/>
      <c r="P98" s="233"/>
      <c r="Q98" s="234"/>
      <c r="R98" s="252"/>
      <c r="S98" s="253"/>
      <c r="T98" s="254"/>
    </row>
    <row r="99" spans="2:20" ht="21" customHeight="1">
      <c r="B99" s="235"/>
      <c r="C99" s="230"/>
      <c r="D99" s="231"/>
      <c r="E99" s="229"/>
      <c r="F99" s="230"/>
      <c r="G99" s="231"/>
      <c r="H99" s="229"/>
      <c r="I99" s="230"/>
      <c r="J99" s="231"/>
      <c r="K99" s="232" t="str">
        <f t="shared" si="1"/>
        <v/>
      </c>
      <c r="L99" s="233"/>
      <c r="M99" s="233"/>
      <c r="N99" s="233"/>
      <c r="O99" s="233"/>
      <c r="P99" s="233"/>
      <c r="Q99" s="234"/>
      <c r="R99" s="252"/>
      <c r="S99" s="253"/>
      <c r="T99" s="254"/>
    </row>
    <row r="100" spans="2:20" ht="21" customHeight="1">
      <c r="B100" s="235"/>
      <c r="C100" s="230"/>
      <c r="D100" s="231"/>
      <c r="E100" s="229"/>
      <c r="F100" s="230"/>
      <c r="G100" s="231"/>
      <c r="H100" s="229"/>
      <c r="I100" s="230"/>
      <c r="J100" s="231"/>
      <c r="K100" s="232" t="str">
        <f t="shared" si="1"/>
        <v/>
      </c>
      <c r="L100" s="233"/>
      <c r="M100" s="233"/>
      <c r="N100" s="233"/>
      <c r="O100" s="233"/>
      <c r="P100" s="233"/>
      <c r="Q100" s="234"/>
      <c r="R100" s="252"/>
      <c r="S100" s="253"/>
      <c r="T100" s="254"/>
    </row>
    <row r="101" spans="2:20" ht="21" customHeight="1">
      <c r="B101" s="235"/>
      <c r="C101" s="230"/>
      <c r="D101" s="231"/>
      <c r="E101" s="229"/>
      <c r="F101" s="230"/>
      <c r="G101" s="231"/>
      <c r="H101" s="229"/>
      <c r="I101" s="230"/>
      <c r="J101" s="231"/>
      <c r="K101" s="232" t="str">
        <f t="shared" si="1"/>
        <v/>
      </c>
      <c r="L101" s="233"/>
      <c r="M101" s="233"/>
      <c r="N101" s="233"/>
      <c r="O101" s="233"/>
      <c r="P101" s="233"/>
      <c r="Q101" s="234"/>
      <c r="R101" s="252"/>
      <c r="S101" s="253"/>
      <c r="T101" s="254"/>
    </row>
    <row r="102" spans="2:20" ht="21" customHeight="1">
      <c r="B102" s="235"/>
      <c r="C102" s="230"/>
      <c r="D102" s="231"/>
      <c r="E102" s="229"/>
      <c r="F102" s="230"/>
      <c r="G102" s="231"/>
      <c r="H102" s="229"/>
      <c r="I102" s="230"/>
      <c r="J102" s="231"/>
      <c r="K102" s="232" t="str">
        <f t="shared" si="1"/>
        <v/>
      </c>
      <c r="L102" s="233"/>
      <c r="M102" s="233"/>
      <c r="N102" s="233"/>
      <c r="O102" s="233"/>
      <c r="P102" s="233"/>
      <c r="Q102" s="234"/>
      <c r="R102" s="252"/>
      <c r="S102" s="253"/>
      <c r="T102" s="254"/>
    </row>
    <row r="103" spans="2:20" ht="21" customHeight="1">
      <c r="B103" s="235"/>
      <c r="C103" s="230"/>
      <c r="D103" s="231"/>
      <c r="E103" s="229"/>
      <c r="F103" s="230"/>
      <c r="G103" s="231"/>
      <c r="H103" s="229"/>
      <c r="I103" s="230"/>
      <c r="J103" s="231"/>
      <c r="K103" s="232" t="str">
        <f t="shared" si="1"/>
        <v/>
      </c>
      <c r="L103" s="233"/>
      <c r="M103" s="233"/>
      <c r="N103" s="233"/>
      <c r="O103" s="233"/>
      <c r="P103" s="233"/>
      <c r="Q103" s="234"/>
      <c r="R103" s="252"/>
      <c r="S103" s="253"/>
      <c r="T103" s="254"/>
    </row>
    <row r="104" spans="2:20" ht="21" customHeight="1">
      <c r="B104" s="235"/>
      <c r="C104" s="230"/>
      <c r="D104" s="231"/>
      <c r="E104" s="229"/>
      <c r="F104" s="230"/>
      <c r="G104" s="231"/>
      <c r="H104" s="229"/>
      <c r="I104" s="230"/>
      <c r="J104" s="231"/>
      <c r="K104" s="232" t="str">
        <f t="shared" si="1"/>
        <v/>
      </c>
      <c r="L104" s="233"/>
      <c r="M104" s="233"/>
      <c r="N104" s="233"/>
      <c r="O104" s="233"/>
      <c r="P104" s="233"/>
      <c r="Q104" s="234"/>
      <c r="R104" s="252"/>
      <c r="S104" s="253"/>
      <c r="T104" s="254"/>
    </row>
    <row r="105" spans="2:20" ht="21" customHeight="1">
      <c r="B105" s="235"/>
      <c r="C105" s="230"/>
      <c r="D105" s="231"/>
      <c r="E105" s="229"/>
      <c r="F105" s="230"/>
      <c r="G105" s="231"/>
      <c r="H105" s="229"/>
      <c r="I105" s="230"/>
      <c r="J105" s="231"/>
      <c r="K105" s="232" t="str">
        <f t="shared" si="1"/>
        <v/>
      </c>
      <c r="L105" s="233"/>
      <c r="M105" s="233"/>
      <c r="N105" s="233"/>
      <c r="O105" s="233"/>
      <c r="P105" s="233"/>
      <c r="Q105" s="234"/>
      <c r="R105" s="252"/>
      <c r="S105" s="253"/>
      <c r="T105" s="254"/>
    </row>
    <row r="106" spans="2:20" ht="21" customHeight="1">
      <c r="B106" s="235"/>
      <c r="C106" s="230"/>
      <c r="D106" s="231"/>
      <c r="E106" s="229"/>
      <c r="F106" s="230"/>
      <c r="G106" s="231"/>
      <c r="H106" s="229"/>
      <c r="I106" s="230"/>
      <c r="J106" s="231"/>
      <c r="K106" s="232" t="str">
        <f t="shared" si="1"/>
        <v/>
      </c>
      <c r="L106" s="233"/>
      <c r="M106" s="233"/>
      <c r="N106" s="233"/>
      <c r="O106" s="233"/>
      <c r="P106" s="233"/>
      <c r="Q106" s="234"/>
      <c r="R106" s="252"/>
      <c r="S106" s="253"/>
      <c r="T106" s="254"/>
    </row>
    <row r="107" spans="2:20" ht="21" customHeight="1">
      <c r="B107" s="235"/>
      <c r="C107" s="230"/>
      <c r="D107" s="231"/>
      <c r="E107" s="229"/>
      <c r="F107" s="230"/>
      <c r="G107" s="231"/>
      <c r="H107" s="229"/>
      <c r="I107" s="230"/>
      <c r="J107" s="231"/>
      <c r="K107" s="232" t="str">
        <f t="shared" si="1"/>
        <v/>
      </c>
      <c r="L107" s="233"/>
      <c r="M107" s="233"/>
      <c r="N107" s="233"/>
      <c r="O107" s="233"/>
      <c r="P107" s="233"/>
      <c r="Q107" s="234"/>
      <c r="R107" s="252"/>
      <c r="S107" s="253"/>
      <c r="T107" s="254"/>
    </row>
    <row r="108" spans="2:20" ht="21" customHeight="1">
      <c r="B108" s="235"/>
      <c r="C108" s="230"/>
      <c r="D108" s="231"/>
      <c r="E108" s="229"/>
      <c r="F108" s="230"/>
      <c r="G108" s="231"/>
      <c r="H108" s="229"/>
      <c r="I108" s="230"/>
      <c r="J108" s="231"/>
      <c r="K108" s="232" t="str">
        <f t="shared" si="1"/>
        <v/>
      </c>
      <c r="L108" s="233"/>
      <c r="M108" s="233"/>
      <c r="N108" s="233"/>
      <c r="O108" s="233"/>
      <c r="P108" s="233"/>
      <c r="Q108" s="234"/>
      <c r="R108" s="252"/>
      <c r="S108" s="253"/>
      <c r="T108" s="254"/>
    </row>
    <row r="109" spans="2:20" ht="21" customHeight="1">
      <c r="B109" s="235"/>
      <c r="C109" s="230"/>
      <c r="D109" s="231"/>
      <c r="E109" s="229"/>
      <c r="F109" s="230"/>
      <c r="G109" s="231"/>
      <c r="H109" s="229"/>
      <c r="I109" s="230"/>
      <c r="J109" s="231"/>
      <c r="K109" s="232" t="str">
        <f t="shared" si="1"/>
        <v/>
      </c>
      <c r="L109" s="233"/>
      <c r="M109" s="233"/>
      <c r="N109" s="233"/>
      <c r="O109" s="233"/>
      <c r="P109" s="233"/>
      <c r="Q109" s="234"/>
      <c r="R109" s="252"/>
      <c r="S109" s="253"/>
      <c r="T109" s="254"/>
    </row>
    <row r="110" spans="2:20" ht="21" customHeight="1">
      <c r="B110" s="235"/>
      <c r="C110" s="230"/>
      <c r="D110" s="231"/>
      <c r="E110" s="229"/>
      <c r="F110" s="230"/>
      <c r="G110" s="231"/>
      <c r="H110" s="229"/>
      <c r="I110" s="230"/>
      <c r="J110" s="231"/>
      <c r="K110" s="232" t="str">
        <f t="shared" si="1"/>
        <v/>
      </c>
      <c r="L110" s="233"/>
      <c r="M110" s="233"/>
      <c r="N110" s="233"/>
      <c r="O110" s="233"/>
      <c r="P110" s="233"/>
      <c r="Q110" s="234"/>
      <c r="R110" s="252"/>
      <c r="S110" s="253"/>
      <c r="T110" s="254"/>
    </row>
    <row r="111" spans="2:20" ht="21" customHeight="1">
      <c r="B111" s="235"/>
      <c r="C111" s="230"/>
      <c r="D111" s="231"/>
      <c r="E111" s="229"/>
      <c r="F111" s="230"/>
      <c r="G111" s="231"/>
      <c r="H111" s="229"/>
      <c r="I111" s="230"/>
      <c r="J111" s="231"/>
      <c r="K111" s="232" t="str">
        <f t="shared" si="1"/>
        <v/>
      </c>
      <c r="L111" s="233"/>
      <c r="M111" s="233"/>
      <c r="N111" s="233"/>
      <c r="O111" s="233"/>
      <c r="P111" s="233"/>
      <c r="Q111" s="234"/>
      <c r="R111" s="252"/>
      <c r="S111" s="253"/>
      <c r="T111" s="254"/>
    </row>
    <row r="112" spans="2:20" ht="21" customHeight="1">
      <c r="B112" s="235"/>
      <c r="C112" s="230"/>
      <c r="D112" s="231"/>
      <c r="E112" s="229"/>
      <c r="F112" s="230"/>
      <c r="G112" s="231"/>
      <c r="H112" s="229"/>
      <c r="I112" s="230"/>
      <c r="J112" s="231"/>
      <c r="K112" s="232" t="str">
        <f t="shared" si="1"/>
        <v/>
      </c>
      <c r="L112" s="233"/>
      <c r="M112" s="233"/>
      <c r="N112" s="233"/>
      <c r="O112" s="233"/>
      <c r="P112" s="233"/>
      <c r="Q112" s="234"/>
      <c r="R112" s="252"/>
      <c r="S112" s="253"/>
      <c r="T112" s="254"/>
    </row>
    <row r="113" spans="2:20" ht="21" customHeight="1">
      <c r="B113" s="235"/>
      <c r="C113" s="230"/>
      <c r="D113" s="231"/>
      <c r="E113" s="229"/>
      <c r="F113" s="230"/>
      <c r="G113" s="231"/>
      <c r="H113" s="229"/>
      <c r="I113" s="230"/>
      <c r="J113" s="231"/>
      <c r="K113" s="232" t="str">
        <f t="shared" si="1"/>
        <v/>
      </c>
      <c r="L113" s="233"/>
      <c r="M113" s="233"/>
      <c r="N113" s="233"/>
      <c r="O113" s="233"/>
      <c r="P113" s="233"/>
      <c r="Q113" s="234"/>
      <c r="R113" s="252"/>
      <c r="S113" s="253"/>
      <c r="T113" s="254"/>
    </row>
    <row r="114" spans="2:20" ht="21" customHeight="1">
      <c r="B114" s="235"/>
      <c r="C114" s="230"/>
      <c r="D114" s="231"/>
      <c r="E114" s="229"/>
      <c r="F114" s="230"/>
      <c r="G114" s="231"/>
      <c r="H114" s="229"/>
      <c r="I114" s="230"/>
      <c r="J114" s="231"/>
      <c r="K114" s="232" t="str">
        <f t="shared" si="1"/>
        <v/>
      </c>
      <c r="L114" s="233"/>
      <c r="M114" s="233"/>
      <c r="N114" s="233"/>
      <c r="O114" s="233"/>
      <c r="P114" s="233"/>
      <c r="Q114" s="234"/>
      <c r="R114" s="252"/>
      <c r="S114" s="253"/>
      <c r="T114" s="254"/>
    </row>
    <row r="115" spans="2:20" ht="21" customHeight="1">
      <c r="B115" s="235"/>
      <c r="C115" s="230"/>
      <c r="D115" s="231"/>
      <c r="E115" s="229"/>
      <c r="F115" s="230"/>
      <c r="G115" s="231"/>
      <c r="H115" s="229"/>
      <c r="I115" s="230"/>
      <c r="J115" s="231"/>
      <c r="K115" s="232" t="str">
        <f t="shared" si="1"/>
        <v/>
      </c>
      <c r="L115" s="233"/>
      <c r="M115" s="233"/>
      <c r="N115" s="233"/>
      <c r="O115" s="233"/>
      <c r="P115" s="233"/>
      <c r="Q115" s="234"/>
      <c r="R115" s="252"/>
      <c r="S115" s="253"/>
      <c r="T115" s="254"/>
    </row>
    <row r="116" spans="2:20" ht="21" customHeight="1">
      <c r="B116" s="235"/>
      <c r="C116" s="230"/>
      <c r="D116" s="231"/>
      <c r="E116" s="229"/>
      <c r="F116" s="230"/>
      <c r="G116" s="231"/>
      <c r="H116" s="229"/>
      <c r="I116" s="230"/>
      <c r="J116" s="231"/>
      <c r="K116" s="232" t="str">
        <f t="shared" si="1"/>
        <v/>
      </c>
      <c r="L116" s="233"/>
      <c r="M116" s="233"/>
      <c r="N116" s="233"/>
      <c r="O116" s="233"/>
      <c r="P116" s="233"/>
      <c r="Q116" s="234"/>
      <c r="R116" s="252"/>
      <c r="S116" s="253"/>
      <c r="T116" s="254"/>
    </row>
    <row r="117" spans="2:20" ht="21" customHeight="1">
      <c r="B117" s="235"/>
      <c r="C117" s="230"/>
      <c r="D117" s="231"/>
      <c r="E117" s="229"/>
      <c r="F117" s="230"/>
      <c r="G117" s="231"/>
      <c r="H117" s="229"/>
      <c r="I117" s="230"/>
      <c r="J117" s="231"/>
      <c r="K117" s="232" t="str">
        <f t="shared" si="1"/>
        <v/>
      </c>
      <c r="L117" s="233"/>
      <c r="M117" s="233"/>
      <c r="N117" s="233"/>
      <c r="O117" s="233"/>
      <c r="P117" s="233"/>
      <c r="Q117" s="234"/>
      <c r="R117" s="252"/>
      <c r="S117" s="253"/>
      <c r="T117" s="254"/>
    </row>
    <row r="118" spans="2:20" ht="21" customHeight="1">
      <c r="B118" s="235"/>
      <c r="C118" s="230"/>
      <c r="D118" s="231"/>
      <c r="E118" s="229"/>
      <c r="F118" s="230"/>
      <c r="G118" s="231"/>
      <c r="H118" s="229"/>
      <c r="I118" s="230"/>
      <c r="J118" s="231"/>
      <c r="K118" s="232" t="str">
        <f t="shared" si="1"/>
        <v/>
      </c>
      <c r="L118" s="233"/>
      <c r="M118" s="233"/>
      <c r="N118" s="233"/>
      <c r="O118" s="233"/>
      <c r="P118" s="233"/>
      <c r="Q118" s="234"/>
      <c r="R118" s="252"/>
      <c r="S118" s="253"/>
      <c r="T118" s="254"/>
    </row>
    <row r="119" spans="2:20" ht="21" customHeight="1" thickBot="1">
      <c r="B119" s="222"/>
      <c r="C119" s="223"/>
      <c r="D119" s="224"/>
      <c r="E119" s="225"/>
      <c r="F119" s="223"/>
      <c r="G119" s="224"/>
      <c r="H119" s="225"/>
      <c r="I119" s="223"/>
      <c r="J119" s="224"/>
      <c r="K119" s="226" t="str">
        <f t="shared" si="1"/>
        <v/>
      </c>
      <c r="L119" s="227"/>
      <c r="M119" s="227"/>
      <c r="N119" s="227"/>
      <c r="O119" s="227"/>
      <c r="P119" s="227"/>
      <c r="Q119" s="228"/>
      <c r="R119" s="257"/>
      <c r="S119" s="258"/>
      <c r="T119" s="259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2" priority="4">
      <formula>LEN(TRIM(R20))=0</formula>
    </cfRule>
  </conditionalFormatting>
  <conditionalFormatting sqref="B20:J119">
    <cfRule type="containsBlanks" dxfId="21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60" t="s">
        <v>25</v>
      </c>
      <c r="D2" s="262" t="s">
        <v>47</v>
      </c>
      <c r="E2" s="264" t="s">
        <v>23</v>
      </c>
      <c r="F2" s="266" t="s">
        <v>21</v>
      </c>
      <c r="G2" s="266" t="s">
        <v>21</v>
      </c>
      <c r="H2" s="266" t="s">
        <v>21</v>
      </c>
      <c r="I2" s="266" t="s">
        <v>21</v>
      </c>
      <c r="J2" s="266" t="s">
        <v>21</v>
      </c>
      <c r="K2" s="266" t="s">
        <v>21</v>
      </c>
      <c r="L2" s="266" t="s">
        <v>21</v>
      </c>
      <c r="M2" s="266" t="s">
        <v>21</v>
      </c>
      <c r="N2" s="266" t="s">
        <v>21</v>
      </c>
      <c r="O2" s="266" t="s">
        <v>21</v>
      </c>
      <c r="P2" s="266" t="s">
        <v>21</v>
      </c>
      <c r="Q2" s="266" t="s">
        <v>21</v>
      </c>
      <c r="R2" s="266" t="s">
        <v>21</v>
      </c>
      <c r="S2" s="266" t="s">
        <v>21</v>
      </c>
      <c r="T2" s="266" t="s">
        <v>21</v>
      </c>
      <c r="U2" s="266" t="s">
        <v>21</v>
      </c>
      <c r="V2" s="266" t="s">
        <v>21</v>
      </c>
      <c r="W2" s="266" t="s">
        <v>21</v>
      </c>
      <c r="X2" s="266" t="s">
        <v>21</v>
      </c>
      <c r="Y2" s="266" t="s">
        <v>21</v>
      </c>
      <c r="Z2" s="266" t="s">
        <v>21</v>
      </c>
      <c r="AA2" s="266" t="s">
        <v>21</v>
      </c>
      <c r="AB2" s="266" t="s">
        <v>21</v>
      </c>
      <c r="AC2" s="266" t="s">
        <v>21</v>
      </c>
      <c r="AD2" s="266" t="s">
        <v>21</v>
      </c>
      <c r="AE2" s="266" t="s">
        <v>21</v>
      </c>
      <c r="AF2" s="266" t="s">
        <v>21</v>
      </c>
      <c r="AG2" s="266" t="s">
        <v>21</v>
      </c>
      <c r="AH2" s="266" t="s">
        <v>21</v>
      </c>
      <c r="AI2" s="266" t="s">
        <v>21</v>
      </c>
      <c r="AJ2" s="266" t="s">
        <v>21</v>
      </c>
      <c r="AK2" s="266" t="s">
        <v>21</v>
      </c>
      <c r="AL2" s="266" t="s">
        <v>21</v>
      </c>
      <c r="AM2" s="266" t="s">
        <v>21</v>
      </c>
      <c r="AN2" s="266" t="s">
        <v>21</v>
      </c>
      <c r="AO2" s="266" t="s">
        <v>21</v>
      </c>
      <c r="AP2" s="266" t="s">
        <v>21</v>
      </c>
      <c r="AQ2" s="266" t="s">
        <v>21</v>
      </c>
      <c r="AR2" s="266" t="s">
        <v>21</v>
      </c>
      <c r="AS2" s="266" t="s">
        <v>21</v>
      </c>
      <c r="AT2" s="266" t="s">
        <v>21</v>
      </c>
      <c r="AU2" s="266" t="s">
        <v>21</v>
      </c>
      <c r="AV2" s="266" t="s">
        <v>21</v>
      </c>
      <c r="AW2" s="266" t="s">
        <v>21</v>
      </c>
      <c r="AX2" s="266" t="s">
        <v>21</v>
      </c>
      <c r="AY2" s="266" t="s">
        <v>21</v>
      </c>
      <c r="AZ2" s="266" t="s">
        <v>21</v>
      </c>
      <c r="BA2" s="266" t="s">
        <v>21</v>
      </c>
      <c r="BB2" s="266" t="s">
        <v>21</v>
      </c>
      <c r="BC2" s="266" t="s">
        <v>21</v>
      </c>
      <c r="BD2" s="266" t="s">
        <v>21</v>
      </c>
      <c r="BE2" s="266" t="s">
        <v>21</v>
      </c>
      <c r="BF2" s="266" t="s">
        <v>21</v>
      </c>
      <c r="BG2" s="266" t="s">
        <v>21</v>
      </c>
      <c r="BH2" s="266" t="s">
        <v>21</v>
      </c>
      <c r="BI2" s="266" t="s">
        <v>21</v>
      </c>
      <c r="BJ2" s="266" t="s">
        <v>21</v>
      </c>
      <c r="BK2" s="266" t="s">
        <v>21</v>
      </c>
      <c r="BL2" s="266" t="s">
        <v>21</v>
      </c>
      <c r="BM2" s="266" t="s">
        <v>21</v>
      </c>
      <c r="BN2" s="266" t="s">
        <v>21</v>
      </c>
      <c r="BO2" s="266" t="s">
        <v>21</v>
      </c>
      <c r="BP2" s="266" t="s">
        <v>21</v>
      </c>
      <c r="BQ2" s="266" t="s">
        <v>21</v>
      </c>
      <c r="BR2" s="266" t="s">
        <v>21</v>
      </c>
      <c r="BS2" s="266" t="s">
        <v>21</v>
      </c>
      <c r="BT2" s="266" t="s">
        <v>21</v>
      </c>
      <c r="BU2" s="266" t="s">
        <v>21</v>
      </c>
      <c r="BV2" s="266" t="s">
        <v>21</v>
      </c>
      <c r="BW2" s="266" t="s">
        <v>21</v>
      </c>
      <c r="BX2" s="266" t="s">
        <v>21</v>
      </c>
      <c r="BY2" s="266" t="s">
        <v>21</v>
      </c>
      <c r="BZ2" s="266" t="s">
        <v>21</v>
      </c>
      <c r="CA2" s="266" t="s">
        <v>21</v>
      </c>
      <c r="CB2" s="266" t="s">
        <v>21</v>
      </c>
      <c r="CC2" s="266" t="s">
        <v>21</v>
      </c>
      <c r="CD2" s="266" t="s">
        <v>21</v>
      </c>
      <c r="CE2" s="266" t="s">
        <v>21</v>
      </c>
      <c r="CF2" s="266" t="s">
        <v>21</v>
      </c>
      <c r="CG2" s="266" t="s">
        <v>21</v>
      </c>
      <c r="CH2" s="266" t="s">
        <v>21</v>
      </c>
      <c r="CI2" s="266" t="s">
        <v>21</v>
      </c>
      <c r="CJ2" s="266" t="s">
        <v>21</v>
      </c>
      <c r="CK2" s="266" t="s">
        <v>21</v>
      </c>
      <c r="CL2" s="266" t="s">
        <v>21</v>
      </c>
      <c r="CM2" s="266" t="s">
        <v>21</v>
      </c>
      <c r="CN2" s="266" t="s">
        <v>21</v>
      </c>
      <c r="CO2" s="266" t="s">
        <v>21</v>
      </c>
      <c r="CP2" s="266" t="s">
        <v>21</v>
      </c>
      <c r="CQ2" s="266" t="s">
        <v>21</v>
      </c>
      <c r="CR2" s="266" t="s">
        <v>21</v>
      </c>
      <c r="CS2" s="266" t="s">
        <v>21</v>
      </c>
      <c r="CT2" s="266" t="s">
        <v>21</v>
      </c>
      <c r="CU2" s="266" t="s">
        <v>21</v>
      </c>
      <c r="CV2" s="266" t="s">
        <v>21</v>
      </c>
      <c r="CW2" s="266" t="s">
        <v>21</v>
      </c>
      <c r="CX2" s="266" t="s">
        <v>21</v>
      </c>
      <c r="CY2" s="266" t="s">
        <v>21</v>
      </c>
      <c r="CZ2" s="266" t="s">
        <v>21</v>
      </c>
      <c r="DA2" s="271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1"/>
      <c r="D3" s="263"/>
      <c r="E3" s="265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267"/>
      <c r="BD3" s="267"/>
      <c r="BE3" s="267"/>
      <c r="BF3" s="267"/>
      <c r="BG3" s="267"/>
      <c r="BH3" s="267"/>
      <c r="BI3" s="267"/>
      <c r="BJ3" s="267"/>
      <c r="BK3" s="267"/>
      <c r="BL3" s="267"/>
      <c r="BM3" s="267"/>
      <c r="BN3" s="267"/>
      <c r="BO3" s="267"/>
      <c r="BP3" s="267"/>
      <c r="BQ3" s="267"/>
      <c r="BR3" s="267"/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H3" s="267"/>
      <c r="CI3" s="267"/>
      <c r="CJ3" s="267"/>
      <c r="CK3" s="267"/>
      <c r="CL3" s="267"/>
      <c r="CM3" s="267"/>
      <c r="CN3" s="267"/>
      <c r="CO3" s="267"/>
      <c r="CP3" s="267"/>
      <c r="CQ3" s="267"/>
      <c r="CR3" s="267"/>
      <c r="CS3" s="267"/>
      <c r="CT3" s="267"/>
      <c r="CU3" s="267"/>
      <c r="CV3" s="267"/>
      <c r="CW3" s="267"/>
      <c r="CX3" s="267"/>
      <c r="CY3" s="267"/>
      <c r="CZ3" s="267"/>
      <c r="DA3" s="272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1"/>
      <c r="D4" s="263"/>
      <c r="E4" s="265"/>
      <c r="F4" s="268">
        <v>1</v>
      </c>
      <c r="G4" s="268">
        <v>2</v>
      </c>
      <c r="H4" s="268">
        <v>3</v>
      </c>
      <c r="I4" s="268">
        <v>4</v>
      </c>
      <c r="J4" s="268">
        <v>5</v>
      </c>
      <c r="K4" s="268">
        <v>6</v>
      </c>
      <c r="L4" s="268">
        <v>7</v>
      </c>
      <c r="M4" s="268">
        <v>8</v>
      </c>
      <c r="N4" s="268">
        <v>9</v>
      </c>
      <c r="O4" s="268">
        <v>10</v>
      </c>
      <c r="P4" s="268">
        <v>11</v>
      </c>
      <c r="Q4" s="268">
        <v>12</v>
      </c>
      <c r="R4" s="268">
        <v>13</v>
      </c>
      <c r="S4" s="268">
        <v>14</v>
      </c>
      <c r="T4" s="268">
        <v>15</v>
      </c>
      <c r="U4" s="268">
        <v>16</v>
      </c>
      <c r="V4" s="268">
        <v>17</v>
      </c>
      <c r="W4" s="268">
        <v>18</v>
      </c>
      <c r="X4" s="268">
        <v>19</v>
      </c>
      <c r="Y4" s="268">
        <v>20</v>
      </c>
      <c r="Z4" s="268">
        <v>21</v>
      </c>
      <c r="AA4" s="268">
        <v>22</v>
      </c>
      <c r="AB4" s="268">
        <v>23</v>
      </c>
      <c r="AC4" s="268">
        <v>24</v>
      </c>
      <c r="AD4" s="268">
        <v>25</v>
      </c>
      <c r="AE4" s="268">
        <v>26</v>
      </c>
      <c r="AF4" s="268">
        <v>27</v>
      </c>
      <c r="AG4" s="268">
        <v>28</v>
      </c>
      <c r="AH4" s="268">
        <v>29</v>
      </c>
      <c r="AI4" s="268">
        <v>30</v>
      </c>
      <c r="AJ4" s="268">
        <v>31</v>
      </c>
      <c r="AK4" s="268">
        <v>32</v>
      </c>
      <c r="AL4" s="268">
        <v>33</v>
      </c>
      <c r="AM4" s="268">
        <v>34</v>
      </c>
      <c r="AN4" s="268">
        <v>35</v>
      </c>
      <c r="AO4" s="268">
        <v>36</v>
      </c>
      <c r="AP4" s="268">
        <v>37</v>
      </c>
      <c r="AQ4" s="268">
        <v>38</v>
      </c>
      <c r="AR4" s="268">
        <v>39</v>
      </c>
      <c r="AS4" s="268">
        <v>40</v>
      </c>
      <c r="AT4" s="268">
        <v>41</v>
      </c>
      <c r="AU4" s="268">
        <v>42</v>
      </c>
      <c r="AV4" s="268">
        <v>43</v>
      </c>
      <c r="AW4" s="268">
        <v>44</v>
      </c>
      <c r="AX4" s="268">
        <v>45</v>
      </c>
      <c r="AY4" s="268">
        <v>46</v>
      </c>
      <c r="AZ4" s="268">
        <v>47</v>
      </c>
      <c r="BA4" s="268">
        <v>48</v>
      </c>
      <c r="BB4" s="268">
        <v>49</v>
      </c>
      <c r="BC4" s="268">
        <v>50</v>
      </c>
      <c r="BD4" s="268">
        <v>51</v>
      </c>
      <c r="BE4" s="268">
        <v>52</v>
      </c>
      <c r="BF4" s="268">
        <v>53</v>
      </c>
      <c r="BG4" s="268">
        <v>54</v>
      </c>
      <c r="BH4" s="268">
        <v>55</v>
      </c>
      <c r="BI4" s="268">
        <v>56</v>
      </c>
      <c r="BJ4" s="268">
        <v>57</v>
      </c>
      <c r="BK4" s="268">
        <v>58</v>
      </c>
      <c r="BL4" s="268">
        <v>59</v>
      </c>
      <c r="BM4" s="268">
        <v>60</v>
      </c>
      <c r="BN4" s="268">
        <v>61</v>
      </c>
      <c r="BO4" s="268">
        <v>62</v>
      </c>
      <c r="BP4" s="268">
        <v>63</v>
      </c>
      <c r="BQ4" s="268">
        <v>64</v>
      </c>
      <c r="BR4" s="268">
        <v>65</v>
      </c>
      <c r="BS4" s="268">
        <v>66</v>
      </c>
      <c r="BT4" s="268">
        <v>67</v>
      </c>
      <c r="BU4" s="268">
        <v>68</v>
      </c>
      <c r="BV4" s="268">
        <v>69</v>
      </c>
      <c r="BW4" s="268">
        <v>70</v>
      </c>
      <c r="BX4" s="268">
        <v>71</v>
      </c>
      <c r="BY4" s="268">
        <v>72</v>
      </c>
      <c r="BZ4" s="268">
        <v>73</v>
      </c>
      <c r="CA4" s="268">
        <v>74</v>
      </c>
      <c r="CB4" s="268">
        <v>75</v>
      </c>
      <c r="CC4" s="268">
        <v>76</v>
      </c>
      <c r="CD4" s="268">
        <v>77</v>
      </c>
      <c r="CE4" s="268">
        <v>78</v>
      </c>
      <c r="CF4" s="268">
        <v>79</v>
      </c>
      <c r="CG4" s="268">
        <v>80</v>
      </c>
      <c r="CH4" s="268">
        <v>81</v>
      </c>
      <c r="CI4" s="268">
        <v>82</v>
      </c>
      <c r="CJ4" s="268">
        <v>83</v>
      </c>
      <c r="CK4" s="268">
        <v>84</v>
      </c>
      <c r="CL4" s="268">
        <v>85</v>
      </c>
      <c r="CM4" s="268">
        <v>86</v>
      </c>
      <c r="CN4" s="268">
        <v>87</v>
      </c>
      <c r="CO4" s="268">
        <v>88</v>
      </c>
      <c r="CP4" s="268">
        <v>89</v>
      </c>
      <c r="CQ4" s="268">
        <v>90</v>
      </c>
      <c r="CR4" s="268">
        <v>91</v>
      </c>
      <c r="CS4" s="268">
        <v>92</v>
      </c>
      <c r="CT4" s="268">
        <v>93</v>
      </c>
      <c r="CU4" s="268">
        <v>94</v>
      </c>
      <c r="CV4" s="268">
        <v>95</v>
      </c>
      <c r="CW4" s="268">
        <v>96</v>
      </c>
      <c r="CX4" s="268">
        <v>97</v>
      </c>
      <c r="CY4" s="268">
        <v>98</v>
      </c>
      <c r="CZ4" s="268">
        <v>99</v>
      </c>
      <c r="DA4" s="273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1"/>
      <c r="D5" s="263"/>
      <c r="E5" s="265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/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/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274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1"/>
      <c r="D6" s="263"/>
      <c r="E6" s="265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74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1"/>
      <c r="D7" s="263"/>
      <c r="E7" s="265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274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1"/>
      <c r="D8" s="263"/>
      <c r="E8" s="265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274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1"/>
      <c r="D9" s="263"/>
      <c r="E9" s="265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274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1"/>
      <c r="D10" s="263"/>
      <c r="E10" s="265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274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1"/>
      <c r="D11" s="263"/>
      <c r="E11" s="265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0"/>
      <c r="BN11" s="270"/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0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7"/>
      <c r="D1" s="297"/>
      <c r="E1" s="297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60" t="s">
        <v>25</v>
      </c>
      <c r="D2" s="262" t="s">
        <v>47</v>
      </c>
      <c r="E2" s="264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2" t="s">
        <v>22</v>
      </c>
      <c r="DC2" s="262"/>
      <c r="DD2" s="262"/>
      <c r="DE2" s="262"/>
      <c r="DF2" s="262"/>
      <c r="DG2" s="262"/>
      <c r="DH2" s="262"/>
      <c r="DI2" s="262"/>
      <c r="DJ2" s="262"/>
      <c r="DK2" s="262"/>
      <c r="DL2" s="262"/>
      <c r="DM2" s="262"/>
      <c r="DN2" s="281" t="s">
        <v>24</v>
      </c>
      <c r="DO2" s="284" t="s">
        <v>49</v>
      </c>
      <c r="DP2" s="276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1"/>
      <c r="D3" s="263"/>
      <c r="E3" s="265"/>
      <c r="F3" s="279" t="str">
        <f ca="1">IF(ISBLANK(OFFSET(解答設定!$B$20,F1,6)),"",OFFSET(解答設定!$B$20,F1,6))</f>
        <v/>
      </c>
      <c r="G3" s="279" t="str">
        <f ca="1">IF(ISBLANK(OFFSET(解答設定!$B$20,G1,6)),"",OFFSET(解答設定!$B$20,G1,6))</f>
        <v/>
      </c>
      <c r="H3" s="279" t="str">
        <f ca="1">IF(ISBLANK(OFFSET(解答設定!$B$20,H1,6)),"",OFFSET(解答設定!$B$20,H1,6))</f>
        <v/>
      </c>
      <c r="I3" s="279" t="str">
        <f ca="1">IF(ISBLANK(OFFSET(解答設定!$B$20,I1,6)),"",OFFSET(解答設定!$B$20,I1,6))</f>
        <v/>
      </c>
      <c r="J3" s="279" t="str">
        <f ca="1">IF(ISBLANK(OFFSET(解答設定!$B$20,J1,6)),"",OFFSET(解答設定!$B$20,J1,6))</f>
        <v/>
      </c>
      <c r="K3" s="279" t="str">
        <f ca="1">IF(ISBLANK(OFFSET(解答設定!$B$20,K1,6)),"",OFFSET(解答設定!$B$20,K1,6))</f>
        <v/>
      </c>
      <c r="L3" s="279" t="str">
        <f ca="1">IF(ISBLANK(OFFSET(解答設定!$B$20,L1,6)),"",OFFSET(解答設定!$B$20,L1,6))</f>
        <v/>
      </c>
      <c r="M3" s="279" t="str">
        <f ca="1">IF(ISBLANK(OFFSET(解答設定!$B$20,M1,6)),"",OFFSET(解答設定!$B$20,M1,6))</f>
        <v/>
      </c>
      <c r="N3" s="279" t="str">
        <f ca="1">IF(ISBLANK(OFFSET(解答設定!$B$20,N1,6)),"",OFFSET(解答設定!$B$20,N1,6))</f>
        <v/>
      </c>
      <c r="O3" s="279" t="str">
        <f ca="1">IF(ISBLANK(OFFSET(解答設定!$B$20,O1,6)),"",OFFSET(解答設定!$B$20,O1,6))</f>
        <v/>
      </c>
      <c r="P3" s="279" t="str">
        <f ca="1">IF(ISBLANK(OFFSET(解答設定!$B$20,P1,6)),"",OFFSET(解答設定!$B$20,P1,6))</f>
        <v/>
      </c>
      <c r="Q3" s="279" t="str">
        <f ca="1">IF(ISBLANK(OFFSET(解答設定!$B$20,Q1,6)),"",OFFSET(解答設定!$B$20,Q1,6))</f>
        <v/>
      </c>
      <c r="R3" s="279" t="str">
        <f ca="1">IF(ISBLANK(OFFSET(解答設定!$B$20,R1,6)),"",OFFSET(解答設定!$B$20,R1,6))</f>
        <v/>
      </c>
      <c r="S3" s="279" t="str">
        <f ca="1">IF(ISBLANK(OFFSET(解答設定!$B$20,S1,6)),"",OFFSET(解答設定!$B$20,S1,6))</f>
        <v/>
      </c>
      <c r="T3" s="279" t="str">
        <f ca="1">IF(ISBLANK(OFFSET(解答設定!$B$20,T1,6)),"",OFFSET(解答設定!$B$20,T1,6))</f>
        <v/>
      </c>
      <c r="U3" s="279" t="str">
        <f ca="1">IF(ISBLANK(OFFSET(解答設定!$B$20,U1,6)),"",OFFSET(解答設定!$B$20,U1,6))</f>
        <v/>
      </c>
      <c r="V3" s="279" t="str">
        <f ca="1">IF(ISBLANK(OFFSET(解答設定!$B$20,V1,6)),"",OFFSET(解答設定!$B$20,V1,6))</f>
        <v/>
      </c>
      <c r="W3" s="279" t="str">
        <f ca="1">IF(ISBLANK(OFFSET(解答設定!$B$20,W1,6)),"",OFFSET(解答設定!$B$20,W1,6))</f>
        <v/>
      </c>
      <c r="X3" s="279" t="str">
        <f ca="1">IF(ISBLANK(OFFSET(解答設定!$B$20,X1,6)),"",OFFSET(解答設定!$B$20,X1,6))</f>
        <v/>
      </c>
      <c r="Y3" s="279" t="str">
        <f ca="1">IF(ISBLANK(OFFSET(解答設定!$B$20,Y1,6)),"",OFFSET(解答設定!$B$20,Y1,6))</f>
        <v/>
      </c>
      <c r="Z3" s="279" t="str">
        <f ca="1">IF(ISBLANK(OFFSET(解答設定!$B$20,Z1,6)),"",OFFSET(解答設定!$B$20,Z1,6))</f>
        <v/>
      </c>
      <c r="AA3" s="279" t="str">
        <f ca="1">IF(ISBLANK(OFFSET(解答設定!$B$20,AA1,6)),"",OFFSET(解答設定!$B$20,AA1,6))</f>
        <v/>
      </c>
      <c r="AB3" s="279" t="str">
        <f ca="1">IF(ISBLANK(OFFSET(解答設定!$B$20,AB1,6)),"",OFFSET(解答設定!$B$20,AB1,6))</f>
        <v/>
      </c>
      <c r="AC3" s="279" t="str">
        <f ca="1">IF(ISBLANK(OFFSET(解答設定!$B$20,AC1,6)),"",OFFSET(解答設定!$B$20,AC1,6))</f>
        <v/>
      </c>
      <c r="AD3" s="279" t="str">
        <f ca="1">IF(ISBLANK(OFFSET(解答設定!$B$20,AD1,6)),"",OFFSET(解答設定!$B$20,AD1,6))</f>
        <v/>
      </c>
      <c r="AE3" s="279" t="str">
        <f ca="1">IF(ISBLANK(OFFSET(解答設定!$B$20,AE1,6)),"",OFFSET(解答設定!$B$20,AE1,6))</f>
        <v/>
      </c>
      <c r="AF3" s="279" t="str">
        <f ca="1">IF(ISBLANK(OFFSET(解答設定!$B$20,AF1,6)),"",OFFSET(解答設定!$B$20,AF1,6))</f>
        <v/>
      </c>
      <c r="AG3" s="279" t="str">
        <f ca="1">IF(ISBLANK(OFFSET(解答設定!$B$20,AG1,6)),"",OFFSET(解答設定!$B$20,AG1,6))</f>
        <v/>
      </c>
      <c r="AH3" s="279" t="str">
        <f ca="1">IF(ISBLANK(OFFSET(解答設定!$B$20,AH1,6)),"",OFFSET(解答設定!$B$20,AH1,6))</f>
        <v/>
      </c>
      <c r="AI3" s="279" t="str">
        <f ca="1">IF(ISBLANK(OFFSET(解答設定!$B$20,AI1,6)),"",OFFSET(解答設定!$B$20,AI1,6))</f>
        <v/>
      </c>
      <c r="AJ3" s="279" t="str">
        <f ca="1">IF(ISBLANK(OFFSET(解答設定!$B$20,AJ1,6)),"",OFFSET(解答設定!$B$20,AJ1,6))</f>
        <v/>
      </c>
      <c r="AK3" s="279" t="str">
        <f ca="1">IF(ISBLANK(OFFSET(解答設定!$B$20,AK1,6)),"",OFFSET(解答設定!$B$20,AK1,6))</f>
        <v/>
      </c>
      <c r="AL3" s="279" t="str">
        <f ca="1">IF(ISBLANK(OFFSET(解答設定!$B$20,AL1,6)),"",OFFSET(解答設定!$B$20,AL1,6))</f>
        <v/>
      </c>
      <c r="AM3" s="279" t="str">
        <f ca="1">IF(ISBLANK(OFFSET(解答設定!$B$20,AM1,6)),"",OFFSET(解答設定!$B$20,AM1,6))</f>
        <v/>
      </c>
      <c r="AN3" s="279" t="str">
        <f ca="1">IF(ISBLANK(OFFSET(解答設定!$B$20,AN1,6)),"",OFFSET(解答設定!$B$20,AN1,6))</f>
        <v/>
      </c>
      <c r="AO3" s="279" t="str">
        <f ca="1">IF(ISBLANK(OFFSET(解答設定!$B$20,AO1,6)),"",OFFSET(解答設定!$B$20,AO1,6))</f>
        <v/>
      </c>
      <c r="AP3" s="279" t="str">
        <f ca="1">IF(ISBLANK(OFFSET(解答設定!$B$20,AP1,6)),"",OFFSET(解答設定!$B$20,AP1,6))</f>
        <v/>
      </c>
      <c r="AQ3" s="279" t="str">
        <f ca="1">IF(ISBLANK(OFFSET(解答設定!$B$20,AQ1,6)),"",OFFSET(解答設定!$B$20,AQ1,6))</f>
        <v/>
      </c>
      <c r="AR3" s="279" t="str">
        <f ca="1">IF(ISBLANK(OFFSET(解答設定!$B$20,AR1,6)),"",OFFSET(解答設定!$B$20,AR1,6))</f>
        <v/>
      </c>
      <c r="AS3" s="279" t="str">
        <f ca="1">IF(ISBLANK(OFFSET(解答設定!$B$20,AS1,6)),"",OFFSET(解答設定!$B$20,AS1,6))</f>
        <v/>
      </c>
      <c r="AT3" s="279" t="str">
        <f ca="1">IF(ISBLANK(OFFSET(解答設定!$B$20,AT1,6)),"",OFFSET(解答設定!$B$20,AT1,6))</f>
        <v/>
      </c>
      <c r="AU3" s="279" t="str">
        <f ca="1">IF(ISBLANK(OFFSET(解答設定!$B$20,AU1,6)),"",OFFSET(解答設定!$B$20,AU1,6))</f>
        <v/>
      </c>
      <c r="AV3" s="279" t="str">
        <f ca="1">IF(ISBLANK(OFFSET(解答設定!$B$20,AV1,6)),"",OFFSET(解答設定!$B$20,AV1,6))</f>
        <v/>
      </c>
      <c r="AW3" s="279" t="str">
        <f ca="1">IF(ISBLANK(OFFSET(解答設定!$B$20,AW1,6)),"",OFFSET(解答設定!$B$20,AW1,6))</f>
        <v/>
      </c>
      <c r="AX3" s="279" t="str">
        <f ca="1">IF(ISBLANK(OFFSET(解答設定!$B$20,AX1,6)),"",OFFSET(解答設定!$B$20,AX1,6))</f>
        <v/>
      </c>
      <c r="AY3" s="279" t="str">
        <f ca="1">IF(ISBLANK(OFFSET(解答設定!$B$20,AY1,6)),"",OFFSET(解答設定!$B$20,AY1,6))</f>
        <v/>
      </c>
      <c r="AZ3" s="279" t="str">
        <f ca="1">IF(ISBLANK(OFFSET(解答設定!$B$20,AZ1,6)),"",OFFSET(解答設定!$B$20,AZ1,6))</f>
        <v/>
      </c>
      <c r="BA3" s="279" t="str">
        <f ca="1">IF(ISBLANK(OFFSET(解答設定!$B$20,BA1,6)),"",OFFSET(解答設定!$B$20,BA1,6))</f>
        <v/>
      </c>
      <c r="BB3" s="279" t="str">
        <f ca="1">IF(ISBLANK(OFFSET(解答設定!$B$20,BB1,6)),"",OFFSET(解答設定!$B$20,BB1,6))</f>
        <v/>
      </c>
      <c r="BC3" s="279" t="str">
        <f ca="1">IF(ISBLANK(OFFSET(解答設定!$B$20,BC1,6)),"",OFFSET(解答設定!$B$20,BC1,6))</f>
        <v/>
      </c>
      <c r="BD3" s="279" t="str">
        <f ca="1">IF(ISBLANK(OFFSET(解答設定!$B$20,BD1,6)),"",OFFSET(解答設定!$B$20,BD1,6))</f>
        <v/>
      </c>
      <c r="BE3" s="279" t="str">
        <f ca="1">IF(ISBLANK(OFFSET(解答設定!$B$20,BE1,6)),"",OFFSET(解答設定!$B$20,BE1,6))</f>
        <v/>
      </c>
      <c r="BF3" s="279" t="str">
        <f ca="1">IF(ISBLANK(OFFSET(解答設定!$B$20,BF1,6)),"",OFFSET(解答設定!$B$20,BF1,6))</f>
        <v/>
      </c>
      <c r="BG3" s="279" t="str">
        <f ca="1">IF(ISBLANK(OFFSET(解答設定!$B$20,BG1,6)),"",OFFSET(解答設定!$B$20,BG1,6))</f>
        <v/>
      </c>
      <c r="BH3" s="279" t="str">
        <f ca="1">IF(ISBLANK(OFFSET(解答設定!$B$20,BH1,6)),"",OFFSET(解答設定!$B$20,BH1,6))</f>
        <v/>
      </c>
      <c r="BI3" s="279" t="str">
        <f ca="1">IF(ISBLANK(OFFSET(解答設定!$B$20,BI1,6)),"",OFFSET(解答設定!$B$20,BI1,6))</f>
        <v/>
      </c>
      <c r="BJ3" s="279" t="str">
        <f ca="1">IF(ISBLANK(OFFSET(解答設定!$B$20,BJ1,6)),"",OFFSET(解答設定!$B$20,BJ1,6))</f>
        <v/>
      </c>
      <c r="BK3" s="279" t="str">
        <f ca="1">IF(ISBLANK(OFFSET(解答設定!$B$20,BK1,6)),"",OFFSET(解答設定!$B$20,BK1,6))</f>
        <v/>
      </c>
      <c r="BL3" s="279" t="str">
        <f ca="1">IF(ISBLANK(OFFSET(解答設定!$B$20,BL1,6)),"",OFFSET(解答設定!$B$20,BL1,6))</f>
        <v/>
      </c>
      <c r="BM3" s="279" t="str">
        <f ca="1">IF(ISBLANK(OFFSET(解答設定!$B$20,BM1,6)),"",OFFSET(解答設定!$B$20,BM1,6))</f>
        <v/>
      </c>
      <c r="BN3" s="279" t="str">
        <f ca="1">IF(ISBLANK(OFFSET(解答設定!$B$20,BN1,6)),"",OFFSET(解答設定!$B$20,BN1,6))</f>
        <v/>
      </c>
      <c r="BO3" s="279" t="str">
        <f ca="1">IF(ISBLANK(OFFSET(解答設定!$B$20,BO1,6)),"",OFFSET(解答設定!$B$20,BO1,6))</f>
        <v/>
      </c>
      <c r="BP3" s="279" t="str">
        <f ca="1">IF(ISBLANK(OFFSET(解答設定!$B$20,BP1,6)),"",OFFSET(解答設定!$B$20,BP1,6))</f>
        <v/>
      </c>
      <c r="BQ3" s="279" t="str">
        <f ca="1">IF(ISBLANK(OFFSET(解答設定!$B$20,BQ1,6)),"",OFFSET(解答設定!$B$20,BQ1,6))</f>
        <v/>
      </c>
      <c r="BR3" s="279" t="str">
        <f ca="1">IF(ISBLANK(OFFSET(解答設定!$B$20,BR1,6)),"",OFFSET(解答設定!$B$20,BR1,6))</f>
        <v/>
      </c>
      <c r="BS3" s="279" t="str">
        <f ca="1">IF(ISBLANK(OFFSET(解答設定!$B$20,BS1,6)),"",OFFSET(解答設定!$B$20,BS1,6))</f>
        <v/>
      </c>
      <c r="BT3" s="279" t="str">
        <f ca="1">IF(ISBLANK(OFFSET(解答設定!$B$20,BT1,6)),"",OFFSET(解答設定!$B$20,BT1,6))</f>
        <v/>
      </c>
      <c r="BU3" s="279" t="str">
        <f ca="1">IF(ISBLANK(OFFSET(解答設定!$B$20,BU1,6)),"",OFFSET(解答設定!$B$20,BU1,6))</f>
        <v/>
      </c>
      <c r="BV3" s="279" t="str">
        <f ca="1">IF(ISBLANK(OFFSET(解答設定!$B$20,BV1,6)),"",OFFSET(解答設定!$B$20,BV1,6))</f>
        <v/>
      </c>
      <c r="BW3" s="279" t="str">
        <f ca="1">IF(ISBLANK(OFFSET(解答設定!$B$20,BW1,6)),"",OFFSET(解答設定!$B$20,BW1,6))</f>
        <v/>
      </c>
      <c r="BX3" s="279" t="str">
        <f ca="1">IF(ISBLANK(OFFSET(解答設定!$B$20,BX1,6)),"",OFFSET(解答設定!$B$20,BX1,6))</f>
        <v/>
      </c>
      <c r="BY3" s="279" t="str">
        <f ca="1">IF(ISBLANK(OFFSET(解答設定!$B$20,BY1,6)),"",OFFSET(解答設定!$B$20,BY1,6))</f>
        <v/>
      </c>
      <c r="BZ3" s="279" t="str">
        <f ca="1">IF(ISBLANK(OFFSET(解答設定!$B$20,BZ1,6)),"",OFFSET(解答設定!$B$20,BZ1,6))</f>
        <v/>
      </c>
      <c r="CA3" s="279" t="str">
        <f ca="1">IF(ISBLANK(OFFSET(解答設定!$B$20,CA1,6)),"",OFFSET(解答設定!$B$20,CA1,6))</f>
        <v/>
      </c>
      <c r="CB3" s="279" t="str">
        <f ca="1">IF(ISBLANK(OFFSET(解答設定!$B$20,CB1,6)),"",OFFSET(解答設定!$B$20,CB1,6))</f>
        <v/>
      </c>
      <c r="CC3" s="279" t="str">
        <f ca="1">IF(ISBLANK(OFFSET(解答設定!$B$20,CC1,6)),"",OFFSET(解答設定!$B$20,CC1,6))</f>
        <v/>
      </c>
      <c r="CD3" s="279" t="str">
        <f ca="1">IF(ISBLANK(OFFSET(解答設定!$B$20,CD1,6)),"",OFFSET(解答設定!$B$20,CD1,6))</f>
        <v/>
      </c>
      <c r="CE3" s="279" t="str">
        <f ca="1">IF(ISBLANK(OFFSET(解答設定!$B$20,CE1,6)),"",OFFSET(解答設定!$B$20,CE1,6))</f>
        <v/>
      </c>
      <c r="CF3" s="279" t="str">
        <f ca="1">IF(ISBLANK(OFFSET(解答設定!$B$20,CF1,6)),"",OFFSET(解答設定!$B$20,CF1,6))</f>
        <v/>
      </c>
      <c r="CG3" s="279" t="str">
        <f ca="1">IF(ISBLANK(OFFSET(解答設定!$B$20,CG1,6)),"",OFFSET(解答設定!$B$20,CG1,6))</f>
        <v/>
      </c>
      <c r="CH3" s="279" t="str">
        <f ca="1">IF(ISBLANK(OFFSET(解答設定!$B$20,CH1,6)),"",OFFSET(解答設定!$B$20,CH1,6))</f>
        <v/>
      </c>
      <c r="CI3" s="279" t="str">
        <f ca="1">IF(ISBLANK(OFFSET(解答設定!$B$20,CI1,6)),"",OFFSET(解答設定!$B$20,CI1,6))</f>
        <v/>
      </c>
      <c r="CJ3" s="279" t="str">
        <f ca="1">IF(ISBLANK(OFFSET(解答設定!$B$20,CJ1,6)),"",OFFSET(解答設定!$B$20,CJ1,6))</f>
        <v/>
      </c>
      <c r="CK3" s="279" t="str">
        <f ca="1">IF(ISBLANK(OFFSET(解答設定!$B$20,CK1,6)),"",OFFSET(解答設定!$B$20,CK1,6))</f>
        <v/>
      </c>
      <c r="CL3" s="279" t="str">
        <f ca="1">IF(ISBLANK(OFFSET(解答設定!$B$20,CL1,6)),"",OFFSET(解答設定!$B$20,CL1,6))</f>
        <v/>
      </c>
      <c r="CM3" s="279" t="str">
        <f ca="1">IF(ISBLANK(OFFSET(解答設定!$B$20,CM1,6)),"",OFFSET(解答設定!$B$20,CM1,6))</f>
        <v/>
      </c>
      <c r="CN3" s="279" t="str">
        <f ca="1">IF(ISBLANK(OFFSET(解答設定!$B$20,CN1,6)),"",OFFSET(解答設定!$B$20,CN1,6))</f>
        <v/>
      </c>
      <c r="CO3" s="279" t="str">
        <f ca="1">IF(ISBLANK(OFFSET(解答設定!$B$20,CO1,6)),"",OFFSET(解答設定!$B$20,CO1,6))</f>
        <v/>
      </c>
      <c r="CP3" s="279" t="str">
        <f ca="1">IF(ISBLANK(OFFSET(解答設定!$B$20,CP1,6)),"",OFFSET(解答設定!$B$20,CP1,6))</f>
        <v/>
      </c>
      <c r="CQ3" s="279" t="str">
        <f ca="1">IF(ISBLANK(OFFSET(解答設定!$B$20,CQ1,6)),"",OFFSET(解答設定!$B$20,CQ1,6))</f>
        <v/>
      </c>
      <c r="CR3" s="279" t="str">
        <f ca="1">IF(ISBLANK(OFFSET(解答設定!$B$20,CR1,6)),"",OFFSET(解答設定!$B$20,CR1,6))</f>
        <v/>
      </c>
      <c r="CS3" s="279" t="str">
        <f ca="1">IF(ISBLANK(OFFSET(解答設定!$B$20,CS1,6)),"",OFFSET(解答設定!$B$20,CS1,6))</f>
        <v/>
      </c>
      <c r="CT3" s="279" t="str">
        <f ca="1">IF(ISBLANK(OFFSET(解答設定!$B$20,CT1,6)),"",OFFSET(解答設定!$B$20,CT1,6))</f>
        <v/>
      </c>
      <c r="CU3" s="279" t="str">
        <f ca="1">IF(ISBLANK(OFFSET(解答設定!$B$20,CU1,6)),"",OFFSET(解答設定!$B$20,CU1,6))</f>
        <v/>
      </c>
      <c r="CV3" s="279" t="str">
        <f ca="1">IF(ISBLANK(OFFSET(解答設定!$B$20,CV1,6)),"",OFFSET(解答設定!$B$20,CV1,6))</f>
        <v/>
      </c>
      <c r="CW3" s="279" t="str">
        <f ca="1">IF(ISBLANK(OFFSET(解答設定!$B$20,CW1,6)),"",OFFSET(解答設定!$B$20,CW1,6))</f>
        <v/>
      </c>
      <c r="CX3" s="279" t="str">
        <f ca="1">IF(ISBLANK(OFFSET(解答設定!$B$20,CX1,6)),"",OFFSET(解答設定!$B$20,CX1,6))</f>
        <v/>
      </c>
      <c r="CY3" s="279" t="str">
        <f ca="1">IF(ISBLANK(OFFSET(解答設定!$B$20,CY1,6)),"",OFFSET(解答設定!$B$20,CY1,6))</f>
        <v/>
      </c>
      <c r="CZ3" s="279" t="str">
        <f ca="1">IF(ISBLANK(OFFSET(解答設定!$B$20,CZ1,6)),"",OFFSET(解答設定!$B$20,CZ1,6))</f>
        <v/>
      </c>
      <c r="DA3" s="279" t="str">
        <f ca="1">IF(ISBLANK(OFFSET(解答設定!$B$20,DA1,6)),"",OFFSET(解答設定!$B$20,DA1,6))</f>
        <v/>
      </c>
      <c r="DB3" s="286" t="str">
        <f>IF(SUM(F14:DA509)&lt;&gt;SUM(DB14:DG509),"マークシートの観点に過不足があります","マークシート")</f>
        <v>マークシート</v>
      </c>
      <c r="DC3" s="287"/>
      <c r="DD3" s="287"/>
      <c r="DE3" s="287"/>
      <c r="DF3" s="287"/>
      <c r="DG3" s="288"/>
      <c r="DH3" s="289" t="s">
        <v>48</v>
      </c>
      <c r="DI3" s="290"/>
      <c r="DJ3" s="290"/>
      <c r="DK3" s="290"/>
      <c r="DL3" s="290"/>
      <c r="DM3" s="291"/>
      <c r="DN3" s="282"/>
      <c r="DO3" s="285"/>
      <c r="DP3" s="276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1"/>
      <c r="D4" s="263"/>
      <c r="E4" s="265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  <c r="AS4" s="279"/>
      <c r="AT4" s="279"/>
      <c r="AU4" s="279"/>
      <c r="AV4" s="279"/>
      <c r="AW4" s="279"/>
      <c r="AX4" s="279"/>
      <c r="AY4" s="279"/>
      <c r="AZ4" s="279"/>
      <c r="BA4" s="279"/>
      <c r="BB4" s="279"/>
      <c r="BC4" s="279"/>
      <c r="BD4" s="279"/>
      <c r="BE4" s="279"/>
      <c r="BF4" s="279"/>
      <c r="BG4" s="279"/>
      <c r="BH4" s="279"/>
      <c r="BI4" s="279"/>
      <c r="BJ4" s="279"/>
      <c r="BK4" s="279"/>
      <c r="BL4" s="279"/>
      <c r="BM4" s="279"/>
      <c r="BN4" s="279"/>
      <c r="BO4" s="279"/>
      <c r="BP4" s="279"/>
      <c r="BQ4" s="279"/>
      <c r="BR4" s="279"/>
      <c r="BS4" s="279"/>
      <c r="BT4" s="279"/>
      <c r="BU4" s="279"/>
      <c r="BV4" s="279"/>
      <c r="BW4" s="279"/>
      <c r="BX4" s="279"/>
      <c r="BY4" s="279"/>
      <c r="BZ4" s="279"/>
      <c r="CA4" s="279"/>
      <c r="CB4" s="279"/>
      <c r="CC4" s="279"/>
      <c r="CD4" s="279"/>
      <c r="CE4" s="279"/>
      <c r="CF4" s="279"/>
      <c r="CG4" s="279"/>
      <c r="CH4" s="279"/>
      <c r="CI4" s="279"/>
      <c r="CJ4" s="279"/>
      <c r="CK4" s="279"/>
      <c r="CL4" s="279"/>
      <c r="CM4" s="279"/>
      <c r="CN4" s="279"/>
      <c r="CO4" s="279"/>
      <c r="CP4" s="279"/>
      <c r="CQ4" s="279"/>
      <c r="CR4" s="279"/>
      <c r="CS4" s="279"/>
      <c r="CT4" s="279"/>
      <c r="CU4" s="279"/>
      <c r="CV4" s="279"/>
      <c r="CW4" s="279"/>
      <c r="CX4" s="279"/>
      <c r="CY4" s="279"/>
      <c r="CZ4" s="279"/>
      <c r="DA4" s="280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3"/>
      <c r="DO4" s="285"/>
      <c r="DP4" s="276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1"/>
      <c r="D5" s="263"/>
      <c r="E5" s="265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2" t="str">
        <f>IFERROR(HLOOKUP(DB4,解答設定!$F$6:$AS$13,5),"")</f>
        <v/>
      </c>
      <c r="DC5" s="294" t="str">
        <f>IFERROR(HLOOKUP(DC4,解答設定!$F$6:$AS$13,5),"")</f>
        <v/>
      </c>
      <c r="DD5" s="294" t="str">
        <f>IFERROR(HLOOKUP(DD4,解答設定!$F$6:$AS$13,5),"")</f>
        <v/>
      </c>
      <c r="DE5" s="294" t="str">
        <f>IFERROR(HLOOKUP(DE4,解答設定!$F$6:$AS$13,5),"")</f>
        <v/>
      </c>
      <c r="DF5" s="294" t="str">
        <f>IFERROR(HLOOKUP(DF4,解答設定!$F$6:$AS$13,5),"")</f>
        <v/>
      </c>
      <c r="DG5" s="294" t="str">
        <f>IFERROR(HLOOKUP(DG4,解答設定!$F$6:$AS$13,5),"")</f>
        <v/>
      </c>
      <c r="DH5" s="295" t="str">
        <f>IFERROR(HLOOKUP(DH4,解答設定!$F$6:$AS$13,5),"")</f>
        <v/>
      </c>
      <c r="DI5" s="295" t="str">
        <f>IFERROR(HLOOKUP(DI4,解答設定!$F$6:$AS$13,5),"")</f>
        <v/>
      </c>
      <c r="DJ5" s="295" t="str">
        <f>IFERROR(HLOOKUP(DJ4,解答設定!$F$6:$AS$13,5),"")</f>
        <v/>
      </c>
      <c r="DK5" s="295" t="str">
        <f>IFERROR(HLOOKUP(DK4,解答設定!$F$6:$AS$13,5),"")</f>
        <v/>
      </c>
      <c r="DL5" s="295" t="str">
        <f>IFERROR(HLOOKUP(DL4,解答設定!$F$6:$AS$13,5),"")</f>
        <v/>
      </c>
      <c r="DM5" s="295" t="str">
        <f>IFERROR(HLOOKUP(DM4,解答設定!$F$6:$AS$13,5),"")</f>
        <v/>
      </c>
      <c r="DN5" s="282"/>
      <c r="DO5" s="285"/>
      <c r="DP5" s="276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1"/>
      <c r="D6" s="263"/>
      <c r="E6" s="265"/>
      <c r="F6" s="278" t="str">
        <f ca="1">IF(ISBLANK(OFFSET(解答設定!$B$20,F1,16)),"",OFFSET(解答設定!$B$20,F1,16))</f>
        <v/>
      </c>
      <c r="G6" s="278" t="str">
        <f ca="1">IF(ISBLANK(OFFSET(解答設定!$B$20,G1,16)),"",OFFSET(解答設定!$B$20,G1,16))</f>
        <v/>
      </c>
      <c r="H6" s="278" t="str">
        <f ca="1">IF(ISBLANK(OFFSET(解答設定!$B$20,H1,16)),"",OFFSET(解答設定!$B$20,H1,16))</f>
        <v/>
      </c>
      <c r="I6" s="278" t="str">
        <f ca="1">IF(ISBLANK(OFFSET(解答設定!$B$20,I1,16)),"",OFFSET(解答設定!$B$20,I1,16))</f>
        <v/>
      </c>
      <c r="J6" s="278" t="str">
        <f ca="1">IF(ISBLANK(OFFSET(解答設定!$B$20,J1,16)),"",OFFSET(解答設定!$B$20,J1,16))</f>
        <v/>
      </c>
      <c r="K6" s="278" t="str">
        <f ca="1">IF(ISBLANK(OFFSET(解答設定!$B$20,K1,16)),"",OFFSET(解答設定!$B$20,K1,16))</f>
        <v/>
      </c>
      <c r="L6" s="278" t="str">
        <f ca="1">IF(ISBLANK(OFFSET(解答設定!$B$20,L1,16)),"",OFFSET(解答設定!$B$20,L1,16))</f>
        <v/>
      </c>
      <c r="M6" s="278" t="str">
        <f ca="1">IF(ISBLANK(OFFSET(解答設定!$B$20,M1,16)),"",OFFSET(解答設定!$B$20,M1,16))</f>
        <v/>
      </c>
      <c r="N6" s="278" t="str">
        <f ca="1">IF(ISBLANK(OFFSET(解答設定!$B$20,N1,16)),"",OFFSET(解答設定!$B$20,N1,16))</f>
        <v/>
      </c>
      <c r="O6" s="278" t="str">
        <f ca="1">IF(ISBLANK(OFFSET(解答設定!$B$20,O1,16)),"",OFFSET(解答設定!$B$20,O1,16))</f>
        <v/>
      </c>
      <c r="P6" s="278" t="str">
        <f ca="1">IF(ISBLANK(OFFSET(解答設定!$B$20,P1,16)),"",OFFSET(解答設定!$B$20,P1,16))</f>
        <v/>
      </c>
      <c r="Q6" s="278" t="str">
        <f ca="1">IF(ISBLANK(OFFSET(解答設定!$B$20,Q1,16)),"",OFFSET(解答設定!$B$20,Q1,16))</f>
        <v/>
      </c>
      <c r="R6" s="278" t="str">
        <f ca="1">IF(ISBLANK(OFFSET(解答設定!$B$20,R1,16)),"",OFFSET(解答設定!$B$20,R1,16))</f>
        <v/>
      </c>
      <c r="S6" s="278" t="str">
        <f ca="1">IF(ISBLANK(OFFSET(解答設定!$B$20,S1,16)),"",OFFSET(解答設定!$B$20,S1,16))</f>
        <v/>
      </c>
      <c r="T6" s="278" t="str">
        <f ca="1">IF(ISBLANK(OFFSET(解答設定!$B$20,T1,16)),"",OFFSET(解答設定!$B$20,T1,16))</f>
        <v/>
      </c>
      <c r="U6" s="278" t="str">
        <f ca="1">IF(ISBLANK(OFFSET(解答設定!$B$20,U1,16)),"",OFFSET(解答設定!$B$20,U1,16))</f>
        <v/>
      </c>
      <c r="V6" s="278" t="str">
        <f ca="1">IF(ISBLANK(OFFSET(解答設定!$B$20,V1,16)),"",OFFSET(解答設定!$B$20,V1,16))</f>
        <v/>
      </c>
      <c r="W6" s="278" t="str">
        <f ca="1">IF(ISBLANK(OFFSET(解答設定!$B$20,W1,16)),"",OFFSET(解答設定!$B$20,W1,16))</f>
        <v/>
      </c>
      <c r="X6" s="278" t="str">
        <f ca="1">IF(ISBLANK(OFFSET(解答設定!$B$20,X1,16)),"",OFFSET(解答設定!$B$20,X1,16))</f>
        <v/>
      </c>
      <c r="Y6" s="278" t="str">
        <f ca="1">IF(ISBLANK(OFFSET(解答設定!$B$20,Y1,16)),"",OFFSET(解答設定!$B$20,Y1,16))</f>
        <v/>
      </c>
      <c r="Z6" s="278" t="str">
        <f ca="1">IF(ISBLANK(OFFSET(解答設定!$B$20,Z1,16)),"",OFFSET(解答設定!$B$20,Z1,16))</f>
        <v/>
      </c>
      <c r="AA6" s="278" t="str">
        <f ca="1">IF(ISBLANK(OFFSET(解答設定!$B$20,AA1,16)),"",OFFSET(解答設定!$B$20,AA1,16))</f>
        <v/>
      </c>
      <c r="AB6" s="278" t="str">
        <f ca="1">IF(ISBLANK(OFFSET(解答設定!$B$20,AB1,16)),"",OFFSET(解答設定!$B$20,AB1,16))</f>
        <v/>
      </c>
      <c r="AC6" s="278" t="str">
        <f ca="1">IF(ISBLANK(OFFSET(解答設定!$B$20,AC1,16)),"",OFFSET(解答設定!$B$20,AC1,16))</f>
        <v/>
      </c>
      <c r="AD6" s="278" t="str">
        <f ca="1">IF(ISBLANK(OFFSET(解答設定!$B$20,AD1,16)),"",OFFSET(解答設定!$B$20,AD1,16))</f>
        <v/>
      </c>
      <c r="AE6" s="278" t="str">
        <f ca="1">IF(ISBLANK(OFFSET(解答設定!$B$20,AE1,16)),"",OFFSET(解答設定!$B$20,AE1,16))</f>
        <v/>
      </c>
      <c r="AF6" s="278" t="str">
        <f ca="1">IF(ISBLANK(OFFSET(解答設定!$B$20,AF1,16)),"",OFFSET(解答設定!$B$20,AF1,16))</f>
        <v/>
      </c>
      <c r="AG6" s="278" t="str">
        <f ca="1">IF(ISBLANK(OFFSET(解答設定!$B$20,AG1,16)),"",OFFSET(解答設定!$B$20,AG1,16))</f>
        <v/>
      </c>
      <c r="AH6" s="278" t="str">
        <f ca="1">IF(ISBLANK(OFFSET(解答設定!$B$20,AH1,16)),"",OFFSET(解答設定!$B$20,AH1,16))</f>
        <v/>
      </c>
      <c r="AI6" s="278" t="str">
        <f ca="1">IF(ISBLANK(OFFSET(解答設定!$B$20,AI1,16)),"",OFFSET(解答設定!$B$20,AI1,16))</f>
        <v/>
      </c>
      <c r="AJ6" s="278" t="str">
        <f ca="1">IF(ISBLANK(OFFSET(解答設定!$B$20,AJ1,16)),"",OFFSET(解答設定!$B$20,AJ1,16))</f>
        <v/>
      </c>
      <c r="AK6" s="278" t="str">
        <f ca="1">IF(ISBLANK(OFFSET(解答設定!$B$20,AK1,16)),"",OFFSET(解答設定!$B$20,AK1,16))</f>
        <v/>
      </c>
      <c r="AL6" s="278" t="str">
        <f ca="1">IF(ISBLANK(OFFSET(解答設定!$B$20,AL1,16)),"",OFFSET(解答設定!$B$20,AL1,16))</f>
        <v/>
      </c>
      <c r="AM6" s="278" t="str">
        <f ca="1">IF(ISBLANK(OFFSET(解答設定!$B$20,AM1,16)),"",OFFSET(解答設定!$B$20,AM1,16))</f>
        <v/>
      </c>
      <c r="AN6" s="278" t="str">
        <f ca="1">IF(ISBLANK(OFFSET(解答設定!$B$20,AN1,16)),"",OFFSET(解答設定!$B$20,AN1,16))</f>
        <v/>
      </c>
      <c r="AO6" s="278" t="str">
        <f ca="1">IF(ISBLANK(OFFSET(解答設定!$B$20,AO1,16)),"",OFFSET(解答設定!$B$20,AO1,16))</f>
        <v/>
      </c>
      <c r="AP6" s="278" t="str">
        <f ca="1">IF(ISBLANK(OFFSET(解答設定!$B$20,AP1,16)),"",OFFSET(解答設定!$B$20,AP1,16))</f>
        <v/>
      </c>
      <c r="AQ6" s="278" t="str">
        <f ca="1">IF(ISBLANK(OFFSET(解答設定!$B$20,AQ1,16)),"",OFFSET(解答設定!$B$20,AQ1,16))</f>
        <v/>
      </c>
      <c r="AR6" s="278" t="str">
        <f ca="1">IF(ISBLANK(OFFSET(解答設定!$B$20,AR1,16)),"",OFFSET(解答設定!$B$20,AR1,16))</f>
        <v/>
      </c>
      <c r="AS6" s="278" t="str">
        <f ca="1">IF(ISBLANK(OFFSET(解答設定!$B$20,AS1,16)),"",OFFSET(解答設定!$B$20,AS1,16))</f>
        <v/>
      </c>
      <c r="AT6" s="278" t="str">
        <f ca="1">IF(ISBLANK(OFFSET(解答設定!$B$20,AT1,16)),"",OFFSET(解答設定!$B$20,AT1,16))</f>
        <v/>
      </c>
      <c r="AU6" s="278" t="str">
        <f ca="1">IF(ISBLANK(OFFSET(解答設定!$B$20,AU1,16)),"",OFFSET(解答設定!$B$20,AU1,16))</f>
        <v/>
      </c>
      <c r="AV6" s="278" t="str">
        <f ca="1">IF(ISBLANK(OFFSET(解答設定!$B$20,AV1,16)),"",OFFSET(解答設定!$B$20,AV1,16))</f>
        <v/>
      </c>
      <c r="AW6" s="278" t="str">
        <f ca="1">IF(ISBLANK(OFFSET(解答設定!$B$20,AW1,16)),"",OFFSET(解答設定!$B$20,AW1,16))</f>
        <v/>
      </c>
      <c r="AX6" s="278" t="str">
        <f ca="1">IF(ISBLANK(OFFSET(解答設定!$B$20,AX1,16)),"",OFFSET(解答設定!$B$20,AX1,16))</f>
        <v/>
      </c>
      <c r="AY6" s="278" t="str">
        <f ca="1">IF(ISBLANK(OFFSET(解答設定!$B$20,AY1,16)),"",OFFSET(解答設定!$B$20,AY1,16))</f>
        <v/>
      </c>
      <c r="AZ6" s="278" t="str">
        <f ca="1">IF(ISBLANK(OFFSET(解答設定!$B$20,AZ1,16)),"",OFFSET(解答設定!$B$20,AZ1,16))</f>
        <v/>
      </c>
      <c r="BA6" s="278" t="str">
        <f ca="1">IF(ISBLANK(OFFSET(解答設定!$B$20,BA1,16)),"",OFFSET(解答設定!$B$20,BA1,16))</f>
        <v/>
      </c>
      <c r="BB6" s="278" t="str">
        <f ca="1">IF(ISBLANK(OFFSET(解答設定!$B$20,BB1,16)),"",OFFSET(解答設定!$B$20,BB1,16))</f>
        <v/>
      </c>
      <c r="BC6" s="278" t="str">
        <f ca="1">IF(ISBLANK(OFFSET(解答設定!$B$20,BC1,16)),"",OFFSET(解答設定!$B$20,BC1,16))</f>
        <v/>
      </c>
      <c r="BD6" s="278" t="str">
        <f ca="1">IF(ISBLANK(OFFSET(解答設定!$B$20,BD1,16)),"",OFFSET(解答設定!$B$20,BD1,16))</f>
        <v/>
      </c>
      <c r="BE6" s="278" t="str">
        <f ca="1">IF(ISBLANK(OFFSET(解答設定!$B$20,BE1,16)),"",OFFSET(解答設定!$B$20,BE1,16))</f>
        <v/>
      </c>
      <c r="BF6" s="278" t="str">
        <f ca="1">IF(ISBLANK(OFFSET(解答設定!$B$20,BF1,16)),"",OFFSET(解答設定!$B$20,BF1,16))</f>
        <v/>
      </c>
      <c r="BG6" s="278" t="str">
        <f ca="1">IF(ISBLANK(OFFSET(解答設定!$B$20,BG1,16)),"",OFFSET(解答設定!$B$20,BG1,16))</f>
        <v/>
      </c>
      <c r="BH6" s="278" t="str">
        <f ca="1">IF(ISBLANK(OFFSET(解答設定!$B$20,BH1,16)),"",OFFSET(解答設定!$B$20,BH1,16))</f>
        <v/>
      </c>
      <c r="BI6" s="278" t="str">
        <f ca="1">IF(ISBLANK(OFFSET(解答設定!$B$20,BI1,16)),"",OFFSET(解答設定!$B$20,BI1,16))</f>
        <v/>
      </c>
      <c r="BJ6" s="278" t="str">
        <f ca="1">IF(ISBLANK(OFFSET(解答設定!$B$20,BJ1,16)),"",OFFSET(解答設定!$B$20,BJ1,16))</f>
        <v/>
      </c>
      <c r="BK6" s="278" t="str">
        <f ca="1">IF(ISBLANK(OFFSET(解答設定!$B$20,BK1,16)),"",OFFSET(解答設定!$B$20,BK1,16))</f>
        <v/>
      </c>
      <c r="BL6" s="278" t="str">
        <f ca="1">IF(ISBLANK(OFFSET(解答設定!$B$20,BL1,16)),"",OFFSET(解答設定!$B$20,BL1,16))</f>
        <v/>
      </c>
      <c r="BM6" s="278" t="str">
        <f ca="1">IF(ISBLANK(OFFSET(解答設定!$B$20,BM1,16)),"",OFFSET(解答設定!$B$20,BM1,16))</f>
        <v/>
      </c>
      <c r="BN6" s="278" t="str">
        <f ca="1">IF(ISBLANK(OFFSET(解答設定!$B$20,BN1,16)),"",OFFSET(解答設定!$B$20,BN1,16))</f>
        <v/>
      </c>
      <c r="BO6" s="278" t="str">
        <f ca="1">IF(ISBLANK(OFFSET(解答設定!$B$20,BO1,16)),"",OFFSET(解答設定!$B$20,BO1,16))</f>
        <v/>
      </c>
      <c r="BP6" s="278" t="str">
        <f ca="1">IF(ISBLANK(OFFSET(解答設定!$B$20,BP1,16)),"",OFFSET(解答設定!$B$20,BP1,16))</f>
        <v/>
      </c>
      <c r="BQ6" s="278" t="str">
        <f ca="1">IF(ISBLANK(OFFSET(解答設定!$B$20,BQ1,16)),"",OFFSET(解答設定!$B$20,BQ1,16))</f>
        <v/>
      </c>
      <c r="BR6" s="278" t="str">
        <f ca="1">IF(ISBLANK(OFFSET(解答設定!$B$20,BR1,16)),"",OFFSET(解答設定!$B$20,BR1,16))</f>
        <v/>
      </c>
      <c r="BS6" s="278" t="str">
        <f ca="1">IF(ISBLANK(OFFSET(解答設定!$B$20,BS1,16)),"",OFFSET(解答設定!$B$20,BS1,16))</f>
        <v/>
      </c>
      <c r="BT6" s="278" t="str">
        <f ca="1">IF(ISBLANK(OFFSET(解答設定!$B$20,BT1,16)),"",OFFSET(解答設定!$B$20,BT1,16))</f>
        <v/>
      </c>
      <c r="BU6" s="278" t="str">
        <f ca="1">IF(ISBLANK(OFFSET(解答設定!$B$20,BU1,16)),"",OFFSET(解答設定!$B$20,BU1,16))</f>
        <v/>
      </c>
      <c r="BV6" s="278" t="str">
        <f ca="1">IF(ISBLANK(OFFSET(解答設定!$B$20,BV1,16)),"",OFFSET(解答設定!$B$20,BV1,16))</f>
        <v/>
      </c>
      <c r="BW6" s="278" t="str">
        <f ca="1">IF(ISBLANK(OFFSET(解答設定!$B$20,BW1,16)),"",OFFSET(解答設定!$B$20,BW1,16))</f>
        <v/>
      </c>
      <c r="BX6" s="278" t="str">
        <f ca="1">IF(ISBLANK(OFFSET(解答設定!$B$20,BX1,16)),"",OFFSET(解答設定!$B$20,BX1,16))</f>
        <v/>
      </c>
      <c r="BY6" s="278" t="str">
        <f ca="1">IF(ISBLANK(OFFSET(解答設定!$B$20,BY1,16)),"",OFFSET(解答設定!$B$20,BY1,16))</f>
        <v/>
      </c>
      <c r="BZ6" s="278" t="str">
        <f ca="1">IF(ISBLANK(OFFSET(解答設定!$B$20,BZ1,16)),"",OFFSET(解答設定!$B$20,BZ1,16))</f>
        <v/>
      </c>
      <c r="CA6" s="278" t="str">
        <f ca="1">IF(ISBLANK(OFFSET(解答設定!$B$20,CA1,16)),"",OFFSET(解答設定!$B$20,CA1,16))</f>
        <v/>
      </c>
      <c r="CB6" s="278" t="str">
        <f ca="1">IF(ISBLANK(OFFSET(解答設定!$B$20,CB1,16)),"",OFFSET(解答設定!$B$20,CB1,16))</f>
        <v/>
      </c>
      <c r="CC6" s="278" t="str">
        <f ca="1">IF(ISBLANK(OFFSET(解答設定!$B$20,CC1,16)),"",OFFSET(解答設定!$B$20,CC1,16))</f>
        <v/>
      </c>
      <c r="CD6" s="278" t="str">
        <f ca="1">IF(ISBLANK(OFFSET(解答設定!$B$20,CD1,16)),"",OFFSET(解答設定!$B$20,CD1,16))</f>
        <v/>
      </c>
      <c r="CE6" s="278" t="str">
        <f ca="1">IF(ISBLANK(OFFSET(解答設定!$B$20,CE1,16)),"",OFFSET(解答設定!$B$20,CE1,16))</f>
        <v/>
      </c>
      <c r="CF6" s="278" t="str">
        <f ca="1">IF(ISBLANK(OFFSET(解答設定!$B$20,CF1,16)),"",OFFSET(解答設定!$B$20,CF1,16))</f>
        <v/>
      </c>
      <c r="CG6" s="278" t="str">
        <f ca="1">IF(ISBLANK(OFFSET(解答設定!$B$20,CG1,16)),"",OFFSET(解答設定!$B$20,CG1,16))</f>
        <v/>
      </c>
      <c r="CH6" s="278" t="str">
        <f ca="1">IF(ISBLANK(OFFSET(解答設定!$B$20,CH1,16)),"",OFFSET(解答設定!$B$20,CH1,16))</f>
        <v/>
      </c>
      <c r="CI6" s="278" t="str">
        <f ca="1">IF(ISBLANK(OFFSET(解答設定!$B$20,CI1,16)),"",OFFSET(解答設定!$B$20,CI1,16))</f>
        <v/>
      </c>
      <c r="CJ6" s="278" t="str">
        <f ca="1">IF(ISBLANK(OFFSET(解答設定!$B$20,CJ1,16)),"",OFFSET(解答設定!$B$20,CJ1,16))</f>
        <v/>
      </c>
      <c r="CK6" s="278" t="str">
        <f ca="1">IF(ISBLANK(OFFSET(解答設定!$B$20,CK1,16)),"",OFFSET(解答設定!$B$20,CK1,16))</f>
        <v/>
      </c>
      <c r="CL6" s="278" t="str">
        <f ca="1">IF(ISBLANK(OFFSET(解答設定!$B$20,CL1,16)),"",OFFSET(解答設定!$B$20,CL1,16))</f>
        <v/>
      </c>
      <c r="CM6" s="278" t="str">
        <f ca="1">IF(ISBLANK(OFFSET(解答設定!$B$20,CM1,16)),"",OFFSET(解答設定!$B$20,CM1,16))</f>
        <v/>
      </c>
      <c r="CN6" s="278" t="str">
        <f ca="1">IF(ISBLANK(OFFSET(解答設定!$B$20,CN1,16)),"",OFFSET(解答設定!$B$20,CN1,16))</f>
        <v/>
      </c>
      <c r="CO6" s="278" t="str">
        <f ca="1">IF(ISBLANK(OFFSET(解答設定!$B$20,CO1,16)),"",OFFSET(解答設定!$B$20,CO1,16))</f>
        <v/>
      </c>
      <c r="CP6" s="278" t="str">
        <f ca="1">IF(ISBLANK(OFFSET(解答設定!$B$20,CP1,16)),"",OFFSET(解答設定!$B$20,CP1,16))</f>
        <v/>
      </c>
      <c r="CQ6" s="278" t="str">
        <f ca="1">IF(ISBLANK(OFFSET(解答設定!$B$20,CQ1,16)),"",OFFSET(解答設定!$B$20,CQ1,16))</f>
        <v/>
      </c>
      <c r="CR6" s="278" t="str">
        <f ca="1">IF(ISBLANK(OFFSET(解答設定!$B$20,CR1,16)),"",OFFSET(解答設定!$B$20,CR1,16))</f>
        <v/>
      </c>
      <c r="CS6" s="278" t="str">
        <f ca="1">IF(ISBLANK(OFFSET(解答設定!$B$20,CS1,16)),"",OFFSET(解答設定!$B$20,CS1,16))</f>
        <v/>
      </c>
      <c r="CT6" s="278" t="str">
        <f ca="1">IF(ISBLANK(OFFSET(解答設定!$B$20,CT1,16)),"",OFFSET(解答設定!$B$20,CT1,16))</f>
        <v/>
      </c>
      <c r="CU6" s="278" t="str">
        <f ca="1">IF(ISBLANK(OFFSET(解答設定!$B$20,CU1,16)),"",OFFSET(解答設定!$B$20,CU1,16))</f>
        <v/>
      </c>
      <c r="CV6" s="278" t="str">
        <f ca="1">IF(ISBLANK(OFFSET(解答設定!$B$20,CV1,16)),"",OFFSET(解答設定!$B$20,CV1,16))</f>
        <v/>
      </c>
      <c r="CW6" s="278" t="str">
        <f ca="1">IF(ISBLANK(OFFSET(解答設定!$B$20,CW1,16)),"",OFFSET(解答設定!$B$20,CW1,16))</f>
        <v/>
      </c>
      <c r="CX6" s="278" t="str">
        <f ca="1">IF(ISBLANK(OFFSET(解答設定!$B$20,CX1,16)),"",OFFSET(解答設定!$B$20,CX1,16))</f>
        <v/>
      </c>
      <c r="CY6" s="278" t="str">
        <f ca="1">IF(ISBLANK(OFFSET(解答設定!$B$20,CY1,16)),"",OFFSET(解答設定!$B$20,CY1,16))</f>
        <v/>
      </c>
      <c r="CZ6" s="278" t="str">
        <f ca="1">IF(ISBLANK(OFFSET(解答設定!$B$20,CZ1,16)),"",OFFSET(解答設定!$B$20,CZ1,16))</f>
        <v/>
      </c>
      <c r="DA6" s="278" t="str">
        <f ca="1">IF(ISBLANK(OFFSET(解答設定!$B$20,DA1,16)),"",OFFSET(解答設定!$B$20,DA1,16))</f>
        <v/>
      </c>
      <c r="DB6" s="293"/>
      <c r="DC6" s="294"/>
      <c r="DD6" s="294"/>
      <c r="DE6" s="294"/>
      <c r="DF6" s="294"/>
      <c r="DG6" s="294"/>
      <c r="DH6" s="295"/>
      <c r="DI6" s="295"/>
      <c r="DJ6" s="295"/>
      <c r="DK6" s="295"/>
      <c r="DL6" s="295"/>
      <c r="DM6" s="295"/>
      <c r="DN6" s="282"/>
      <c r="DO6" s="285"/>
      <c r="DP6" s="276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1"/>
      <c r="D7" s="263"/>
      <c r="E7" s="265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278"/>
      <c r="AB7" s="278"/>
      <c r="AC7" s="278"/>
      <c r="AD7" s="278"/>
      <c r="AE7" s="278"/>
      <c r="AF7" s="278"/>
      <c r="AG7" s="278"/>
      <c r="AH7" s="278"/>
      <c r="AI7" s="278"/>
      <c r="AJ7" s="278"/>
      <c r="AK7" s="278"/>
      <c r="AL7" s="278"/>
      <c r="AM7" s="278"/>
      <c r="AN7" s="278"/>
      <c r="AO7" s="278"/>
      <c r="AP7" s="278"/>
      <c r="AQ7" s="278"/>
      <c r="AR7" s="278"/>
      <c r="AS7" s="278"/>
      <c r="AT7" s="278"/>
      <c r="AU7" s="278"/>
      <c r="AV7" s="278"/>
      <c r="AW7" s="278"/>
      <c r="AX7" s="278"/>
      <c r="AY7" s="278"/>
      <c r="AZ7" s="278"/>
      <c r="BA7" s="278"/>
      <c r="BB7" s="278"/>
      <c r="BC7" s="278"/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78"/>
      <c r="BR7" s="278"/>
      <c r="BS7" s="278"/>
      <c r="BT7" s="278"/>
      <c r="BU7" s="278"/>
      <c r="BV7" s="278"/>
      <c r="BW7" s="278"/>
      <c r="BX7" s="278"/>
      <c r="BY7" s="278"/>
      <c r="BZ7" s="278"/>
      <c r="CA7" s="278"/>
      <c r="CB7" s="278"/>
      <c r="CC7" s="278"/>
      <c r="CD7" s="278"/>
      <c r="CE7" s="278"/>
      <c r="CF7" s="278"/>
      <c r="CG7" s="278"/>
      <c r="CH7" s="278"/>
      <c r="CI7" s="278"/>
      <c r="CJ7" s="278"/>
      <c r="CK7" s="278"/>
      <c r="CL7" s="278"/>
      <c r="CM7" s="278"/>
      <c r="CN7" s="278"/>
      <c r="CO7" s="278"/>
      <c r="CP7" s="278"/>
      <c r="CQ7" s="278"/>
      <c r="CR7" s="278"/>
      <c r="CS7" s="278"/>
      <c r="CT7" s="278"/>
      <c r="CU7" s="278"/>
      <c r="CV7" s="278"/>
      <c r="CW7" s="278"/>
      <c r="CX7" s="278"/>
      <c r="CY7" s="278"/>
      <c r="CZ7" s="278"/>
      <c r="DA7" s="278"/>
      <c r="DB7" s="293"/>
      <c r="DC7" s="294"/>
      <c r="DD7" s="294"/>
      <c r="DE7" s="294"/>
      <c r="DF7" s="294"/>
      <c r="DG7" s="294"/>
      <c r="DH7" s="295"/>
      <c r="DI7" s="295"/>
      <c r="DJ7" s="295"/>
      <c r="DK7" s="295"/>
      <c r="DL7" s="295"/>
      <c r="DM7" s="295"/>
      <c r="DN7" s="282"/>
      <c r="DO7" s="285"/>
      <c r="DP7" s="276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1"/>
      <c r="D8" s="263"/>
      <c r="E8" s="265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3"/>
      <c r="DC8" s="294"/>
      <c r="DD8" s="294"/>
      <c r="DE8" s="294"/>
      <c r="DF8" s="294"/>
      <c r="DG8" s="294"/>
      <c r="DH8" s="295"/>
      <c r="DI8" s="295"/>
      <c r="DJ8" s="295"/>
      <c r="DK8" s="295"/>
      <c r="DL8" s="295"/>
      <c r="DM8" s="295"/>
      <c r="DN8" s="282"/>
      <c r="DO8" s="285"/>
      <c r="DP8" s="276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1"/>
      <c r="D9" s="263"/>
      <c r="E9" s="265"/>
      <c r="F9" s="277" t="str">
        <f ca="1">IF(ISBLANK(OFFSET(解答設定!$B$20,F1,3)),"",OFFSET(解答設定!$B$20,F1,3))</f>
        <v/>
      </c>
      <c r="G9" s="277" t="str">
        <f ca="1">IF(ISBLANK(OFFSET(解答設定!$B$20,G1,3)),"",OFFSET(解答設定!$B$20,G1,3))</f>
        <v/>
      </c>
      <c r="H9" s="277" t="str">
        <f ca="1">IF(ISBLANK(OFFSET(解答設定!$B$20,H1,3)),"",OFFSET(解答設定!$B$20,H1,3))</f>
        <v/>
      </c>
      <c r="I9" s="277" t="str">
        <f ca="1">IF(ISBLANK(OFFSET(解答設定!$B$20,I1,3)),"",OFFSET(解答設定!$B$20,I1,3))</f>
        <v/>
      </c>
      <c r="J9" s="277" t="str">
        <f ca="1">IF(ISBLANK(OFFSET(解答設定!$B$20,J1,3)),"",OFFSET(解答設定!$B$20,J1,3))</f>
        <v/>
      </c>
      <c r="K9" s="277" t="str">
        <f ca="1">IF(ISBLANK(OFFSET(解答設定!$B$20,K1,3)),"",OFFSET(解答設定!$B$20,K1,3))</f>
        <v/>
      </c>
      <c r="L9" s="277" t="str">
        <f ca="1">IF(ISBLANK(OFFSET(解答設定!$B$20,L1,3)),"",OFFSET(解答設定!$B$20,L1,3))</f>
        <v/>
      </c>
      <c r="M9" s="277" t="str">
        <f ca="1">IF(ISBLANK(OFFSET(解答設定!$B$20,M1,3)),"",OFFSET(解答設定!$B$20,M1,3))</f>
        <v/>
      </c>
      <c r="N9" s="277" t="str">
        <f ca="1">IF(ISBLANK(OFFSET(解答設定!$B$20,N1,3)),"",OFFSET(解答設定!$B$20,N1,3))</f>
        <v/>
      </c>
      <c r="O9" s="277" t="str">
        <f ca="1">IF(ISBLANK(OFFSET(解答設定!$B$20,O1,3)),"",OFFSET(解答設定!$B$20,O1,3))</f>
        <v/>
      </c>
      <c r="P9" s="277" t="str">
        <f ca="1">IF(ISBLANK(OFFSET(解答設定!$B$20,P1,3)),"",OFFSET(解答設定!$B$20,P1,3))</f>
        <v/>
      </c>
      <c r="Q9" s="277" t="str">
        <f ca="1">IF(ISBLANK(OFFSET(解答設定!$B$20,Q1,3)),"",OFFSET(解答設定!$B$20,Q1,3))</f>
        <v/>
      </c>
      <c r="R9" s="277" t="str">
        <f ca="1">IF(ISBLANK(OFFSET(解答設定!$B$20,R1,3)),"",OFFSET(解答設定!$B$20,R1,3))</f>
        <v/>
      </c>
      <c r="S9" s="277" t="str">
        <f ca="1">IF(ISBLANK(OFFSET(解答設定!$B$20,S1,3)),"",OFFSET(解答設定!$B$20,S1,3))</f>
        <v/>
      </c>
      <c r="T9" s="277" t="str">
        <f ca="1">IF(ISBLANK(OFFSET(解答設定!$B$20,T1,3)),"",OFFSET(解答設定!$B$20,T1,3))</f>
        <v/>
      </c>
      <c r="U9" s="277" t="str">
        <f ca="1">IF(ISBLANK(OFFSET(解答設定!$B$20,U1,3)),"",OFFSET(解答設定!$B$20,U1,3))</f>
        <v/>
      </c>
      <c r="V9" s="277" t="str">
        <f ca="1">IF(ISBLANK(OFFSET(解答設定!$B$20,V1,3)),"",OFFSET(解答設定!$B$20,V1,3))</f>
        <v/>
      </c>
      <c r="W9" s="277" t="str">
        <f ca="1">IF(ISBLANK(OFFSET(解答設定!$B$20,W1,3)),"",OFFSET(解答設定!$B$20,W1,3))</f>
        <v/>
      </c>
      <c r="X9" s="277" t="str">
        <f ca="1">IF(ISBLANK(OFFSET(解答設定!$B$20,X1,3)),"",OFFSET(解答設定!$B$20,X1,3))</f>
        <v/>
      </c>
      <c r="Y9" s="277" t="str">
        <f ca="1">IF(ISBLANK(OFFSET(解答設定!$B$20,Y1,3)),"",OFFSET(解答設定!$B$20,Y1,3))</f>
        <v/>
      </c>
      <c r="Z9" s="277" t="str">
        <f ca="1">IF(ISBLANK(OFFSET(解答設定!$B$20,Z1,3)),"",OFFSET(解答設定!$B$20,Z1,3))</f>
        <v/>
      </c>
      <c r="AA9" s="277" t="str">
        <f ca="1">IF(ISBLANK(OFFSET(解答設定!$B$20,AA1,3)),"",OFFSET(解答設定!$B$20,AA1,3))</f>
        <v/>
      </c>
      <c r="AB9" s="277" t="str">
        <f ca="1">IF(ISBLANK(OFFSET(解答設定!$B$20,AB1,3)),"",OFFSET(解答設定!$B$20,AB1,3))</f>
        <v/>
      </c>
      <c r="AC9" s="277" t="str">
        <f ca="1">IF(ISBLANK(OFFSET(解答設定!$B$20,AC1,3)),"",OFFSET(解答設定!$B$20,AC1,3))</f>
        <v/>
      </c>
      <c r="AD9" s="277" t="str">
        <f ca="1">IF(ISBLANK(OFFSET(解答設定!$B$20,AD1,3)),"",OFFSET(解答設定!$B$20,AD1,3))</f>
        <v/>
      </c>
      <c r="AE9" s="277" t="str">
        <f ca="1">IF(ISBLANK(OFFSET(解答設定!$B$20,AE1,3)),"",OFFSET(解答設定!$B$20,AE1,3))</f>
        <v/>
      </c>
      <c r="AF9" s="277" t="str">
        <f ca="1">IF(ISBLANK(OFFSET(解答設定!$B$20,AF1,3)),"",OFFSET(解答設定!$B$20,AF1,3))</f>
        <v/>
      </c>
      <c r="AG9" s="277" t="str">
        <f ca="1">IF(ISBLANK(OFFSET(解答設定!$B$20,AG1,3)),"",OFFSET(解答設定!$B$20,AG1,3))</f>
        <v/>
      </c>
      <c r="AH9" s="277" t="str">
        <f ca="1">IF(ISBLANK(OFFSET(解答設定!$B$20,AH1,3)),"",OFFSET(解答設定!$B$20,AH1,3))</f>
        <v/>
      </c>
      <c r="AI9" s="277" t="str">
        <f ca="1">IF(ISBLANK(OFFSET(解答設定!$B$20,AI1,3)),"",OFFSET(解答設定!$B$20,AI1,3))</f>
        <v/>
      </c>
      <c r="AJ9" s="277" t="str">
        <f ca="1">IF(ISBLANK(OFFSET(解答設定!$B$20,AJ1,3)),"",OFFSET(解答設定!$B$20,AJ1,3))</f>
        <v/>
      </c>
      <c r="AK9" s="277" t="str">
        <f ca="1">IF(ISBLANK(OFFSET(解答設定!$B$20,AK1,3)),"",OFFSET(解答設定!$B$20,AK1,3))</f>
        <v/>
      </c>
      <c r="AL9" s="277" t="str">
        <f ca="1">IF(ISBLANK(OFFSET(解答設定!$B$20,AL1,3)),"",OFFSET(解答設定!$B$20,AL1,3))</f>
        <v/>
      </c>
      <c r="AM9" s="277" t="str">
        <f ca="1">IF(ISBLANK(OFFSET(解答設定!$B$20,AM1,3)),"",OFFSET(解答設定!$B$20,AM1,3))</f>
        <v/>
      </c>
      <c r="AN9" s="277" t="str">
        <f ca="1">IF(ISBLANK(OFFSET(解答設定!$B$20,AN1,3)),"",OFFSET(解答設定!$B$20,AN1,3))</f>
        <v/>
      </c>
      <c r="AO9" s="277" t="str">
        <f ca="1">IF(ISBLANK(OFFSET(解答設定!$B$20,AO1,3)),"",OFFSET(解答設定!$B$20,AO1,3))</f>
        <v/>
      </c>
      <c r="AP9" s="277" t="str">
        <f ca="1">IF(ISBLANK(OFFSET(解答設定!$B$20,AP1,3)),"",OFFSET(解答設定!$B$20,AP1,3))</f>
        <v/>
      </c>
      <c r="AQ9" s="277" t="str">
        <f ca="1">IF(ISBLANK(OFFSET(解答設定!$B$20,AQ1,3)),"",OFFSET(解答設定!$B$20,AQ1,3))</f>
        <v/>
      </c>
      <c r="AR9" s="277" t="str">
        <f ca="1">IF(ISBLANK(OFFSET(解答設定!$B$20,AR1,3)),"",OFFSET(解答設定!$B$20,AR1,3))</f>
        <v/>
      </c>
      <c r="AS9" s="277" t="str">
        <f ca="1">IF(ISBLANK(OFFSET(解答設定!$B$20,AS1,3)),"",OFFSET(解答設定!$B$20,AS1,3))</f>
        <v/>
      </c>
      <c r="AT9" s="277" t="str">
        <f ca="1">IF(ISBLANK(OFFSET(解答設定!$B$20,AT1,3)),"",OFFSET(解答設定!$B$20,AT1,3))</f>
        <v/>
      </c>
      <c r="AU9" s="277" t="str">
        <f ca="1">IF(ISBLANK(OFFSET(解答設定!$B$20,AU1,3)),"",OFFSET(解答設定!$B$20,AU1,3))</f>
        <v/>
      </c>
      <c r="AV9" s="277" t="str">
        <f ca="1">IF(ISBLANK(OFFSET(解答設定!$B$20,AV1,3)),"",OFFSET(解答設定!$B$20,AV1,3))</f>
        <v/>
      </c>
      <c r="AW9" s="277" t="str">
        <f ca="1">IF(ISBLANK(OFFSET(解答設定!$B$20,AW1,3)),"",OFFSET(解答設定!$B$20,AW1,3))</f>
        <v/>
      </c>
      <c r="AX9" s="277" t="str">
        <f ca="1">IF(ISBLANK(OFFSET(解答設定!$B$20,AX1,3)),"",OFFSET(解答設定!$B$20,AX1,3))</f>
        <v/>
      </c>
      <c r="AY9" s="277" t="str">
        <f ca="1">IF(ISBLANK(OFFSET(解答設定!$B$20,AY1,3)),"",OFFSET(解答設定!$B$20,AY1,3))</f>
        <v/>
      </c>
      <c r="AZ9" s="277" t="str">
        <f ca="1">IF(ISBLANK(OFFSET(解答設定!$B$20,AZ1,3)),"",OFFSET(解答設定!$B$20,AZ1,3))</f>
        <v/>
      </c>
      <c r="BA9" s="277" t="str">
        <f ca="1">IF(ISBLANK(OFFSET(解答設定!$B$20,BA1,3)),"",OFFSET(解答設定!$B$20,BA1,3))</f>
        <v/>
      </c>
      <c r="BB9" s="277" t="str">
        <f ca="1">IF(ISBLANK(OFFSET(解答設定!$B$20,BB1,3)),"",OFFSET(解答設定!$B$20,BB1,3))</f>
        <v/>
      </c>
      <c r="BC9" s="277" t="str">
        <f ca="1">IF(ISBLANK(OFFSET(解答設定!$B$20,BC1,3)),"",OFFSET(解答設定!$B$20,BC1,3))</f>
        <v/>
      </c>
      <c r="BD9" s="277" t="str">
        <f ca="1">IF(ISBLANK(OFFSET(解答設定!$B$20,BD1,3)),"",OFFSET(解答設定!$B$20,BD1,3))</f>
        <v/>
      </c>
      <c r="BE9" s="277" t="str">
        <f ca="1">IF(ISBLANK(OFFSET(解答設定!$B$20,BE1,3)),"",OFFSET(解答設定!$B$20,BE1,3))</f>
        <v/>
      </c>
      <c r="BF9" s="277" t="str">
        <f ca="1">IF(ISBLANK(OFFSET(解答設定!$B$20,BF1,3)),"",OFFSET(解答設定!$B$20,BF1,3))</f>
        <v/>
      </c>
      <c r="BG9" s="277" t="str">
        <f ca="1">IF(ISBLANK(OFFSET(解答設定!$B$20,BG1,3)),"",OFFSET(解答設定!$B$20,BG1,3))</f>
        <v/>
      </c>
      <c r="BH9" s="277" t="str">
        <f ca="1">IF(ISBLANK(OFFSET(解答設定!$B$20,BH1,3)),"",OFFSET(解答設定!$B$20,BH1,3))</f>
        <v/>
      </c>
      <c r="BI9" s="277" t="str">
        <f ca="1">IF(ISBLANK(OFFSET(解答設定!$B$20,BI1,3)),"",OFFSET(解答設定!$B$20,BI1,3))</f>
        <v/>
      </c>
      <c r="BJ9" s="277" t="str">
        <f ca="1">IF(ISBLANK(OFFSET(解答設定!$B$20,BJ1,3)),"",OFFSET(解答設定!$B$20,BJ1,3))</f>
        <v/>
      </c>
      <c r="BK9" s="277" t="str">
        <f ca="1">IF(ISBLANK(OFFSET(解答設定!$B$20,BK1,3)),"",OFFSET(解答設定!$B$20,BK1,3))</f>
        <v/>
      </c>
      <c r="BL9" s="277" t="str">
        <f ca="1">IF(ISBLANK(OFFSET(解答設定!$B$20,BL1,3)),"",OFFSET(解答設定!$B$20,BL1,3))</f>
        <v/>
      </c>
      <c r="BM9" s="277" t="str">
        <f ca="1">IF(ISBLANK(OFFSET(解答設定!$B$20,BM1,3)),"",OFFSET(解答設定!$B$20,BM1,3))</f>
        <v/>
      </c>
      <c r="BN9" s="277" t="str">
        <f ca="1">IF(ISBLANK(OFFSET(解答設定!$B$20,BN1,3)),"",OFFSET(解答設定!$B$20,BN1,3))</f>
        <v/>
      </c>
      <c r="BO9" s="277" t="str">
        <f ca="1">IF(ISBLANK(OFFSET(解答設定!$B$20,BO1,3)),"",OFFSET(解答設定!$B$20,BO1,3))</f>
        <v/>
      </c>
      <c r="BP9" s="277" t="str">
        <f ca="1">IF(ISBLANK(OFFSET(解答設定!$B$20,BP1,3)),"",OFFSET(解答設定!$B$20,BP1,3))</f>
        <v/>
      </c>
      <c r="BQ9" s="277" t="str">
        <f ca="1">IF(ISBLANK(OFFSET(解答設定!$B$20,BQ1,3)),"",OFFSET(解答設定!$B$20,BQ1,3))</f>
        <v/>
      </c>
      <c r="BR9" s="277" t="str">
        <f ca="1">IF(ISBLANK(OFFSET(解答設定!$B$20,BR1,3)),"",OFFSET(解答設定!$B$20,BR1,3))</f>
        <v/>
      </c>
      <c r="BS9" s="277" t="str">
        <f ca="1">IF(ISBLANK(OFFSET(解答設定!$B$20,BS1,3)),"",OFFSET(解答設定!$B$20,BS1,3))</f>
        <v/>
      </c>
      <c r="BT9" s="277" t="str">
        <f ca="1">IF(ISBLANK(OFFSET(解答設定!$B$20,BT1,3)),"",OFFSET(解答設定!$B$20,BT1,3))</f>
        <v/>
      </c>
      <c r="BU9" s="277" t="str">
        <f ca="1">IF(ISBLANK(OFFSET(解答設定!$B$20,BU1,3)),"",OFFSET(解答設定!$B$20,BU1,3))</f>
        <v/>
      </c>
      <c r="BV9" s="277" t="str">
        <f ca="1">IF(ISBLANK(OFFSET(解答設定!$B$20,BV1,3)),"",OFFSET(解答設定!$B$20,BV1,3))</f>
        <v/>
      </c>
      <c r="BW9" s="277" t="str">
        <f ca="1">IF(ISBLANK(OFFSET(解答設定!$B$20,BW1,3)),"",OFFSET(解答設定!$B$20,BW1,3))</f>
        <v/>
      </c>
      <c r="BX9" s="277" t="str">
        <f ca="1">IF(ISBLANK(OFFSET(解答設定!$B$20,BX1,3)),"",OFFSET(解答設定!$B$20,BX1,3))</f>
        <v/>
      </c>
      <c r="BY9" s="277" t="str">
        <f ca="1">IF(ISBLANK(OFFSET(解答設定!$B$20,BY1,3)),"",OFFSET(解答設定!$B$20,BY1,3))</f>
        <v/>
      </c>
      <c r="BZ9" s="277" t="str">
        <f ca="1">IF(ISBLANK(OFFSET(解答設定!$B$20,BZ1,3)),"",OFFSET(解答設定!$B$20,BZ1,3))</f>
        <v/>
      </c>
      <c r="CA9" s="277" t="str">
        <f ca="1">IF(ISBLANK(OFFSET(解答設定!$B$20,CA1,3)),"",OFFSET(解答設定!$B$20,CA1,3))</f>
        <v/>
      </c>
      <c r="CB9" s="277" t="str">
        <f ca="1">IF(ISBLANK(OFFSET(解答設定!$B$20,CB1,3)),"",OFFSET(解答設定!$B$20,CB1,3))</f>
        <v/>
      </c>
      <c r="CC9" s="277" t="str">
        <f ca="1">IF(ISBLANK(OFFSET(解答設定!$B$20,CC1,3)),"",OFFSET(解答設定!$B$20,CC1,3))</f>
        <v/>
      </c>
      <c r="CD9" s="277" t="str">
        <f ca="1">IF(ISBLANK(OFFSET(解答設定!$B$20,CD1,3)),"",OFFSET(解答設定!$B$20,CD1,3))</f>
        <v/>
      </c>
      <c r="CE9" s="277" t="str">
        <f ca="1">IF(ISBLANK(OFFSET(解答設定!$B$20,CE1,3)),"",OFFSET(解答設定!$B$20,CE1,3))</f>
        <v/>
      </c>
      <c r="CF9" s="277" t="str">
        <f ca="1">IF(ISBLANK(OFFSET(解答設定!$B$20,CF1,3)),"",OFFSET(解答設定!$B$20,CF1,3))</f>
        <v/>
      </c>
      <c r="CG9" s="277" t="str">
        <f ca="1">IF(ISBLANK(OFFSET(解答設定!$B$20,CG1,3)),"",OFFSET(解答設定!$B$20,CG1,3))</f>
        <v/>
      </c>
      <c r="CH9" s="277" t="str">
        <f ca="1">IF(ISBLANK(OFFSET(解答設定!$B$20,CH1,3)),"",OFFSET(解答設定!$B$20,CH1,3))</f>
        <v/>
      </c>
      <c r="CI9" s="277" t="str">
        <f ca="1">IF(ISBLANK(OFFSET(解答設定!$B$20,CI1,3)),"",OFFSET(解答設定!$B$20,CI1,3))</f>
        <v/>
      </c>
      <c r="CJ9" s="277" t="str">
        <f ca="1">IF(ISBLANK(OFFSET(解答設定!$B$20,CJ1,3)),"",OFFSET(解答設定!$B$20,CJ1,3))</f>
        <v/>
      </c>
      <c r="CK9" s="277" t="str">
        <f ca="1">IF(ISBLANK(OFFSET(解答設定!$B$20,CK1,3)),"",OFFSET(解答設定!$B$20,CK1,3))</f>
        <v/>
      </c>
      <c r="CL9" s="277" t="str">
        <f ca="1">IF(ISBLANK(OFFSET(解答設定!$B$20,CL1,3)),"",OFFSET(解答設定!$B$20,CL1,3))</f>
        <v/>
      </c>
      <c r="CM9" s="277" t="str">
        <f ca="1">IF(ISBLANK(OFFSET(解答設定!$B$20,CM1,3)),"",OFFSET(解答設定!$B$20,CM1,3))</f>
        <v/>
      </c>
      <c r="CN9" s="277" t="str">
        <f ca="1">IF(ISBLANK(OFFSET(解答設定!$B$20,CN1,3)),"",OFFSET(解答設定!$B$20,CN1,3))</f>
        <v/>
      </c>
      <c r="CO9" s="277" t="str">
        <f ca="1">IF(ISBLANK(OFFSET(解答設定!$B$20,CO1,3)),"",OFFSET(解答設定!$B$20,CO1,3))</f>
        <v/>
      </c>
      <c r="CP9" s="277" t="str">
        <f ca="1">IF(ISBLANK(OFFSET(解答設定!$B$20,CP1,3)),"",OFFSET(解答設定!$B$20,CP1,3))</f>
        <v/>
      </c>
      <c r="CQ9" s="277" t="str">
        <f ca="1">IF(ISBLANK(OFFSET(解答設定!$B$20,CQ1,3)),"",OFFSET(解答設定!$B$20,CQ1,3))</f>
        <v/>
      </c>
      <c r="CR9" s="277" t="str">
        <f ca="1">IF(ISBLANK(OFFSET(解答設定!$B$20,CR1,3)),"",OFFSET(解答設定!$B$20,CR1,3))</f>
        <v/>
      </c>
      <c r="CS9" s="277" t="str">
        <f ca="1">IF(ISBLANK(OFFSET(解答設定!$B$20,CS1,3)),"",OFFSET(解答設定!$B$20,CS1,3))</f>
        <v/>
      </c>
      <c r="CT9" s="277" t="str">
        <f ca="1">IF(ISBLANK(OFFSET(解答設定!$B$20,CT1,3)),"",OFFSET(解答設定!$B$20,CT1,3))</f>
        <v/>
      </c>
      <c r="CU9" s="277" t="str">
        <f ca="1">IF(ISBLANK(OFFSET(解答設定!$B$20,CU1,3)),"",OFFSET(解答設定!$B$20,CU1,3))</f>
        <v/>
      </c>
      <c r="CV9" s="277" t="str">
        <f ca="1">IF(ISBLANK(OFFSET(解答設定!$B$20,CV1,3)),"",OFFSET(解答設定!$B$20,CV1,3))</f>
        <v/>
      </c>
      <c r="CW9" s="277" t="str">
        <f ca="1">IF(ISBLANK(OFFSET(解答設定!$B$20,CW1,3)),"",OFFSET(解答設定!$B$20,CW1,3))</f>
        <v/>
      </c>
      <c r="CX9" s="277" t="str">
        <f ca="1">IF(ISBLANK(OFFSET(解答設定!$B$20,CX1,3)),"",OFFSET(解答設定!$B$20,CX1,3))</f>
        <v/>
      </c>
      <c r="CY9" s="277" t="str">
        <f ca="1">IF(ISBLANK(OFFSET(解答設定!$B$20,CY1,3)),"",OFFSET(解答設定!$B$20,CY1,3))</f>
        <v/>
      </c>
      <c r="CZ9" s="277" t="str">
        <f ca="1">IF(ISBLANK(OFFSET(解答設定!$B$20,CZ1,3)),"",OFFSET(解答設定!$B$20,CZ1,3))</f>
        <v/>
      </c>
      <c r="DA9" s="277" t="str">
        <f ca="1">IF(ISBLANK(OFFSET(解答設定!$B$20,DA1,3)),"",OFFSET(解答設定!$B$20,DA1,3))</f>
        <v/>
      </c>
      <c r="DB9" s="293"/>
      <c r="DC9" s="294"/>
      <c r="DD9" s="294"/>
      <c r="DE9" s="294"/>
      <c r="DF9" s="294"/>
      <c r="DG9" s="294"/>
      <c r="DH9" s="295"/>
      <c r="DI9" s="295"/>
      <c r="DJ9" s="295"/>
      <c r="DK9" s="295"/>
      <c r="DL9" s="295"/>
      <c r="DM9" s="295"/>
      <c r="DN9" s="282"/>
      <c r="DO9" s="285"/>
      <c r="DP9" s="276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1"/>
      <c r="D10" s="263"/>
      <c r="E10" s="265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7"/>
      <c r="BO10" s="277"/>
      <c r="BP10" s="277"/>
      <c r="BQ10" s="277"/>
      <c r="BR10" s="277"/>
      <c r="BS10" s="277"/>
      <c r="BT10" s="277"/>
      <c r="BU10" s="277"/>
      <c r="BV10" s="277"/>
      <c r="BW10" s="277"/>
      <c r="BX10" s="277"/>
      <c r="BY10" s="277"/>
      <c r="BZ10" s="277"/>
      <c r="CA10" s="277"/>
      <c r="CB10" s="277"/>
      <c r="CC10" s="277"/>
      <c r="CD10" s="277"/>
      <c r="CE10" s="277"/>
      <c r="CF10" s="277"/>
      <c r="CG10" s="277"/>
      <c r="CH10" s="277"/>
      <c r="CI10" s="277"/>
      <c r="CJ10" s="277"/>
      <c r="CK10" s="277"/>
      <c r="CL10" s="277"/>
      <c r="CM10" s="277"/>
      <c r="CN10" s="277"/>
      <c r="CO10" s="277"/>
      <c r="CP10" s="277"/>
      <c r="CQ10" s="277"/>
      <c r="CR10" s="277"/>
      <c r="CS10" s="277"/>
      <c r="CT10" s="277"/>
      <c r="CU10" s="277"/>
      <c r="CV10" s="277"/>
      <c r="CW10" s="277"/>
      <c r="CX10" s="277"/>
      <c r="CY10" s="277"/>
      <c r="CZ10" s="277"/>
      <c r="DA10" s="277"/>
      <c r="DB10" s="293"/>
      <c r="DC10" s="294"/>
      <c r="DD10" s="294"/>
      <c r="DE10" s="294"/>
      <c r="DF10" s="294"/>
      <c r="DG10" s="294"/>
      <c r="DH10" s="295"/>
      <c r="DI10" s="295"/>
      <c r="DJ10" s="295"/>
      <c r="DK10" s="295"/>
      <c r="DL10" s="295"/>
      <c r="DM10" s="295"/>
      <c r="DN10" s="282"/>
      <c r="DO10" s="285"/>
      <c r="DP10" s="276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1"/>
      <c r="D11" s="263"/>
      <c r="E11" s="265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3"/>
      <c r="DC11" s="294"/>
      <c r="DD11" s="294"/>
      <c r="DE11" s="294"/>
      <c r="DF11" s="294"/>
      <c r="DG11" s="294"/>
      <c r="DH11" s="295"/>
      <c r="DI11" s="295"/>
      <c r="DJ11" s="295"/>
      <c r="DK11" s="295"/>
      <c r="DL11" s="295"/>
      <c r="DM11" s="295"/>
      <c r="DN11" s="282"/>
      <c r="DO11" s="285"/>
      <c r="DP11" s="276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1"/>
      <c r="D12" s="263"/>
      <c r="E12" s="265"/>
      <c r="F12" s="277" t="str">
        <f ca="1">IF(ISBLANK(OFFSET(解答設定!$B$20,F1,3)),"",OFFSET(解答設定!$B$20,F1,0))</f>
        <v/>
      </c>
      <c r="G12" s="277" t="str">
        <f ca="1">IF(ISBLANK(OFFSET(解答設定!$B$20,G1,3)),"",OFFSET(解答設定!$B$20,G1,0))</f>
        <v/>
      </c>
      <c r="H12" s="277" t="str">
        <f ca="1">IF(ISBLANK(OFFSET(解答設定!$B$20,H1,3)),"",OFFSET(解答設定!$B$20,H1,0))</f>
        <v/>
      </c>
      <c r="I12" s="277" t="str">
        <f ca="1">IF(ISBLANK(OFFSET(解答設定!$B$20,I1,3)),"",OFFSET(解答設定!$B$20,I1,0))</f>
        <v/>
      </c>
      <c r="J12" s="277" t="str">
        <f ca="1">IF(ISBLANK(OFFSET(解答設定!$B$20,J1,3)),"",OFFSET(解答設定!$B$20,J1,0))</f>
        <v/>
      </c>
      <c r="K12" s="277" t="str">
        <f ca="1">IF(ISBLANK(OFFSET(解答設定!$B$20,K1,3)),"",OFFSET(解答設定!$B$20,K1,0))</f>
        <v/>
      </c>
      <c r="L12" s="277" t="str">
        <f ca="1">IF(ISBLANK(OFFSET(解答設定!$B$20,L1,3)),"",OFFSET(解答設定!$B$20,L1,0))</f>
        <v/>
      </c>
      <c r="M12" s="277" t="str">
        <f ca="1">IF(ISBLANK(OFFSET(解答設定!$B$20,M1,3)),"",OFFSET(解答設定!$B$20,M1,0))</f>
        <v/>
      </c>
      <c r="N12" s="277" t="str">
        <f ca="1">IF(ISBLANK(OFFSET(解答設定!$B$20,N1,3)),"",OFFSET(解答設定!$B$20,N1,0))</f>
        <v/>
      </c>
      <c r="O12" s="277" t="str">
        <f ca="1">IF(ISBLANK(OFFSET(解答設定!$B$20,O1,3)),"",OFFSET(解答設定!$B$20,O1,0))</f>
        <v/>
      </c>
      <c r="P12" s="277" t="str">
        <f ca="1">IF(ISBLANK(OFFSET(解答設定!$B$20,P1,3)),"",OFFSET(解答設定!$B$20,P1,0))</f>
        <v/>
      </c>
      <c r="Q12" s="277" t="str">
        <f ca="1">IF(ISBLANK(OFFSET(解答設定!$B$20,Q1,3)),"",OFFSET(解答設定!$B$20,Q1,0))</f>
        <v/>
      </c>
      <c r="R12" s="277" t="str">
        <f ca="1">IF(ISBLANK(OFFSET(解答設定!$B$20,R1,3)),"",OFFSET(解答設定!$B$20,R1,0))</f>
        <v/>
      </c>
      <c r="S12" s="277" t="str">
        <f ca="1">IF(ISBLANK(OFFSET(解答設定!$B$20,S1,3)),"",OFFSET(解答設定!$B$20,S1,0))</f>
        <v/>
      </c>
      <c r="T12" s="277" t="str">
        <f ca="1">IF(ISBLANK(OFFSET(解答設定!$B$20,T1,3)),"",OFFSET(解答設定!$B$20,T1,0))</f>
        <v/>
      </c>
      <c r="U12" s="277" t="str">
        <f ca="1">IF(ISBLANK(OFFSET(解答設定!$B$20,U1,3)),"",OFFSET(解答設定!$B$20,U1,0))</f>
        <v/>
      </c>
      <c r="V12" s="277" t="str">
        <f ca="1">IF(ISBLANK(OFFSET(解答設定!$B$20,V1,3)),"",OFFSET(解答設定!$B$20,V1,0))</f>
        <v/>
      </c>
      <c r="W12" s="277" t="str">
        <f ca="1">IF(ISBLANK(OFFSET(解答設定!$B$20,W1,3)),"",OFFSET(解答設定!$B$20,W1,0))</f>
        <v/>
      </c>
      <c r="X12" s="277" t="str">
        <f ca="1">IF(ISBLANK(OFFSET(解答設定!$B$20,X1,3)),"",OFFSET(解答設定!$B$20,X1,0))</f>
        <v/>
      </c>
      <c r="Y12" s="277" t="str">
        <f ca="1">IF(ISBLANK(OFFSET(解答設定!$B$20,Y1,3)),"",OFFSET(解答設定!$B$20,Y1,0))</f>
        <v/>
      </c>
      <c r="Z12" s="277" t="str">
        <f ca="1">IF(ISBLANK(OFFSET(解答設定!$B$20,Z1,3)),"",OFFSET(解答設定!$B$20,Z1,0))</f>
        <v/>
      </c>
      <c r="AA12" s="277" t="str">
        <f ca="1">IF(ISBLANK(OFFSET(解答設定!$B$20,AA1,3)),"",OFFSET(解答設定!$B$20,AA1,0))</f>
        <v/>
      </c>
      <c r="AB12" s="277" t="str">
        <f ca="1">IF(ISBLANK(OFFSET(解答設定!$B$20,AB1,3)),"",OFFSET(解答設定!$B$20,AB1,0))</f>
        <v/>
      </c>
      <c r="AC12" s="277" t="str">
        <f ca="1">IF(ISBLANK(OFFSET(解答設定!$B$20,AC1,3)),"",OFFSET(解答設定!$B$20,AC1,0))</f>
        <v/>
      </c>
      <c r="AD12" s="277" t="str">
        <f ca="1">IF(ISBLANK(OFFSET(解答設定!$B$20,AD1,3)),"",OFFSET(解答設定!$B$20,AD1,0))</f>
        <v/>
      </c>
      <c r="AE12" s="277" t="str">
        <f ca="1">IF(ISBLANK(OFFSET(解答設定!$B$20,AE1,3)),"",OFFSET(解答設定!$B$20,AE1,0))</f>
        <v/>
      </c>
      <c r="AF12" s="277" t="str">
        <f ca="1">IF(ISBLANK(OFFSET(解答設定!$B$20,AF1,3)),"",OFFSET(解答設定!$B$20,AF1,0))</f>
        <v/>
      </c>
      <c r="AG12" s="277" t="str">
        <f ca="1">IF(ISBLANK(OFFSET(解答設定!$B$20,AG1,3)),"",OFFSET(解答設定!$B$20,AG1,0))</f>
        <v/>
      </c>
      <c r="AH12" s="277" t="str">
        <f ca="1">IF(ISBLANK(OFFSET(解答設定!$B$20,AH1,3)),"",OFFSET(解答設定!$B$20,AH1,0))</f>
        <v/>
      </c>
      <c r="AI12" s="277" t="str">
        <f ca="1">IF(ISBLANK(OFFSET(解答設定!$B$20,AI1,3)),"",OFFSET(解答設定!$B$20,AI1,0))</f>
        <v/>
      </c>
      <c r="AJ12" s="277" t="str">
        <f ca="1">IF(ISBLANK(OFFSET(解答設定!$B$20,AJ1,3)),"",OFFSET(解答設定!$B$20,AJ1,0))</f>
        <v/>
      </c>
      <c r="AK12" s="277" t="str">
        <f ca="1">IF(ISBLANK(OFFSET(解答設定!$B$20,AK1,3)),"",OFFSET(解答設定!$B$20,AK1,0))</f>
        <v/>
      </c>
      <c r="AL12" s="277" t="str">
        <f ca="1">IF(ISBLANK(OFFSET(解答設定!$B$20,AL1,3)),"",OFFSET(解答設定!$B$20,AL1,0))</f>
        <v/>
      </c>
      <c r="AM12" s="277" t="str">
        <f ca="1">IF(ISBLANK(OFFSET(解答設定!$B$20,AM1,3)),"",OFFSET(解答設定!$B$20,AM1,0))</f>
        <v/>
      </c>
      <c r="AN12" s="277" t="str">
        <f ca="1">IF(ISBLANK(OFFSET(解答設定!$B$20,AN1,3)),"",OFFSET(解答設定!$B$20,AN1,0))</f>
        <v/>
      </c>
      <c r="AO12" s="277" t="str">
        <f ca="1">IF(ISBLANK(OFFSET(解答設定!$B$20,AO1,3)),"",OFFSET(解答設定!$B$20,AO1,0))</f>
        <v/>
      </c>
      <c r="AP12" s="277" t="str">
        <f ca="1">IF(ISBLANK(OFFSET(解答設定!$B$20,AP1,3)),"",OFFSET(解答設定!$B$20,AP1,0))</f>
        <v/>
      </c>
      <c r="AQ12" s="277" t="str">
        <f ca="1">IF(ISBLANK(OFFSET(解答設定!$B$20,AQ1,3)),"",OFFSET(解答設定!$B$20,AQ1,0))</f>
        <v/>
      </c>
      <c r="AR12" s="277" t="str">
        <f ca="1">IF(ISBLANK(OFFSET(解答設定!$B$20,AR1,3)),"",OFFSET(解答設定!$B$20,AR1,0))</f>
        <v/>
      </c>
      <c r="AS12" s="277" t="str">
        <f ca="1">IF(ISBLANK(OFFSET(解答設定!$B$20,AS1,3)),"",OFFSET(解答設定!$B$20,AS1,0))</f>
        <v/>
      </c>
      <c r="AT12" s="277" t="str">
        <f ca="1">IF(ISBLANK(OFFSET(解答設定!$B$20,AT1,3)),"",OFFSET(解答設定!$B$20,AT1,0))</f>
        <v/>
      </c>
      <c r="AU12" s="277" t="str">
        <f ca="1">IF(ISBLANK(OFFSET(解答設定!$B$20,AU1,3)),"",OFFSET(解答設定!$B$20,AU1,0))</f>
        <v/>
      </c>
      <c r="AV12" s="277" t="str">
        <f ca="1">IF(ISBLANK(OFFSET(解答設定!$B$20,AV1,3)),"",OFFSET(解答設定!$B$20,AV1,0))</f>
        <v/>
      </c>
      <c r="AW12" s="277" t="str">
        <f ca="1">IF(ISBLANK(OFFSET(解答設定!$B$20,AW1,3)),"",OFFSET(解答設定!$B$20,AW1,0))</f>
        <v/>
      </c>
      <c r="AX12" s="277" t="str">
        <f ca="1">IF(ISBLANK(OFFSET(解答設定!$B$20,AX1,3)),"",OFFSET(解答設定!$B$20,AX1,0))</f>
        <v/>
      </c>
      <c r="AY12" s="277" t="str">
        <f ca="1">IF(ISBLANK(OFFSET(解答設定!$B$20,AY1,3)),"",OFFSET(解答設定!$B$20,AY1,0))</f>
        <v/>
      </c>
      <c r="AZ12" s="277" t="str">
        <f ca="1">IF(ISBLANK(OFFSET(解答設定!$B$20,AZ1,3)),"",OFFSET(解答設定!$B$20,AZ1,0))</f>
        <v/>
      </c>
      <c r="BA12" s="277" t="str">
        <f ca="1">IF(ISBLANK(OFFSET(解答設定!$B$20,BA1,3)),"",OFFSET(解答設定!$B$20,BA1,0))</f>
        <v/>
      </c>
      <c r="BB12" s="277" t="str">
        <f ca="1">IF(ISBLANK(OFFSET(解答設定!$B$20,BB1,3)),"",OFFSET(解答設定!$B$20,BB1,0))</f>
        <v/>
      </c>
      <c r="BC12" s="277" t="str">
        <f ca="1">IF(ISBLANK(OFFSET(解答設定!$B$20,BC1,3)),"",OFFSET(解答設定!$B$20,BC1,0))</f>
        <v/>
      </c>
      <c r="BD12" s="277" t="str">
        <f ca="1">IF(ISBLANK(OFFSET(解答設定!$B$20,BD1,3)),"",OFFSET(解答設定!$B$20,BD1,0))</f>
        <v/>
      </c>
      <c r="BE12" s="277" t="str">
        <f ca="1">IF(ISBLANK(OFFSET(解答設定!$B$20,BE1,3)),"",OFFSET(解答設定!$B$20,BE1,0))</f>
        <v/>
      </c>
      <c r="BF12" s="277" t="str">
        <f ca="1">IF(ISBLANK(OFFSET(解答設定!$B$20,BF1,3)),"",OFFSET(解答設定!$B$20,BF1,0))</f>
        <v/>
      </c>
      <c r="BG12" s="277" t="str">
        <f ca="1">IF(ISBLANK(OFFSET(解答設定!$B$20,BG1,3)),"",OFFSET(解答設定!$B$20,BG1,0))</f>
        <v/>
      </c>
      <c r="BH12" s="277" t="str">
        <f ca="1">IF(ISBLANK(OFFSET(解答設定!$B$20,BH1,3)),"",OFFSET(解答設定!$B$20,BH1,0))</f>
        <v/>
      </c>
      <c r="BI12" s="277" t="str">
        <f ca="1">IF(ISBLANK(OFFSET(解答設定!$B$20,BI1,3)),"",OFFSET(解答設定!$B$20,BI1,0))</f>
        <v/>
      </c>
      <c r="BJ12" s="277" t="str">
        <f ca="1">IF(ISBLANK(OFFSET(解答設定!$B$20,BJ1,3)),"",OFFSET(解答設定!$B$20,BJ1,0))</f>
        <v/>
      </c>
      <c r="BK12" s="277" t="str">
        <f ca="1">IF(ISBLANK(OFFSET(解答設定!$B$20,BK1,3)),"",OFFSET(解答設定!$B$20,BK1,0))</f>
        <v/>
      </c>
      <c r="BL12" s="277" t="str">
        <f ca="1">IF(ISBLANK(OFFSET(解答設定!$B$20,BL1,3)),"",OFFSET(解答設定!$B$20,BL1,0))</f>
        <v/>
      </c>
      <c r="BM12" s="277" t="str">
        <f ca="1">IF(ISBLANK(OFFSET(解答設定!$B$20,BM1,3)),"",OFFSET(解答設定!$B$20,BM1,0))</f>
        <v/>
      </c>
      <c r="BN12" s="277" t="str">
        <f ca="1">IF(ISBLANK(OFFSET(解答設定!$B$20,BN1,3)),"",OFFSET(解答設定!$B$20,BN1,0))</f>
        <v/>
      </c>
      <c r="BO12" s="277" t="str">
        <f ca="1">IF(ISBLANK(OFFSET(解答設定!$B$20,BO1,3)),"",OFFSET(解答設定!$B$20,BO1,0))</f>
        <v/>
      </c>
      <c r="BP12" s="277" t="str">
        <f ca="1">IF(ISBLANK(OFFSET(解答設定!$B$20,BP1,3)),"",OFFSET(解答設定!$B$20,BP1,0))</f>
        <v/>
      </c>
      <c r="BQ12" s="277" t="str">
        <f ca="1">IF(ISBLANK(OFFSET(解答設定!$B$20,BQ1,3)),"",OFFSET(解答設定!$B$20,BQ1,0))</f>
        <v/>
      </c>
      <c r="BR12" s="277" t="str">
        <f ca="1">IF(ISBLANK(OFFSET(解答設定!$B$20,BR1,3)),"",OFFSET(解答設定!$B$20,BR1,0))</f>
        <v/>
      </c>
      <c r="BS12" s="277" t="str">
        <f ca="1">IF(ISBLANK(OFFSET(解答設定!$B$20,BS1,3)),"",OFFSET(解答設定!$B$20,BS1,0))</f>
        <v/>
      </c>
      <c r="BT12" s="277" t="str">
        <f ca="1">IF(ISBLANK(OFFSET(解答設定!$B$20,BT1,3)),"",OFFSET(解答設定!$B$20,BT1,0))</f>
        <v/>
      </c>
      <c r="BU12" s="277" t="str">
        <f ca="1">IF(ISBLANK(OFFSET(解答設定!$B$20,BU1,3)),"",OFFSET(解答設定!$B$20,BU1,0))</f>
        <v/>
      </c>
      <c r="BV12" s="277" t="str">
        <f ca="1">IF(ISBLANK(OFFSET(解答設定!$B$20,BV1,3)),"",OFFSET(解答設定!$B$20,BV1,0))</f>
        <v/>
      </c>
      <c r="BW12" s="277" t="str">
        <f ca="1">IF(ISBLANK(OFFSET(解答設定!$B$20,BW1,3)),"",OFFSET(解答設定!$B$20,BW1,0))</f>
        <v/>
      </c>
      <c r="BX12" s="277" t="str">
        <f ca="1">IF(ISBLANK(OFFSET(解答設定!$B$20,BX1,3)),"",OFFSET(解答設定!$B$20,BX1,0))</f>
        <v/>
      </c>
      <c r="BY12" s="277" t="str">
        <f ca="1">IF(ISBLANK(OFFSET(解答設定!$B$20,BY1,3)),"",OFFSET(解答設定!$B$20,BY1,0))</f>
        <v/>
      </c>
      <c r="BZ12" s="277" t="str">
        <f ca="1">IF(ISBLANK(OFFSET(解答設定!$B$20,BZ1,3)),"",OFFSET(解答設定!$B$20,BZ1,0))</f>
        <v/>
      </c>
      <c r="CA12" s="277" t="str">
        <f ca="1">IF(ISBLANK(OFFSET(解答設定!$B$20,CA1,3)),"",OFFSET(解答設定!$B$20,CA1,0))</f>
        <v/>
      </c>
      <c r="CB12" s="277" t="str">
        <f ca="1">IF(ISBLANK(OFFSET(解答設定!$B$20,CB1,3)),"",OFFSET(解答設定!$B$20,CB1,0))</f>
        <v/>
      </c>
      <c r="CC12" s="277" t="str">
        <f ca="1">IF(ISBLANK(OFFSET(解答設定!$B$20,CC1,3)),"",OFFSET(解答設定!$B$20,CC1,0))</f>
        <v/>
      </c>
      <c r="CD12" s="277" t="str">
        <f ca="1">IF(ISBLANK(OFFSET(解答設定!$B$20,CD1,3)),"",OFFSET(解答設定!$B$20,CD1,0))</f>
        <v/>
      </c>
      <c r="CE12" s="277" t="str">
        <f ca="1">IF(ISBLANK(OFFSET(解答設定!$B$20,CE1,3)),"",OFFSET(解答設定!$B$20,CE1,0))</f>
        <v/>
      </c>
      <c r="CF12" s="277" t="str">
        <f ca="1">IF(ISBLANK(OFFSET(解答設定!$B$20,CF1,3)),"",OFFSET(解答設定!$B$20,CF1,0))</f>
        <v/>
      </c>
      <c r="CG12" s="277" t="str">
        <f ca="1">IF(ISBLANK(OFFSET(解答設定!$B$20,CG1,3)),"",OFFSET(解答設定!$B$20,CG1,0))</f>
        <v/>
      </c>
      <c r="CH12" s="277" t="str">
        <f ca="1">IF(ISBLANK(OFFSET(解答設定!$B$20,CH1,3)),"",OFFSET(解答設定!$B$20,CH1,0))</f>
        <v/>
      </c>
      <c r="CI12" s="277" t="str">
        <f ca="1">IF(ISBLANK(OFFSET(解答設定!$B$20,CI1,3)),"",OFFSET(解答設定!$B$20,CI1,0))</f>
        <v/>
      </c>
      <c r="CJ12" s="277" t="str">
        <f ca="1">IF(ISBLANK(OFFSET(解答設定!$B$20,CJ1,3)),"",OFFSET(解答設定!$B$20,CJ1,0))</f>
        <v/>
      </c>
      <c r="CK12" s="277" t="str">
        <f ca="1">IF(ISBLANK(OFFSET(解答設定!$B$20,CK1,3)),"",OFFSET(解答設定!$B$20,CK1,0))</f>
        <v/>
      </c>
      <c r="CL12" s="277" t="str">
        <f ca="1">IF(ISBLANK(OFFSET(解答設定!$B$20,CL1,3)),"",OFFSET(解答設定!$B$20,CL1,0))</f>
        <v/>
      </c>
      <c r="CM12" s="277" t="str">
        <f ca="1">IF(ISBLANK(OFFSET(解答設定!$B$20,CM1,3)),"",OFFSET(解答設定!$B$20,CM1,0))</f>
        <v/>
      </c>
      <c r="CN12" s="277" t="str">
        <f ca="1">IF(ISBLANK(OFFSET(解答設定!$B$20,CN1,3)),"",OFFSET(解答設定!$B$20,CN1,0))</f>
        <v/>
      </c>
      <c r="CO12" s="277" t="str">
        <f ca="1">IF(ISBLANK(OFFSET(解答設定!$B$20,CO1,3)),"",OFFSET(解答設定!$B$20,CO1,0))</f>
        <v/>
      </c>
      <c r="CP12" s="277" t="str">
        <f ca="1">IF(ISBLANK(OFFSET(解答設定!$B$20,CP1,3)),"",OFFSET(解答設定!$B$20,CP1,0))</f>
        <v/>
      </c>
      <c r="CQ12" s="277" t="str">
        <f ca="1">IF(ISBLANK(OFFSET(解答設定!$B$20,CQ1,3)),"",OFFSET(解答設定!$B$20,CQ1,0))</f>
        <v/>
      </c>
      <c r="CR12" s="277" t="str">
        <f ca="1">IF(ISBLANK(OFFSET(解答設定!$B$20,CR1,3)),"",OFFSET(解答設定!$B$20,CR1,0))</f>
        <v/>
      </c>
      <c r="CS12" s="277" t="str">
        <f ca="1">IF(ISBLANK(OFFSET(解答設定!$B$20,CS1,3)),"",OFFSET(解答設定!$B$20,CS1,0))</f>
        <v/>
      </c>
      <c r="CT12" s="277" t="str">
        <f ca="1">IF(ISBLANK(OFFSET(解答設定!$B$20,CT1,3)),"",OFFSET(解答設定!$B$20,CT1,0))</f>
        <v/>
      </c>
      <c r="CU12" s="277" t="str">
        <f ca="1">IF(ISBLANK(OFFSET(解答設定!$B$20,CU1,3)),"",OFFSET(解答設定!$B$20,CU1,0))</f>
        <v/>
      </c>
      <c r="CV12" s="277" t="str">
        <f ca="1">IF(ISBLANK(OFFSET(解答設定!$B$20,CV1,3)),"",OFFSET(解答設定!$B$20,CV1,0))</f>
        <v/>
      </c>
      <c r="CW12" s="277" t="str">
        <f ca="1">IF(ISBLANK(OFFSET(解答設定!$B$20,CW1,3)),"",OFFSET(解答設定!$B$20,CW1,0))</f>
        <v/>
      </c>
      <c r="CX12" s="277" t="str">
        <f ca="1">IF(ISBLANK(OFFSET(解答設定!$B$20,CX1,3)),"",OFFSET(解答設定!$B$20,CX1,0))</f>
        <v/>
      </c>
      <c r="CY12" s="277" t="str">
        <f ca="1">IF(ISBLANK(OFFSET(解答設定!$B$20,CY1,3)),"",OFFSET(解答設定!$B$20,CY1,0))</f>
        <v/>
      </c>
      <c r="CZ12" s="277" t="str">
        <f ca="1">IF(ISBLANK(OFFSET(解答設定!$B$20,CZ1,3)),"",OFFSET(解答設定!$B$20,CZ1,0))</f>
        <v/>
      </c>
      <c r="DA12" s="277" t="str">
        <f ca="1">IF(ISBLANK(OFFSET(解答設定!$B$20,DA1,3)),"",OFFSET(解答設定!$B$20,DA1,0))</f>
        <v/>
      </c>
      <c r="DB12" s="293"/>
      <c r="DC12" s="294"/>
      <c r="DD12" s="294"/>
      <c r="DE12" s="294"/>
      <c r="DF12" s="294"/>
      <c r="DG12" s="294"/>
      <c r="DH12" s="295"/>
      <c r="DI12" s="295"/>
      <c r="DJ12" s="295"/>
      <c r="DK12" s="295"/>
      <c r="DL12" s="295"/>
      <c r="DM12" s="295"/>
      <c r="DN12" s="282"/>
      <c r="DO12" s="285"/>
      <c r="DP12" s="276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1"/>
      <c r="D13" s="263"/>
      <c r="E13" s="265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  <c r="CK13" s="277"/>
      <c r="CL13" s="277"/>
      <c r="CM13" s="277"/>
      <c r="CN13" s="277"/>
      <c r="CO13" s="277"/>
      <c r="CP13" s="277"/>
      <c r="CQ13" s="277"/>
      <c r="CR13" s="277"/>
      <c r="CS13" s="277"/>
      <c r="CT13" s="277"/>
      <c r="CU13" s="277"/>
      <c r="CV13" s="277"/>
      <c r="CW13" s="277"/>
      <c r="CX13" s="277"/>
      <c r="CY13" s="277"/>
      <c r="CZ13" s="277"/>
      <c r="DA13" s="277"/>
      <c r="DB13" s="293"/>
      <c r="DC13" s="292"/>
      <c r="DD13" s="292"/>
      <c r="DE13" s="292"/>
      <c r="DF13" s="292"/>
      <c r="DG13" s="292"/>
      <c r="DH13" s="296"/>
      <c r="DI13" s="296"/>
      <c r="DJ13" s="296"/>
      <c r="DK13" s="296"/>
      <c r="DL13" s="296"/>
      <c r="DM13" s="296"/>
      <c r="DN13" s="282"/>
      <c r="DO13" s="285"/>
      <c r="DP13" s="276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19" priority="7" operator="equal">
      <formula>"x"</formula>
    </cfRule>
    <cfRule type="containsBlanks" dxfId="18" priority="11">
      <formula>LEN(TRIM(F14))=0</formula>
    </cfRule>
  </conditionalFormatting>
  <conditionalFormatting sqref="DP14:DP509">
    <cfRule type="notContainsBlanks" dxfId="17" priority="6">
      <formula>LEN(TRIM(DP14))&gt;0</formula>
    </cfRule>
  </conditionalFormatting>
  <conditionalFormatting sqref="DB3:DG3">
    <cfRule type="containsText" dxfId="16" priority="5" operator="containsText" text="不足">
      <formula>NOT(ISERROR(SEARCH("不足",DB3)))</formula>
    </cfRule>
  </conditionalFormatting>
  <conditionalFormatting sqref="DB14:DM509">
    <cfRule type="cellIs" dxfId="15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4" priority="3">
      <formula>DH$4=""</formula>
    </cfRule>
  </conditionalFormatting>
  <conditionalFormatting sqref="DB4:DM4">
    <cfRule type="containsBlanks" dxfId="13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48" sqref="C48:D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13" t="s">
        <v>36</v>
      </c>
      <c r="D3" s="313"/>
      <c r="E3" s="313"/>
      <c r="F3" s="313">
        <f>IF(ISBLANK(初期設定!G6),"",初期設定!G6)</f>
        <v>1</v>
      </c>
      <c r="G3" s="313"/>
      <c r="H3" s="313">
        <f>IF(ISBLANK(初期設定!K6),"",初期設定!K6)</f>
        <v>2</v>
      </c>
      <c r="I3" s="313"/>
      <c r="J3" s="313">
        <f>IF(ISBLANK(初期設定!O6),"",初期設定!O6)</f>
        <v>3</v>
      </c>
      <c r="K3" s="313"/>
      <c r="L3" s="313">
        <f>IF(ISBLANK(初期設定!S6),"",初期設定!S6)</f>
        <v>4</v>
      </c>
      <c r="M3" s="313"/>
      <c r="N3" s="313">
        <f>IF(ISBLANK(初期設定!W6),"",初期設定!W6)</f>
        <v>5</v>
      </c>
      <c r="O3" s="313"/>
      <c r="P3" s="313">
        <f>IF(ISBLANK(初期設定!AA6),"",初期設定!AA6)</f>
        <v>6</v>
      </c>
      <c r="Q3" s="313"/>
      <c r="R3" s="313">
        <f>IF(ISBLANK(初期設定!AE6),"",初期設定!AE6)</f>
        <v>7</v>
      </c>
      <c r="S3" s="313"/>
      <c r="T3" s="313">
        <f>IF(ISBLANK(初期設定!AI6),"",初期設定!AI6)</f>
        <v>8</v>
      </c>
      <c r="U3" s="313"/>
      <c r="V3" s="313">
        <f>IF(ISBLANK(初期設定!AM6),"",初期設定!AM6)</f>
        <v>9</v>
      </c>
      <c r="W3" s="313"/>
      <c r="X3" s="313" t="str">
        <f>IF(ISBLANK(初期設定!AQ6),"",初期設定!AQ6)</f>
        <v/>
      </c>
      <c r="Y3" s="314"/>
      <c r="Z3" s="315" t="s">
        <v>56</v>
      </c>
      <c r="AA3" s="316"/>
    </row>
    <row r="4" spans="2:29"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4"/>
      <c r="Z4" s="317"/>
      <c r="AA4" s="318"/>
    </row>
    <row r="5" spans="2:29">
      <c r="C5" s="313" t="s">
        <v>53</v>
      </c>
      <c r="D5" s="313"/>
      <c r="E5" s="340" t="s">
        <v>32</v>
      </c>
      <c r="F5" s="323" t="str">
        <f>IFERROR(AVERAGEIFS(処理用データ!$E$3:$E$402,処理用データ!$B$3:$B$402,F3,処理用データ!$E$3:$E$402,"&lt;&gt;0"),"")</f>
        <v/>
      </c>
      <c r="G5" s="324"/>
      <c r="H5" s="323" t="str">
        <f>IFERROR(AVERAGEIFS(処理用データ!$E$3:$E$402,処理用データ!$B$3:$B$402,H3,処理用データ!$E$3:$E$402,"&lt;&gt;0"),"")</f>
        <v/>
      </c>
      <c r="I5" s="324"/>
      <c r="J5" s="323" t="str">
        <f>IFERROR(AVERAGEIFS(処理用データ!$E$3:$E$402,処理用データ!$B$3:$B$402,J3,処理用データ!$E$3:$E$402,"&lt;&gt;0"),"")</f>
        <v/>
      </c>
      <c r="K5" s="324"/>
      <c r="L5" s="323" t="str">
        <f>IFERROR(AVERAGEIFS(処理用データ!$E$3:$E$402,処理用データ!$B$3:$B$402,L3,処理用データ!$E$3:$E$402,"&lt;&gt;0"),"")</f>
        <v/>
      </c>
      <c r="M5" s="324"/>
      <c r="N5" s="323" t="str">
        <f>IFERROR(AVERAGEIFS(処理用データ!$E$3:$E$402,処理用データ!$B$3:$B$402,N3,処理用データ!$E$3:$E$402,"&lt;&gt;0"),"")</f>
        <v/>
      </c>
      <c r="O5" s="324"/>
      <c r="P5" s="323" t="str">
        <f>IFERROR(AVERAGEIFS(処理用データ!$E$3:$E$402,処理用データ!$B$3:$B$402,P3,処理用データ!$E$3:$E$402,"&lt;&gt;0"),"")</f>
        <v/>
      </c>
      <c r="Q5" s="324"/>
      <c r="R5" s="323" t="str">
        <f>IFERROR(AVERAGEIFS(処理用データ!$E$3:$E$402,処理用データ!$B$3:$B$402,R3,処理用データ!$E$3:$E$402,"&lt;&gt;0"),"")</f>
        <v/>
      </c>
      <c r="S5" s="324"/>
      <c r="T5" s="323" t="str">
        <f>IFERROR(AVERAGEIFS(処理用データ!$E$3:$E$402,処理用データ!$B$3:$B$402,T3,処理用データ!$E$3:$E$402,"&lt;&gt;0"),"")</f>
        <v/>
      </c>
      <c r="U5" s="324"/>
      <c r="V5" s="323" t="str">
        <f>IFERROR(AVERAGEIFS(処理用データ!$E$3:$E$402,処理用データ!$B$3:$B$402,V3,処理用データ!$E$3:$E$402,"&lt;&gt;0"),"")</f>
        <v/>
      </c>
      <c r="W5" s="324"/>
      <c r="X5" s="323" t="str">
        <f>IFERROR(AVERAGEIFS(処理用データ!$E$3:$E$402,処理用データ!$B$3:$B$402,X3,処理用データ!$E$3:$E$402,"&lt;&gt;0"),"")</f>
        <v/>
      </c>
      <c r="Y5" s="334"/>
      <c r="Z5" s="336" t="str">
        <f>IFERROR(AVERAGEIF(処理用データ!$E$3:$E$430,"&lt;&gt;0",処理用データ!$E$3:$E$430),"")</f>
        <v/>
      </c>
      <c r="AA5" s="337"/>
    </row>
    <row r="6" spans="2:29">
      <c r="C6" s="313"/>
      <c r="D6" s="313"/>
      <c r="E6" s="340"/>
      <c r="F6" s="325"/>
      <c r="G6" s="326"/>
      <c r="H6" s="325"/>
      <c r="I6" s="326"/>
      <c r="J6" s="325"/>
      <c r="K6" s="326"/>
      <c r="L6" s="325"/>
      <c r="M6" s="326"/>
      <c r="N6" s="325"/>
      <c r="O6" s="326"/>
      <c r="P6" s="325"/>
      <c r="Q6" s="326"/>
      <c r="R6" s="325"/>
      <c r="S6" s="326"/>
      <c r="T6" s="325"/>
      <c r="U6" s="326"/>
      <c r="V6" s="325"/>
      <c r="W6" s="326"/>
      <c r="X6" s="325"/>
      <c r="Y6" s="335"/>
      <c r="Z6" s="338"/>
      <c r="AA6" s="339"/>
    </row>
    <row r="7" spans="2:29">
      <c r="C7" s="313"/>
      <c r="D7" s="313"/>
      <c r="E7" s="340" t="s">
        <v>54</v>
      </c>
      <c r="F7" s="319" t="str">
        <f>IFERROR(AVERAGEIFS(処理用データ!$F$3:$F$402,処理用データ!$B$3:$B$402,F3,処理用データ!$F$3:$F$402,"&lt;&gt;0"),"")</f>
        <v/>
      </c>
      <c r="G7" s="320"/>
      <c r="H7" s="319" t="str">
        <f>IFERROR(AVERAGEIFS(処理用データ!$F$3:$F$402,処理用データ!$B$3:$B$402,H3,処理用データ!$F$3:$F$402,"&lt;&gt;0"),"")</f>
        <v/>
      </c>
      <c r="I7" s="320"/>
      <c r="J7" s="319" t="str">
        <f>IFERROR(AVERAGEIFS(処理用データ!$F$3:$F$402,処理用データ!$B$3:$B$402,J3,処理用データ!$F$3:$F$402,"&lt;&gt;0"),"")</f>
        <v/>
      </c>
      <c r="K7" s="320"/>
      <c r="L7" s="319" t="str">
        <f>IFERROR(AVERAGEIFS(処理用データ!$F$3:$F$402,処理用データ!$B$3:$B$402,L3,処理用データ!$F$3:$F$402,"&lt;&gt;0"),"")</f>
        <v/>
      </c>
      <c r="M7" s="320"/>
      <c r="N7" s="319" t="str">
        <f>IFERROR(AVERAGEIFS(処理用データ!$F$3:$F$402,処理用データ!$B$3:$B$402,N3,処理用データ!$F$3:$F$402,"&lt;&gt;0"),"")</f>
        <v/>
      </c>
      <c r="O7" s="320"/>
      <c r="P7" s="319" t="str">
        <f>IFERROR(AVERAGEIFS(処理用データ!$F$3:$F$402,処理用データ!$B$3:$B$402,P3,処理用データ!$F$3:$F$402,"&lt;&gt;0"),"")</f>
        <v/>
      </c>
      <c r="Q7" s="320"/>
      <c r="R7" s="319" t="str">
        <f>IFERROR(AVERAGEIFS(処理用データ!$F$3:$F$402,処理用データ!$B$3:$B$402,R3,処理用データ!$F$3:$F$402,"&lt;&gt;0"),"")</f>
        <v/>
      </c>
      <c r="S7" s="320"/>
      <c r="T7" s="319" t="str">
        <f>IFERROR(AVERAGEIFS(処理用データ!$F$3:$F$402,処理用データ!$B$3:$B$402,T3,処理用データ!$F$3:$F$402,"&lt;&gt;0"),"")</f>
        <v/>
      </c>
      <c r="U7" s="320"/>
      <c r="V7" s="319" t="str">
        <f>IFERROR(AVERAGEIFS(処理用データ!$F$3:$F$402,処理用データ!$B$3:$B$402,V3,処理用データ!$F$3:$F$402,"&lt;&gt;0"),"")</f>
        <v/>
      </c>
      <c r="W7" s="320"/>
      <c r="X7" s="319" t="str">
        <f>IFERROR(AVERAGEIFS(処理用データ!$F$3:$F$402,処理用データ!$B$3:$B$402,X3,処理用データ!$F$3:$F$402,"&lt;&gt;0"),"")</f>
        <v/>
      </c>
      <c r="Y7" s="327"/>
      <c r="Z7" s="329" t="str">
        <f>IFERROR(AVERAGEIF(処理用データ!$F$3:$F$430,"&lt;&gt;0",処理用データ!$F$3:$F$430),"")</f>
        <v/>
      </c>
      <c r="AA7" s="330"/>
    </row>
    <row r="8" spans="2:29" ht="15" thickBot="1">
      <c r="C8" s="313"/>
      <c r="D8" s="313"/>
      <c r="E8" s="340"/>
      <c r="F8" s="321"/>
      <c r="G8" s="322"/>
      <c r="H8" s="321"/>
      <c r="I8" s="322"/>
      <c r="J8" s="321"/>
      <c r="K8" s="322"/>
      <c r="L8" s="321"/>
      <c r="M8" s="322"/>
      <c r="N8" s="321"/>
      <c r="O8" s="322"/>
      <c r="P8" s="321"/>
      <c r="Q8" s="322"/>
      <c r="R8" s="321"/>
      <c r="S8" s="322"/>
      <c r="T8" s="321"/>
      <c r="U8" s="322"/>
      <c r="V8" s="321"/>
      <c r="W8" s="322"/>
      <c r="X8" s="321"/>
      <c r="Y8" s="328"/>
      <c r="Z8" s="331"/>
      <c r="AA8" s="332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5" t="s">
        <v>21</v>
      </c>
      <c r="D11" s="333"/>
      <c r="E11" s="333" t="s">
        <v>55</v>
      </c>
      <c r="F11" s="333"/>
      <c r="G11" s="316"/>
      <c r="H11" s="29"/>
      <c r="I11" s="29"/>
      <c r="J11" s="315" t="s">
        <v>21</v>
      </c>
      <c r="K11" s="333"/>
      <c r="L11" s="333" t="s">
        <v>55</v>
      </c>
      <c r="M11" s="333"/>
      <c r="N11" s="316"/>
      <c r="O11" s="29"/>
      <c r="P11" s="29"/>
      <c r="Q11" s="315" t="s">
        <v>21</v>
      </c>
      <c r="R11" s="333"/>
      <c r="S11" s="333" t="s">
        <v>55</v>
      </c>
      <c r="T11" s="333"/>
      <c r="U11" s="316"/>
      <c r="V11" s="29"/>
      <c r="W11" s="29"/>
      <c r="X11" s="315" t="s">
        <v>21</v>
      </c>
      <c r="Y11" s="333"/>
      <c r="Z11" s="333" t="s">
        <v>55</v>
      </c>
      <c r="AA11" s="333"/>
      <c r="AB11" s="316"/>
    </row>
    <row r="12" spans="2:29">
      <c r="C12" s="317"/>
      <c r="D12" s="313"/>
      <c r="E12" s="313"/>
      <c r="F12" s="313"/>
      <c r="G12" s="318"/>
      <c r="H12" s="29"/>
      <c r="I12" s="29"/>
      <c r="J12" s="317"/>
      <c r="K12" s="313"/>
      <c r="L12" s="313"/>
      <c r="M12" s="313"/>
      <c r="N12" s="318"/>
      <c r="O12" s="29"/>
      <c r="P12" s="29"/>
      <c r="Q12" s="317"/>
      <c r="R12" s="313"/>
      <c r="S12" s="313"/>
      <c r="T12" s="313"/>
      <c r="U12" s="318"/>
      <c r="V12" s="29"/>
      <c r="W12" s="29"/>
      <c r="X12" s="317"/>
      <c r="Y12" s="313"/>
      <c r="Z12" s="313"/>
      <c r="AA12" s="313"/>
      <c r="AB12" s="318"/>
    </row>
    <row r="13" spans="2:29">
      <c r="B13" s="33">
        <v>0</v>
      </c>
      <c r="C13" s="341" t="str">
        <f>IF(ISBLANK(解答設定!B20),"",解答設定!B20)</f>
        <v/>
      </c>
      <c r="D13" s="279"/>
      <c r="E13" s="310" t="str">
        <f ca="1">OFFSET(採点!F510,-平均!B13,平均!B13)</f>
        <v/>
      </c>
      <c r="F13" s="311"/>
      <c r="G13" s="312"/>
      <c r="H13" s="29"/>
      <c r="I13" s="33">
        <v>30</v>
      </c>
      <c r="J13" s="341" t="str">
        <f>IF(ISBLANK(解答設定!B50),"",解答設定!B50)</f>
        <v/>
      </c>
      <c r="K13" s="279"/>
      <c r="L13" s="301" t="str">
        <f ca="1">OFFSET(採点!F540,-I13,I13)</f>
        <v/>
      </c>
      <c r="M13" s="302"/>
      <c r="N13" s="303"/>
      <c r="O13" s="29"/>
      <c r="P13" s="33">
        <v>60</v>
      </c>
      <c r="Q13" s="341" t="str">
        <f>IF(ISBLANK(解答設定!B80),"",解答設定!B80)</f>
        <v/>
      </c>
      <c r="R13" s="279"/>
      <c r="S13" s="301" t="str">
        <f ca="1">OFFSET(採点!F570,-P13,P13)</f>
        <v/>
      </c>
      <c r="T13" s="302"/>
      <c r="U13" s="303"/>
      <c r="V13" s="29"/>
      <c r="W13" s="33">
        <v>90</v>
      </c>
      <c r="X13" s="341" t="str">
        <f>IF(ISBLANK(解答設定!B110),"",解答設定!B110)</f>
        <v/>
      </c>
      <c r="Y13" s="279"/>
      <c r="Z13" s="301" t="str">
        <f ca="1">OFFSET(採点!F600,-W13,W13)</f>
        <v/>
      </c>
      <c r="AA13" s="302"/>
      <c r="AB13" s="303"/>
      <c r="AC13" s="29"/>
    </row>
    <row r="14" spans="2:29">
      <c r="B14" s="33">
        <v>1</v>
      </c>
      <c r="C14" s="341" t="str">
        <f>IF(ISBLANK(解答設定!B21),"",解答設定!B21)</f>
        <v/>
      </c>
      <c r="D14" s="279"/>
      <c r="E14" s="310" t="str">
        <f ca="1">OFFSET(採点!F511,-平均!B14,平均!B14)</f>
        <v/>
      </c>
      <c r="F14" s="311"/>
      <c r="G14" s="312"/>
      <c r="H14" s="29"/>
      <c r="I14" s="33">
        <v>31</v>
      </c>
      <c r="J14" s="304" t="str">
        <f>IF(ISBLANK(解答設定!B51),"",解答設定!B51)</f>
        <v/>
      </c>
      <c r="K14" s="305"/>
      <c r="L14" s="301" t="str">
        <f ca="1">OFFSET(採点!F541,-I14,I14)</f>
        <v/>
      </c>
      <c r="M14" s="302"/>
      <c r="N14" s="303"/>
      <c r="O14" s="29"/>
      <c r="P14" s="33">
        <v>61</v>
      </c>
      <c r="Q14" s="304" t="str">
        <f>IF(ISBLANK(解答設定!B81),"",解答設定!B81)</f>
        <v/>
      </c>
      <c r="R14" s="305"/>
      <c r="S14" s="301" t="str">
        <f ca="1">OFFSET(採点!F571,-P14,P14)</f>
        <v/>
      </c>
      <c r="T14" s="302"/>
      <c r="U14" s="303"/>
      <c r="V14" s="29"/>
      <c r="W14" s="33">
        <v>91</v>
      </c>
      <c r="X14" s="304" t="str">
        <f>IF(ISBLANK(解答設定!B111),"",解答設定!B111)</f>
        <v/>
      </c>
      <c r="Y14" s="305"/>
      <c r="Z14" s="301" t="str">
        <f ca="1">OFFSET(採点!F601,-W14,W14)</f>
        <v/>
      </c>
      <c r="AA14" s="302"/>
      <c r="AB14" s="303"/>
      <c r="AC14" s="29"/>
    </row>
    <row r="15" spans="2:29">
      <c r="B15" s="33">
        <v>2</v>
      </c>
      <c r="C15" s="341" t="str">
        <f>IF(ISBLANK(解答設定!B22),"",解答設定!B22)</f>
        <v/>
      </c>
      <c r="D15" s="279"/>
      <c r="E15" s="310" t="str">
        <f ca="1">OFFSET(採点!F512,-平均!B15,平均!B15)</f>
        <v/>
      </c>
      <c r="F15" s="311"/>
      <c r="G15" s="312"/>
      <c r="H15" s="29"/>
      <c r="I15" s="33">
        <v>32</v>
      </c>
      <c r="J15" s="304" t="str">
        <f>IF(ISBLANK(解答設定!B52),"",解答設定!B52)</f>
        <v/>
      </c>
      <c r="K15" s="305"/>
      <c r="L15" s="301" t="str">
        <f ca="1">OFFSET(採点!F542,-I15,I15)</f>
        <v/>
      </c>
      <c r="M15" s="302"/>
      <c r="N15" s="303"/>
      <c r="O15" s="29"/>
      <c r="P15" s="33">
        <v>62</v>
      </c>
      <c r="Q15" s="304" t="str">
        <f>IF(ISBLANK(解答設定!B82),"",解答設定!B82)</f>
        <v/>
      </c>
      <c r="R15" s="305"/>
      <c r="S15" s="301" t="str">
        <f ca="1">OFFSET(採点!F572,-P15,P15)</f>
        <v/>
      </c>
      <c r="T15" s="302"/>
      <c r="U15" s="303"/>
      <c r="V15" s="29"/>
      <c r="W15" s="33">
        <v>92</v>
      </c>
      <c r="X15" s="304" t="str">
        <f>IF(ISBLANK(解答設定!B112),"",解答設定!B112)</f>
        <v/>
      </c>
      <c r="Y15" s="305"/>
      <c r="Z15" s="301" t="str">
        <f ca="1">OFFSET(採点!F602,-W15,W15)</f>
        <v/>
      </c>
      <c r="AA15" s="302"/>
      <c r="AB15" s="303"/>
      <c r="AC15" s="29"/>
    </row>
    <row r="16" spans="2:29">
      <c r="B16" s="33">
        <v>3</v>
      </c>
      <c r="C16" s="341" t="str">
        <f>IF(ISBLANK(解答設定!B23),"",解答設定!B23)</f>
        <v/>
      </c>
      <c r="D16" s="279"/>
      <c r="E16" s="310" t="str">
        <f ca="1">OFFSET(採点!F513,-平均!B16,平均!B16)</f>
        <v/>
      </c>
      <c r="F16" s="311"/>
      <c r="G16" s="312"/>
      <c r="H16" s="29"/>
      <c r="I16" s="33">
        <v>33</v>
      </c>
      <c r="J16" s="304" t="str">
        <f>IF(ISBLANK(解答設定!B53),"",解答設定!B53)</f>
        <v/>
      </c>
      <c r="K16" s="305"/>
      <c r="L16" s="301" t="str">
        <f ca="1">OFFSET(採点!F543,-I16,I16)</f>
        <v/>
      </c>
      <c r="M16" s="302"/>
      <c r="N16" s="303"/>
      <c r="O16" s="29"/>
      <c r="P16" s="33">
        <v>63</v>
      </c>
      <c r="Q16" s="304" t="str">
        <f>IF(ISBLANK(解答設定!B83),"",解答設定!B83)</f>
        <v/>
      </c>
      <c r="R16" s="305"/>
      <c r="S16" s="301" t="str">
        <f ca="1">OFFSET(採点!F573,-P16,P16)</f>
        <v/>
      </c>
      <c r="T16" s="302"/>
      <c r="U16" s="303"/>
      <c r="V16" s="29"/>
      <c r="W16" s="33">
        <v>93</v>
      </c>
      <c r="X16" s="304" t="str">
        <f>IF(ISBLANK(解答設定!B113),"",解答設定!B113)</f>
        <v/>
      </c>
      <c r="Y16" s="305"/>
      <c r="Z16" s="301" t="str">
        <f ca="1">OFFSET(採点!F603,-W16,W16)</f>
        <v/>
      </c>
      <c r="AA16" s="302"/>
      <c r="AB16" s="303"/>
      <c r="AC16" s="29"/>
    </row>
    <row r="17" spans="2:29">
      <c r="B17" s="33">
        <v>4</v>
      </c>
      <c r="C17" s="341" t="str">
        <f>IF(ISBLANK(解答設定!B24),"",解答設定!B24)</f>
        <v/>
      </c>
      <c r="D17" s="279"/>
      <c r="E17" s="310" t="str">
        <f ca="1">OFFSET(採点!F514,-平均!B17,平均!B17)</f>
        <v/>
      </c>
      <c r="F17" s="311"/>
      <c r="G17" s="312"/>
      <c r="H17" s="29"/>
      <c r="I17" s="33">
        <v>34</v>
      </c>
      <c r="J17" s="304" t="str">
        <f>IF(ISBLANK(解答設定!B54),"",解答設定!B54)</f>
        <v/>
      </c>
      <c r="K17" s="305"/>
      <c r="L17" s="301" t="str">
        <f ca="1">OFFSET(採点!F544,-I17,I17)</f>
        <v/>
      </c>
      <c r="M17" s="302"/>
      <c r="N17" s="303"/>
      <c r="O17" s="29"/>
      <c r="P17" s="33">
        <v>64</v>
      </c>
      <c r="Q17" s="304" t="str">
        <f>IF(ISBLANK(解答設定!B84),"",解答設定!B84)</f>
        <v/>
      </c>
      <c r="R17" s="305"/>
      <c r="S17" s="301" t="str">
        <f ca="1">OFFSET(採点!F574,-P17,P17)</f>
        <v/>
      </c>
      <c r="T17" s="302"/>
      <c r="U17" s="303"/>
      <c r="V17" s="29"/>
      <c r="W17" s="33">
        <v>94</v>
      </c>
      <c r="X17" s="304" t="str">
        <f>IF(ISBLANK(解答設定!B114),"",解答設定!B114)</f>
        <v/>
      </c>
      <c r="Y17" s="305"/>
      <c r="Z17" s="301" t="str">
        <f ca="1">OFFSET(採点!F604,-W17,W17)</f>
        <v/>
      </c>
      <c r="AA17" s="302"/>
      <c r="AB17" s="303"/>
      <c r="AC17" s="29"/>
    </row>
    <row r="18" spans="2:29">
      <c r="B18" s="33">
        <v>5</v>
      </c>
      <c r="C18" s="341" t="str">
        <f>IF(ISBLANK(解答設定!B25),"",解答設定!B25)</f>
        <v/>
      </c>
      <c r="D18" s="279"/>
      <c r="E18" s="310" t="str">
        <f ca="1">OFFSET(採点!F515,-平均!B18,平均!B18)</f>
        <v/>
      </c>
      <c r="F18" s="311"/>
      <c r="G18" s="312"/>
      <c r="H18" s="29"/>
      <c r="I18" s="33">
        <v>35</v>
      </c>
      <c r="J18" s="304" t="str">
        <f>IF(ISBLANK(解答設定!B55),"",解答設定!B55)</f>
        <v/>
      </c>
      <c r="K18" s="305"/>
      <c r="L18" s="301" t="str">
        <f ca="1">OFFSET(採点!F545,-I18,I18)</f>
        <v/>
      </c>
      <c r="M18" s="302"/>
      <c r="N18" s="303"/>
      <c r="O18" s="29"/>
      <c r="P18" s="33">
        <v>65</v>
      </c>
      <c r="Q18" s="304" t="str">
        <f>IF(ISBLANK(解答設定!B85),"",解答設定!B85)</f>
        <v/>
      </c>
      <c r="R18" s="305"/>
      <c r="S18" s="301" t="str">
        <f ca="1">OFFSET(採点!F575,-P18,P18)</f>
        <v/>
      </c>
      <c r="T18" s="302"/>
      <c r="U18" s="303"/>
      <c r="V18" s="29"/>
      <c r="W18" s="33">
        <v>95</v>
      </c>
      <c r="X18" s="304" t="str">
        <f>IF(ISBLANK(解答設定!B115),"",解答設定!B115)</f>
        <v/>
      </c>
      <c r="Y18" s="305"/>
      <c r="Z18" s="301" t="str">
        <f ca="1">OFFSET(採点!F605,-W18,W18)</f>
        <v/>
      </c>
      <c r="AA18" s="302"/>
      <c r="AB18" s="303"/>
      <c r="AC18" s="29"/>
    </row>
    <row r="19" spans="2:29">
      <c r="B19" s="33">
        <v>6</v>
      </c>
      <c r="C19" s="341" t="str">
        <f>IF(ISBLANK(解答設定!B26),"",解答設定!B26)</f>
        <v/>
      </c>
      <c r="D19" s="279"/>
      <c r="E19" s="310" t="str">
        <f ca="1">OFFSET(採点!F516,-平均!B19,平均!B19)</f>
        <v/>
      </c>
      <c r="F19" s="311"/>
      <c r="G19" s="312"/>
      <c r="H19" s="29"/>
      <c r="I19" s="33">
        <v>36</v>
      </c>
      <c r="J19" s="304" t="str">
        <f>IF(ISBLANK(解答設定!B56),"",解答設定!B56)</f>
        <v/>
      </c>
      <c r="K19" s="305"/>
      <c r="L19" s="301" t="str">
        <f ca="1">OFFSET(採点!F546,-I19,I19)</f>
        <v/>
      </c>
      <c r="M19" s="302"/>
      <c r="N19" s="303"/>
      <c r="O19" s="29"/>
      <c r="P19" s="33">
        <v>66</v>
      </c>
      <c r="Q19" s="304" t="str">
        <f>IF(ISBLANK(解答設定!B86),"",解答設定!B86)</f>
        <v/>
      </c>
      <c r="R19" s="305"/>
      <c r="S19" s="301" t="str">
        <f ca="1">OFFSET(採点!F576,-P19,P19)</f>
        <v/>
      </c>
      <c r="T19" s="302"/>
      <c r="U19" s="303"/>
      <c r="V19" s="29"/>
      <c r="W19" s="33">
        <v>96</v>
      </c>
      <c r="X19" s="304" t="str">
        <f>IF(ISBLANK(解答設定!B116),"",解答設定!B116)</f>
        <v/>
      </c>
      <c r="Y19" s="305"/>
      <c r="Z19" s="301" t="str">
        <f ca="1">OFFSET(採点!F606,-W19,W19)</f>
        <v/>
      </c>
      <c r="AA19" s="302"/>
      <c r="AB19" s="303"/>
      <c r="AC19" s="29"/>
    </row>
    <row r="20" spans="2:29">
      <c r="B20" s="33">
        <v>7</v>
      </c>
      <c r="C20" s="341" t="str">
        <f>IF(ISBLANK(解答設定!B27),"",解答設定!B27)</f>
        <v/>
      </c>
      <c r="D20" s="279"/>
      <c r="E20" s="310" t="str">
        <f ca="1">OFFSET(採点!F517,-平均!B20,平均!B20)</f>
        <v/>
      </c>
      <c r="F20" s="311"/>
      <c r="G20" s="312"/>
      <c r="H20" s="29"/>
      <c r="I20" s="33">
        <v>37</v>
      </c>
      <c r="J20" s="304" t="str">
        <f>IF(ISBLANK(解答設定!B57),"",解答設定!B57)</f>
        <v/>
      </c>
      <c r="K20" s="305"/>
      <c r="L20" s="301" t="str">
        <f ca="1">OFFSET(採点!F547,-I20,I20)</f>
        <v/>
      </c>
      <c r="M20" s="302"/>
      <c r="N20" s="303"/>
      <c r="O20" s="29"/>
      <c r="P20" s="33">
        <v>67</v>
      </c>
      <c r="Q20" s="304" t="str">
        <f>IF(ISBLANK(解答設定!B87),"",解答設定!B87)</f>
        <v/>
      </c>
      <c r="R20" s="305"/>
      <c r="S20" s="301" t="str">
        <f ca="1">OFFSET(採点!F577,-P20,P20)</f>
        <v/>
      </c>
      <c r="T20" s="302"/>
      <c r="U20" s="303"/>
      <c r="V20" s="29"/>
      <c r="W20" s="33">
        <v>97</v>
      </c>
      <c r="X20" s="304" t="str">
        <f>IF(ISBLANK(解答設定!B117),"",解答設定!B117)</f>
        <v/>
      </c>
      <c r="Y20" s="305"/>
      <c r="Z20" s="301" t="str">
        <f ca="1">OFFSET(採点!F607,-W20,W20)</f>
        <v/>
      </c>
      <c r="AA20" s="302"/>
      <c r="AB20" s="303"/>
      <c r="AC20" s="29"/>
    </row>
    <row r="21" spans="2:29">
      <c r="B21" s="33">
        <v>8</v>
      </c>
      <c r="C21" s="341" t="str">
        <f>IF(ISBLANK(解答設定!B28),"",解答設定!B28)</f>
        <v/>
      </c>
      <c r="D21" s="279"/>
      <c r="E21" s="310" t="str">
        <f ca="1">OFFSET(採点!F518,-平均!B21,平均!B21)</f>
        <v/>
      </c>
      <c r="F21" s="311"/>
      <c r="G21" s="312"/>
      <c r="H21" s="29"/>
      <c r="I21" s="33">
        <v>38</v>
      </c>
      <c r="J21" s="304" t="str">
        <f>IF(ISBLANK(解答設定!B58),"",解答設定!B58)</f>
        <v/>
      </c>
      <c r="K21" s="305"/>
      <c r="L21" s="301" t="str">
        <f ca="1">OFFSET(採点!F548,-I21,I21)</f>
        <v/>
      </c>
      <c r="M21" s="302"/>
      <c r="N21" s="303"/>
      <c r="O21" s="29"/>
      <c r="P21" s="33">
        <v>68</v>
      </c>
      <c r="Q21" s="304" t="str">
        <f>IF(ISBLANK(解答設定!B88),"",解答設定!B88)</f>
        <v/>
      </c>
      <c r="R21" s="305"/>
      <c r="S21" s="301" t="str">
        <f ca="1">OFFSET(採点!F578,-P21,P21)</f>
        <v/>
      </c>
      <c r="T21" s="302"/>
      <c r="U21" s="303"/>
      <c r="V21" s="29"/>
      <c r="W21" s="33">
        <v>98</v>
      </c>
      <c r="X21" s="304" t="str">
        <f>IF(ISBLANK(解答設定!B118),"",解答設定!B118)</f>
        <v/>
      </c>
      <c r="Y21" s="305"/>
      <c r="Z21" s="301" t="str">
        <f ca="1">OFFSET(採点!F608,-W21,W21)</f>
        <v/>
      </c>
      <c r="AA21" s="302"/>
      <c r="AB21" s="303"/>
      <c r="AC21" s="29"/>
    </row>
    <row r="22" spans="2:29" ht="15" thickBot="1">
      <c r="B22" s="33">
        <v>9</v>
      </c>
      <c r="C22" s="341" t="str">
        <f>IF(ISBLANK(解答設定!B29),"",解答設定!B29)</f>
        <v/>
      </c>
      <c r="D22" s="279"/>
      <c r="E22" s="310" t="str">
        <f ca="1">OFFSET(採点!F519,-平均!B22,平均!B22)</f>
        <v/>
      </c>
      <c r="F22" s="311"/>
      <c r="G22" s="312"/>
      <c r="H22" s="29"/>
      <c r="I22" s="33">
        <v>39</v>
      </c>
      <c r="J22" s="304" t="str">
        <f>IF(ISBLANK(解答設定!B59),"",解答設定!B59)</f>
        <v/>
      </c>
      <c r="K22" s="305"/>
      <c r="L22" s="301" t="str">
        <f ca="1">OFFSET(採点!F549,-I22,I22)</f>
        <v/>
      </c>
      <c r="M22" s="302"/>
      <c r="N22" s="303"/>
      <c r="O22" s="29"/>
      <c r="P22" s="33">
        <v>69</v>
      </c>
      <c r="Q22" s="304" t="str">
        <f>IF(ISBLANK(解答設定!B89),"",解答設定!B89)</f>
        <v/>
      </c>
      <c r="R22" s="305"/>
      <c r="S22" s="301" t="str">
        <f ca="1">OFFSET(採点!F579,-P22,P22)</f>
        <v/>
      </c>
      <c r="T22" s="302"/>
      <c r="U22" s="303"/>
      <c r="V22" s="29"/>
      <c r="W22" s="33">
        <v>99</v>
      </c>
      <c r="X22" s="306" t="str">
        <f>IF(ISBLANK(解答設定!B119),"",解答設定!B119)</f>
        <v/>
      </c>
      <c r="Y22" s="307"/>
      <c r="Z22" s="298" t="str">
        <f ca="1">OFFSET(採点!F609,-W22,W22)</f>
        <v/>
      </c>
      <c r="AA22" s="299"/>
      <c r="AB22" s="300"/>
      <c r="AC22" s="29"/>
    </row>
    <row r="23" spans="2:29">
      <c r="B23" s="33">
        <v>10</v>
      </c>
      <c r="C23" s="341" t="str">
        <f>IF(ISBLANK(解答設定!B30),"",解答設定!B30)</f>
        <v/>
      </c>
      <c r="D23" s="279"/>
      <c r="E23" s="310" t="str">
        <f ca="1">OFFSET(採点!F520,-平均!B23,平均!B23)</f>
        <v/>
      </c>
      <c r="F23" s="311"/>
      <c r="G23" s="312"/>
      <c r="H23" s="29"/>
      <c r="I23" s="33">
        <v>40</v>
      </c>
      <c r="J23" s="304" t="str">
        <f>IF(ISBLANK(解答設定!B60),"",解答設定!B60)</f>
        <v/>
      </c>
      <c r="K23" s="305"/>
      <c r="L23" s="301" t="str">
        <f ca="1">OFFSET(採点!F550,-I23,I23)</f>
        <v/>
      </c>
      <c r="M23" s="302"/>
      <c r="N23" s="303"/>
      <c r="O23" s="29"/>
      <c r="P23" s="33">
        <v>70</v>
      </c>
      <c r="Q23" s="304" t="str">
        <f>IF(ISBLANK(解答設定!B90),"",解答設定!B90)</f>
        <v/>
      </c>
      <c r="R23" s="305"/>
      <c r="S23" s="301" t="str">
        <f ca="1">OFFSET(採点!F580,-P23,P23)</f>
        <v/>
      </c>
      <c r="T23" s="302"/>
      <c r="U23" s="303"/>
      <c r="V23" s="29"/>
      <c r="W23" s="29"/>
      <c r="X23" s="308"/>
      <c r="Y23" s="308"/>
      <c r="Z23" s="308"/>
      <c r="AA23" s="308"/>
      <c r="AB23" s="30"/>
      <c r="AC23" s="29"/>
    </row>
    <row r="24" spans="2:29">
      <c r="B24" s="33">
        <v>11</v>
      </c>
      <c r="C24" s="341" t="str">
        <f>IF(ISBLANK(解答設定!B31),"",解答設定!B31)</f>
        <v/>
      </c>
      <c r="D24" s="279"/>
      <c r="E24" s="310" t="str">
        <f ca="1">OFFSET(採点!F521,-平均!B24,平均!B24)</f>
        <v/>
      </c>
      <c r="F24" s="311"/>
      <c r="G24" s="312"/>
      <c r="H24" s="29"/>
      <c r="I24" s="33">
        <v>41</v>
      </c>
      <c r="J24" s="304" t="str">
        <f>IF(ISBLANK(解答設定!B61),"",解答設定!B61)</f>
        <v/>
      </c>
      <c r="K24" s="305"/>
      <c r="L24" s="301" t="str">
        <f ca="1">OFFSET(採点!F551,-I24,I24)</f>
        <v/>
      </c>
      <c r="M24" s="302"/>
      <c r="N24" s="303"/>
      <c r="O24" s="29"/>
      <c r="P24" s="33">
        <v>71</v>
      </c>
      <c r="Q24" s="304" t="str">
        <f>IF(ISBLANK(解答設定!B91),"",解答設定!B91)</f>
        <v/>
      </c>
      <c r="R24" s="305"/>
      <c r="S24" s="301" t="str">
        <f ca="1">OFFSET(採点!F581,-P24,P24)</f>
        <v/>
      </c>
      <c r="T24" s="302"/>
      <c r="U24" s="303"/>
      <c r="V24" s="29"/>
      <c r="W24" s="29"/>
      <c r="X24" s="308"/>
      <c r="Y24" s="308"/>
      <c r="Z24" s="308"/>
      <c r="AA24" s="308"/>
      <c r="AB24" s="30"/>
      <c r="AC24" s="29"/>
    </row>
    <row r="25" spans="2:29">
      <c r="B25" s="33">
        <v>12</v>
      </c>
      <c r="C25" s="341" t="str">
        <f>IF(ISBLANK(解答設定!B32),"",解答設定!B32)</f>
        <v/>
      </c>
      <c r="D25" s="279"/>
      <c r="E25" s="310" t="str">
        <f ca="1">OFFSET(採点!F522,-平均!B25,平均!B25)</f>
        <v/>
      </c>
      <c r="F25" s="311"/>
      <c r="G25" s="312"/>
      <c r="H25" s="29"/>
      <c r="I25" s="33">
        <v>42</v>
      </c>
      <c r="J25" s="304" t="str">
        <f>IF(ISBLANK(解答設定!B62),"",解答設定!B62)</f>
        <v/>
      </c>
      <c r="K25" s="305"/>
      <c r="L25" s="301" t="str">
        <f ca="1">OFFSET(採点!F552,-I25,I25)</f>
        <v/>
      </c>
      <c r="M25" s="302"/>
      <c r="N25" s="303"/>
      <c r="O25" s="29"/>
      <c r="P25" s="33">
        <v>72</v>
      </c>
      <c r="Q25" s="304" t="str">
        <f>IF(ISBLANK(解答設定!B92),"",解答設定!B92)</f>
        <v/>
      </c>
      <c r="R25" s="305"/>
      <c r="S25" s="301" t="str">
        <f ca="1">OFFSET(採点!F582,-P25,P25)</f>
        <v/>
      </c>
      <c r="T25" s="302"/>
      <c r="U25" s="303"/>
      <c r="V25" s="29"/>
      <c r="W25" s="29"/>
      <c r="X25" s="308"/>
      <c r="Y25" s="308"/>
      <c r="Z25" s="308"/>
      <c r="AA25" s="308"/>
      <c r="AB25" s="30"/>
      <c r="AC25" s="29"/>
    </row>
    <row r="26" spans="2:29">
      <c r="B26" s="33">
        <v>13</v>
      </c>
      <c r="C26" s="341" t="str">
        <f>IF(ISBLANK(解答設定!B33),"",解答設定!B33)</f>
        <v/>
      </c>
      <c r="D26" s="279"/>
      <c r="E26" s="310" t="str">
        <f ca="1">OFFSET(採点!F523,-平均!B26,平均!B26)</f>
        <v/>
      </c>
      <c r="F26" s="311"/>
      <c r="G26" s="312"/>
      <c r="H26" s="29"/>
      <c r="I26" s="33">
        <v>43</v>
      </c>
      <c r="J26" s="304" t="str">
        <f>IF(ISBLANK(解答設定!B63),"",解答設定!B63)</f>
        <v/>
      </c>
      <c r="K26" s="305"/>
      <c r="L26" s="301" t="str">
        <f ca="1">OFFSET(採点!F553,-I26,I26)</f>
        <v/>
      </c>
      <c r="M26" s="302"/>
      <c r="N26" s="303"/>
      <c r="O26" s="29"/>
      <c r="P26" s="33">
        <v>73</v>
      </c>
      <c r="Q26" s="304" t="str">
        <f>IF(ISBLANK(解答設定!B93),"",解答設定!B93)</f>
        <v/>
      </c>
      <c r="R26" s="305"/>
      <c r="S26" s="301" t="str">
        <f ca="1">OFFSET(採点!F583,-P26,P26)</f>
        <v/>
      </c>
      <c r="T26" s="302"/>
      <c r="U26" s="303"/>
      <c r="V26" s="29"/>
      <c r="W26" s="29"/>
      <c r="X26" s="308"/>
      <c r="Y26" s="308"/>
      <c r="Z26" s="308"/>
      <c r="AA26" s="308"/>
      <c r="AB26" s="30"/>
      <c r="AC26" s="29"/>
    </row>
    <row r="27" spans="2:29">
      <c r="B27" s="33">
        <v>14</v>
      </c>
      <c r="C27" s="341" t="str">
        <f>IF(ISBLANK(解答設定!B34),"",解答設定!B34)</f>
        <v/>
      </c>
      <c r="D27" s="279"/>
      <c r="E27" s="310" t="str">
        <f ca="1">OFFSET(採点!F524,-平均!B27,平均!B27)</f>
        <v/>
      </c>
      <c r="F27" s="311"/>
      <c r="G27" s="312"/>
      <c r="H27" s="29"/>
      <c r="I27" s="33">
        <v>44</v>
      </c>
      <c r="J27" s="304" t="str">
        <f>IF(ISBLANK(解答設定!B64),"",解答設定!B64)</f>
        <v/>
      </c>
      <c r="K27" s="305"/>
      <c r="L27" s="301" t="str">
        <f ca="1">OFFSET(採点!F554,-I27,I27)</f>
        <v/>
      </c>
      <c r="M27" s="302"/>
      <c r="N27" s="303"/>
      <c r="O27" s="29"/>
      <c r="P27" s="33">
        <v>74</v>
      </c>
      <c r="Q27" s="304" t="str">
        <f>IF(ISBLANK(解答設定!B94),"",解答設定!B94)</f>
        <v/>
      </c>
      <c r="R27" s="305"/>
      <c r="S27" s="301" t="str">
        <f ca="1">OFFSET(採点!F584,-P27,P27)</f>
        <v/>
      </c>
      <c r="T27" s="302"/>
      <c r="U27" s="303"/>
      <c r="V27" s="29"/>
      <c r="W27" s="29"/>
      <c r="X27" s="308"/>
      <c r="Y27" s="308"/>
      <c r="Z27" s="308"/>
      <c r="AA27" s="308"/>
      <c r="AB27" s="30"/>
      <c r="AC27" s="29"/>
    </row>
    <row r="28" spans="2:29">
      <c r="B28" s="33">
        <v>15</v>
      </c>
      <c r="C28" s="341" t="str">
        <f>IF(ISBLANK(解答設定!B35),"",解答設定!B35)</f>
        <v/>
      </c>
      <c r="D28" s="279"/>
      <c r="E28" s="310" t="str">
        <f ca="1">OFFSET(採点!F525,-平均!B28,平均!B28)</f>
        <v/>
      </c>
      <c r="F28" s="311"/>
      <c r="G28" s="312"/>
      <c r="H28" s="29"/>
      <c r="I28" s="33">
        <v>45</v>
      </c>
      <c r="J28" s="304" t="str">
        <f>IF(ISBLANK(解答設定!B65),"",解答設定!B65)</f>
        <v/>
      </c>
      <c r="K28" s="305"/>
      <c r="L28" s="301" t="str">
        <f ca="1">OFFSET(採点!F555,-I28,I28)</f>
        <v/>
      </c>
      <c r="M28" s="302"/>
      <c r="N28" s="303"/>
      <c r="O28" s="29"/>
      <c r="P28" s="33">
        <v>75</v>
      </c>
      <c r="Q28" s="304" t="str">
        <f>IF(ISBLANK(解答設定!B95),"",解答設定!B95)</f>
        <v/>
      </c>
      <c r="R28" s="305"/>
      <c r="S28" s="301" t="str">
        <f ca="1">OFFSET(採点!F585,-P28,P28)</f>
        <v/>
      </c>
      <c r="T28" s="302"/>
      <c r="U28" s="303"/>
      <c r="V28" s="29"/>
      <c r="W28" s="29"/>
      <c r="X28" s="308"/>
      <c r="Y28" s="308"/>
      <c r="Z28" s="308"/>
      <c r="AA28" s="308"/>
      <c r="AB28" s="30"/>
      <c r="AC28" s="29"/>
    </row>
    <row r="29" spans="2:29">
      <c r="B29" s="33">
        <v>16</v>
      </c>
      <c r="C29" s="341" t="str">
        <f>IF(ISBLANK(解答設定!B36),"",解答設定!B36)</f>
        <v/>
      </c>
      <c r="D29" s="279"/>
      <c r="E29" s="310" t="str">
        <f ca="1">OFFSET(採点!F526,-平均!B29,平均!B29)</f>
        <v/>
      </c>
      <c r="F29" s="311"/>
      <c r="G29" s="312"/>
      <c r="H29" s="29"/>
      <c r="I29" s="33">
        <v>46</v>
      </c>
      <c r="J29" s="304" t="str">
        <f>IF(ISBLANK(解答設定!B66),"",解答設定!B66)</f>
        <v/>
      </c>
      <c r="K29" s="305"/>
      <c r="L29" s="301" t="str">
        <f ca="1">OFFSET(採点!F556,-I29,I29)</f>
        <v/>
      </c>
      <c r="M29" s="302"/>
      <c r="N29" s="303"/>
      <c r="O29" s="29"/>
      <c r="P29" s="33">
        <v>76</v>
      </c>
      <c r="Q29" s="304" t="str">
        <f>IF(ISBLANK(解答設定!B96),"",解答設定!B96)</f>
        <v/>
      </c>
      <c r="R29" s="305"/>
      <c r="S29" s="301" t="str">
        <f ca="1">OFFSET(採点!F586,-P29,P29)</f>
        <v/>
      </c>
      <c r="T29" s="302"/>
      <c r="U29" s="303"/>
      <c r="V29" s="29"/>
      <c r="W29" s="29"/>
      <c r="X29" s="308"/>
      <c r="Y29" s="308"/>
      <c r="Z29" s="308"/>
      <c r="AA29" s="308"/>
      <c r="AB29" s="30"/>
      <c r="AC29" s="29"/>
    </row>
    <row r="30" spans="2:29">
      <c r="B30" s="33">
        <v>17</v>
      </c>
      <c r="C30" s="341" t="str">
        <f>IF(ISBLANK(解答設定!B37),"",解答設定!B37)</f>
        <v/>
      </c>
      <c r="D30" s="279"/>
      <c r="E30" s="310" t="str">
        <f ca="1">OFFSET(採点!F527,-平均!B30,平均!B30)</f>
        <v/>
      </c>
      <c r="F30" s="311"/>
      <c r="G30" s="312"/>
      <c r="H30" s="29"/>
      <c r="I30" s="33">
        <v>47</v>
      </c>
      <c r="J30" s="304" t="str">
        <f>IF(ISBLANK(解答設定!B67),"",解答設定!B67)</f>
        <v/>
      </c>
      <c r="K30" s="305"/>
      <c r="L30" s="301" t="str">
        <f ca="1">OFFSET(採点!F557,-I30,I30)</f>
        <v/>
      </c>
      <c r="M30" s="302"/>
      <c r="N30" s="303"/>
      <c r="O30" s="29"/>
      <c r="P30" s="33">
        <v>77</v>
      </c>
      <c r="Q30" s="304" t="str">
        <f>IF(ISBLANK(解答設定!B97),"",解答設定!B97)</f>
        <v/>
      </c>
      <c r="R30" s="305"/>
      <c r="S30" s="301" t="str">
        <f ca="1">OFFSET(採点!F587,-P30,P30)</f>
        <v/>
      </c>
      <c r="T30" s="302"/>
      <c r="U30" s="303"/>
      <c r="V30" s="29"/>
      <c r="W30" s="29"/>
      <c r="X30" s="308"/>
      <c r="Y30" s="308"/>
      <c r="Z30" s="308"/>
      <c r="AA30" s="308"/>
      <c r="AB30" s="30"/>
      <c r="AC30" s="29"/>
    </row>
    <row r="31" spans="2:29">
      <c r="B31" s="33">
        <v>18</v>
      </c>
      <c r="C31" s="341" t="str">
        <f>IF(ISBLANK(解答設定!B38),"",解答設定!B38)</f>
        <v/>
      </c>
      <c r="D31" s="279"/>
      <c r="E31" s="310" t="str">
        <f ca="1">OFFSET(採点!F528,-平均!B31,平均!B31)</f>
        <v/>
      </c>
      <c r="F31" s="311"/>
      <c r="G31" s="312"/>
      <c r="H31" s="29"/>
      <c r="I31" s="33">
        <v>48</v>
      </c>
      <c r="J31" s="304" t="str">
        <f>IF(ISBLANK(解答設定!B68),"",解答設定!B68)</f>
        <v/>
      </c>
      <c r="K31" s="305"/>
      <c r="L31" s="301" t="str">
        <f ca="1">OFFSET(採点!F558,-I31,I31)</f>
        <v/>
      </c>
      <c r="M31" s="302"/>
      <c r="N31" s="303"/>
      <c r="O31" s="29"/>
      <c r="P31" s="33">
        <v>78</v>
      </c>
      <c r="Q31" s="304" t="str">
        <f>IF(ISBLANK(解答設定!B98),"",解答設定!B98)</f>
        <v/>
      </c>
      <c r="R31" s="305"/>
      <c r="S31" s="301" t="str">
        <f ca="1">OFFSET(採点!F588,-P31,P31)</f>
        <v/>
      </c>
      <c r="T31" s="302"/>
      <c r="U31" s="303"/>
      <c r="V31" s="29"/>
      <c r="W31" s="29"/>
      <c r="X31" s="308"/>
      <c r="Y31" s="308"/>
      <c r="Z31" s="308"/>
      <c r="AA31" s="308"/>
      <c r="AB31" s="30"/>
      <c r="AC31" s="29"/>
    </row>
    <row r="32" spans="2:29">
      <c r="B32" s="33">
        <v>19</v>
      </c>
      <c r="C32" s="341" t="str">
        <f>IF(ISBLANK(解答設定!B39),"",解答設定!B39)</f>
        <v/>
      </c>
      <c r="D32" s="279"/>
      <c r="E32" s="310" t="str">
        <f ca="1">OFFSET(採点!F529,-平均!B32,平均!B32)</f>
        <v/>
      </c>
      <c r="F32" s="311"/>
      <c r="G32" s="312"/>
      <c r="H32" s="29"/>
      <c r="I32" s="33">
        <v>49</v>
      </c>
      <c r="J32" s="304" t="str">
        <f>IF(ISBLANK(解答設定!B69),"",解答設定!B69)</f>
        <v/>
      </c>
      <c r="K32" s="305"/>
      <c r="L32" s="301" t="str">
        <f ca="1">OFFSET(採点!F559,-I32,I32)</f>
        <v/>
      </c>
      <c r="M32" s="302"/>
      <c r="N32" s="303"/>
      <c r="O32" s="29"/>
      <c r="P32" s="33">
        <v>79</v>
      </c>
      <c r="Q32" s="304" t="str">
        <f>IF(ISBLANK(解答設定!B99),"",解答設定!B99)</f>
        <v/>
      </c>
      <c r="R32" s="305"/>
      <c r="S32" s="301" t="str">
        <f ca="1">OFFSET(採点!F589,-P32,P32)</f>
        <v/>
      </c>
      <c r="T32" s="302"/>
      <c r="U32" s="303"/>
      <c r="V32" s="29"/>
      <c r="W32" s="29"/>
      <c r="X32" s="308"/>
      <c r="Y32" s="308"/>
      <c r="Z32" s="308"/>
      <c r="AA32" s="308"/>
      <c r="AB32" s="30"/>
      <c r="AC32" s="29"/>
    </row>
    <row r="33" spans="2:29">
      <c r="B33" s="33">
        <v>20</v>
      </c>
      <c r="C33" s="341" t="str">
        <f>IF(ISBLANK(解答設定!B40),"",解答設定!B40)</f>
        <v/>
      </c>
      <c r="D33" s="279"/>
      <c r="E33" s="310" t="str">
        <f ca="1">OFFSET(採点!F530,-平均!B33,平均!B33)</f>
        <v/>
      </c>
      <c r="F33" s="311"/>
      <c r="G33" s="312"/>
      <c r="H33" s="29"/>
      <c r="I33" s="33">
        <v>50</v>
      </c>
      <c r="J33" s="304" t="str">
        <f>IF(ISBLANK(解答設定!B70),"",解答設定!B70)</f>
        <v/>
      </c>
      <c r="K33" s="305"/>
      <c r="L33" s="301" t="str">
        <f ca="1">OFFSET(採点!F560,-I33,I33)</f>
        <v/>
      </c>
      <c r="M33" s="302"/>
      <c r="N33" s="303"/>
      <c r="O33" s="29"/>
      <c r="P33" s="33">
        <v>80</v>
      </c>
      <c r="Q33" s="304" t="str">
        <f>IF(ISBLANK(解答設定!B100),"",解答設定!B100)</f>
        <v/>
      </c>
      <c r="R33" s="305"/>
      <c r="S33" s="301" t="str">
        <f ca="1">OFFSET(採点!F590,-P33,P33)</f>
        <v/>
      </c>
      <c r="T33" s="302"/>
      <c r="U33" s="303"/>
      <c r="V33" s="29"/>
      <c r="W33" s="29"/>
      <c r="X33" s="308"/>
      <c r="Y33" s="308"/>
      <c r="Z33" s="308"/>
      <c r="AA33" s="308"/>
      <c r="AB33" s="30"/>
      <c r="AC33" s="29"/>
    </row>
    <row r="34" spans="2:29">
      <c r="B34" s="33">
        <v>21</v>
      </c>
      <c r="C34" s="341" t="str">
        <f>IF(ISBLANK(解答設定!B41),"",解答設定!B41)</f>
        <v/>
      </c>
      <c r="D34" s="279"/>
      <c r="E34" s="310" t="str">
        <f ca="1">OFFSET(採点!F531,-平均!B34,平均!B34)</f>
        <v/>
      </c>
      <c r="F34" s="311"/>
      <c r="G34" s="312"/>
      <c r="H34" s="29"/>
      <c r="I34" s="33">
        <v>51</v>
      </c>
      <c r="J34" s="304" t="str">
        <f>IF(ISBLANK(解答設定!B71),"",解答設定!B71)</f>
        <v/>
      </c>
      <c r="K34" s="305"/>
      <c r="L34" s="301" t="str">
        <f ca="1">OFFSET(採点!F561,-I34,I34)</f>
        <v/>
      </c>
      <c r="M34" s="302"/>
      <c r="N34" s="303"/>
      <c r="O34" s="29"/>
      <c r="P34" s="33">
        <v>81</v>
      </c>
      <c r="Q34" s="304" t="str">
        <f>IF(ISBLANK(解答設定!B101),"",解答設定!B101)</f>
        <v/>
      </c>
      <c r="R34" s="305"/>
      <c r="S34" s="301" t="str">
        <f ca="1">OFFSET(採点!F591,-P34,P34)</f>
        <v/>
      </c>
      <c r="T34" s="302"/>
      <c r="U34" s="303"/>
      <c r="V34" s="29"/>
      <c r="W34" s="29"/>
      <c r="X34" s="308"/>
      <c r="Y34" s="308"/>
      <c r="Z34" s="308"/>
      <c r="AA34" s="308"/>
      <c r="AB34" s="30"/>
      <c r="AC34" s="29"/>
    </row>
    <row r="35" spans="2:29">
      <c r="B35" s="33">
        <v>22</v>
      </c>
      <c r="C35" s="341" t="str">
        <f>IF(ISBLANK(解答設定!B42),"",解答設定!B42)</f>
        <v/>
      </c>
      <c r="D35" s="279"/>
      <c r="E35" s="310" t="str">
        <f ca="1">OFFSET(採点!F532,-平均!B35,平均!B35)</f>
        <v/>
      </c>
      <c r="F35" s="311"/>
      <c r="G35" s="312"/>
      <c r="H35" s="29"/>
      <c r="I35" s="33">
        <v>52</v>
      </c>
      <c r="J35" s="304" t="str">
        <f>IF(ISBLANK(解答設定!B72),"",解答設定!B72)</f>
        <v/>
      </c>
      <c r="K35" s="305"/>
      <c r="L35" s="301" t="str">
        <f ca="1">OFFSET(採点!F562,-I35,I35)</f>
        <v/>
      </c>
      <c r="M35" s="302"/>
      <c r="N35" s="303"/>
      <c r="O35" s="29"/>
      <c r="P35" s="33">
        <v>82</v>
      </c>
      <c r="Q35" s="304" t="str">
        <f>IF(ISBLANK(解答設定!B102),"",解答設定!B102)</f>
        <v/>
      </c>
      <c r="R35" s="305"/>
      <c r="S35" s="301" t="str">
        <f ca="1">OFFSET(採点!F592,-P35,P35)</f>
        <v/>
      </c>
      <c r="T35" s="302"/>
      <c r="U35" s="303"/>
      <c r="V35" s="29"/>
      <c r="W35" s="29"/>
      <c r="X35" s="308"/>
      <c r="Y35" s="308"/>
      <c r="Z35" s="308"/>
      <c r="AA35" s="308"/>
      <c r="AB35" s="30"/>
      <c r="AC35" s="29"/>
    </row>
    <row r="36" spans="2:29">
      <c r="B36" s="33">
        <v>23</v>
      </c>
      <c r="C36" s="341" t="str">
        <f>IF(ISBLANK(解答設定!B43),"",解答設定!B43)</f>
        <v/>
      </c>
      <c r="D36" s="279"/>
      <c r="E36" s="310" t="str">
        <f ca="1">OFFSET(採点!F533,-平均!B36,平均!B36)</f>
        <v/>
      </c>
      <c r="F36" s="311"/>
      <c r="G36" s="312"/>
      <c r="H36" s="29"/>
      <c r="I36" s="33">
        <v>53</v>
      </c>
      <c r="J36" s="304" t="str">
        <f>IF(ISBLANK(解答設定!B73),"",解答設定!B73)</f>
        <v/>
      </c>
      <c r="K36" s="305"/>
      <c r="L36" s="301" t="str">
        <f ca="1">OFFSET(採点!F563,-I36,I36)</f>
        <v/>
      </c>
      <c r="M36" s="302"/>
      <c r="N36" s="303"/>
      <c r="O36" s="29"/>
      <c r="P36" s="33">
        <v>83</v>
      </c>
      <c r="Q36" s="304" t="str">
        <f>IF(ISBLANK(解答設定!B103),"",解答設定!B103)</f>
        <v/>
      </c>
      <c r="R36" s="305"/>
      <c r="S36" s="301" t="str">
        <f ca="1">OFFSET(採点!F593,-P36,P36)</f>
        <v/>
      </c>
      <c r="T36" s="302"/>
      <c r="U36" s="303"/>
      <c r="V36" s="29"/>
      <c r="W36" s="29"/>
      <c r="X36" s="308"/>
      <c r="Y36" s="308"/>
      <c r="Z36" s="308"/>
      <c r="AA36" s="308"/>
      <c r="AB36" s="30"/>
      <c r="AC36" s="29"/>
    </row>
    <row r="37" spans="2:29">
      <c r="B37" s="33">
        <v>24</v>
      </c>
      <c r="C37" s="341" t="str">
        <f>IF(ISBLANK(解答設定!B44),"",解答設定!B44)</f>
        <v/>
      </c>
      <c r="D37" s="279"/>
      <c r="E37" s="310" t="str">
        <f ca="1">OFFSET(採点!F534,-平均!B37,平均!B37)</f>
        <v/>
      </c>
      <c r="F37" s="311"/>
      <c r="G37" s="312"/>
      <c r="H37" s="29"/>
      <c r="I37" s="33">
        <v>54</v>
      </c>
      <c r="J37" s="304" t="str">
        <f>IF(ISBLANK(解答設定!B74),"",解答設定!B74)</f>
        <v/>
      </c>
      <c r="K37" s="305"/>
      <c r="L37" s="301" t="str">
        <f ca="1">OFFSET(採点!F564,-I37,I37)</f>
        <v/>
      </c>
      <c r="M37" s="302"/>
      <c r="N37" s="303"/>
      <c r="O37" s="29"/>
      <c r="P37" s="33">
        <v>84</v>
      </c>
      <c r="Q37" s="304" t="str">
        <f>IF(ISBLANK(解答設定!B104),"",解答設定!B104)</f>
        <v/>
      </c>
      <c r="R37" s="305"/>
      <c r="S37" s="301" t="str">
        <f ca="1">OFFSET(採点!F594,-P37,P37)</f>
        <v/>
      </c>
      <c r="T37" s="302"/>
      <c r="U37" s="303"/>
      <c r="V37" s="29"/>
      <c r="W37" s="29"/>
      <c r="X37" s="308"/>
      <c r="Y37" s="308"/>
      <c r="Z37" s="308"/>
      <c r="AA37" s="308"/>
      <c r="AB37" s="30"/>
      <c r="AC37" s="29"/>
    </row>
    <row r="38" spans="2:29">
      <c r="B38" s="33">
        <v>25</v>
      </c>
      <c r="C38" s="341" t="str">
        <f>IF(ISBLANK(解答設定!B45),"",解答設定!B45)</f>
        <v/>
      </c>
      <c r="D38" s="279"/>
      <c r="E38" s="310" t="str">
        <f ca="1">OFFSET(採点!F535,-平均!B38,平均!B38)</f>
        <v/>
      </c>
      <c r="F38" s="311"/>
      <c r="G38" s="312"/>
      <c r="H38" s="29"/>
      <c r="I38" s="33">
        <v>55</v>
      </c>
      <c r="J38" s="304" t="str">
        <f>IF(ISBLANK(解答設定!B75),"",解答設定!B75)</f>
        <v/>
      </c>
      <c r="K38" s="305"/>
      <c r="L38" s="301" t="str">
        <f ca="1">OFFSET(採点!F565,-I38,I38)</f>
        <v/>
      </c>
      <c r="M38" s="302"/>
      <c r="N38" s="303"/>
      <c r="O38" s="29"/>
      <c r="P38" s="33">
        <v>85</v>
      </c>
      <c r="Q38" s="304" t="str">
        <f>IF(ISBLANK(解答設定!B105),"",解答設定!B105)</f>
        <v/>
      </c>
      <c r="R38" s="305"/>
      <c r="S38" s="301" t="str">
        <f ca="1">OFFSET(採点!F595,-P38,P38)</f>
        <v/>
      </c>
      <c r="T38" s="302"/>
      <c r="U38" s="303"/>
      <c r="V38" s="29"/>
      <c r="W38" s="29"/>
      <c r="X38" s="308"/>
      <c r="Y38" s="308"/>
      <c r="Z38" s="308"/>
      <c r="AA38" s="308"/>
      <c r="AB38" s="30"/>
      <c r="AC38" s="29"/>
    </row>
    <row r="39" spans="2:29">
      <c r="B39" s="33">
        <v>26</v>
      </c>
      <c r="C39" s="341" t="str">
        <f>IF(ISBLANK(解答設定!B46),"",解答設定!B46)</f>
        <v/>
      </c>
      <c r="D39" s="279"/>
      <c r="E39" s="310" t="str">
        <f ca="1">OFFSET(採点!F536,-平均!B39,平均!B39)</f>
        <v/>
      </c>
      <c r="F39" s="311"/>
      <c r="G39" s="312"/>
      <c r="H39" s="29"/>
      <c r="I39" s="33">
        <v>56</v>
      </c>
      <c r="J39" s="304" t="str">
        <f>IF(ISBLANK(解答設定!B76),"",解答設定!B76)</f>
        <v/>
      </c>
      <c r="K39" s="305"/>
      <c r="L39" s="301" t="str">
        <f ca="1">OFFSET(採点!F566,-I39,I39)</f>
        <v/>
      </c>
      <c r="M39" s="302"/>
      <c r="N39" s="303"/>
      <c r="O39" s="29"/>
      <c r="P39" s="33">
        <v>86</v>
      </c>
      <c r="Q39" s="304" t="str">
        <f>IF(ISBLANK(解答設定!B106),"",解答設定!B106)</f>
        <v/>
      </c>
      <c r="R39" s="305"/>
      <c r="S39" s="301" t="str">
        <f ca="1">OFFSET(採点!F596,-P39,P39)</f>
        <v/>
      </c>
      <c r="T39" s="302"/>
      <c r="U39" s="303"/>
      <c r="V39" s="29"/>
      <c r="W39" s="29"/>
      <c r="X39" s="308"/>
      <c r="Y39" s="308"/>
      <c r="Z39" s="308"/>
      <c r="AA39" s="308"/>
      <c r="AB39" s="30"/>
      <c r="AC39" s="29"/>
    </row>
    <row r="40" spans="2:29">
      <c r="B40" s="33">
        <v>27</v>
      </c>
      <c r="C40" s="341" t="str">
        <f>IF(ISBLANK(解答設定!B47),"",解答設定!B47)</f>
        <v/>
      </c>
      <c r="D40" s="279"/>
      <c r="E40" s="310" t="str">
        <f ca="1">OFFSET(採点!F537,-平均!B40,平均!B40)</f>
        <v/>
      </c>
      <c r="F40" s="311"/>
      <c r="G40" s="312"/>
      <c r="H40" s="29"/>
      <c r="I40" s="33">
        <v>57</v>
      </c>
      <c r="J40" s="304" t="str">
        <f>IF(ISBLANK(解答設定!B77),"",解答設定!B77)</f>
        <v/>
      </c>
      <c r="K40" s="305"/>
      <c r="L40" s="301" t="str">
        <f ca="1">OFFSET(採点!F567,-I40,I40)</f>
        <v/>
      </c>
      <c r="M40" s="302"/>
      <c r="N40" s="303"/>
      <c r="O40" s="29"/>
      <c r="P40" s="33">
        <v>87</v>
      </c>
      <c r="Q40" s="304" t="str">
        <f>IF(ISBLANK(解答設定!B107),"",解答設定!B107)</f>
        <v/>
      </c>
      <c r="R40" s="305"/>
      <c r="S40" s="301" t="str">
        <f ca="1">OFFSET(採点!F597,-P40,P40)</f>
        <v/>
      </c>
      <c r="T40" s="302"/>
      <c r="U40" s="303"/>
      <c r="V40" s="29"/>
      <c r="W40" s="29"/>
      <c r="X40" s="308"/>
      <c r="Y40" s="308"/>
      <c r="Z40" s="308"/>
      <c r="AA40" s="308"/>
      <c r="AB40" s="30"/>
      <c r="AC40" s="29"/>
    </row>
    <row r="41" spans="2:29">
      <c r="B41" s="33">
        <v>28</v>
      </c>
      <c r="C41" s="341" t="str">
        <f>IF(ISBLANK(解答設定!B48),"",解答設定!B48)</f>
        <v/>
      </c>
      <c r="D41" s="279"/>
      <c r="E41" s="310" t="str">
        <f ca="1">OFFSET(採点!F538,-平均!B41,平均!B41)</f>
        <v/>
      </c>
      <c r="F41" s="311"/>
      <c r="G41" s="312"/>
      <c r="H41" s="29"/>
      <c r="I41" s="33">
        <v>58</v>
      </c>
      <c r="J41" s="304" t="str">
        <f>IF(ISBLANK(解答設定!B78),"",解答設定!B78)</f>
        <v/>
      </c>
      <c r="K41" s="305"/>
      <c r="L41" s="301" t="str">
        <f ca="1">OFFSET(採点!F568,-I41,I41)</f>
        <v/>
      </c>
      <c r="M41" s="302"/>
      <c r="N41" s="303"/>
      <c r="O41" s="29"/>
      <c r="P41" s="33">
        <v>88</v>
      </c>
      <c r="Q41" s="304" t="str">
        <f>IF(ISBLANK(解答設定!B108),"",解答設定!B108)</f>
        <v/>
      </c>
      <c r="R41" s="305"/>
      <c r="S41" s="301" t="str">
        <f ca="1">OFFSET(採点!F598,-P41,P41)</f>
        <v/>
      </c>
      <c r="T41" s="302"/>
      <c r="U41" s="303"/>
      <c r="V41" s="29"/>
      <c r="W41" s="29"/>
      <c r="X41" s="308"/>
      <c r="Y41" s="308"/>
      <c r="Z41" s="308"/>
      <c r="AA41" s="308"/>
      <c r="AB41" s="30"/>
      <c r="AC41" s="29"/>
    </row>
    <row r="42" spans="2:29" ht="15" thickBot="1">
      <c r="B42" s="33">
        <v>29</v>
      </c>
      <c r="C42" s="342" t="str">
        <f>IF(ISBLANK(解答設定!B49),"",解答設定!B49)</f>
        <v/>
      </c>
      <c r="D42" s="343"/>
      <c r="E42" s="345" t="str">
        <f ca="1">OFFSET(採点!F539,-平均!B42,平均!B42)</f>
        <v/>
      </c>
      <c r="F42" s="346"/>
      <c r="G42" s="347"/>
      <c r="H42" s="29"/>
      <c r="I42" s="33">
        <v>59</v>
      </c>
      <c r="J42" s="306" t="str">
        <f>IF(ISBLANK(解答設定!B79),"",解答設定!B79)</f>
        <v/>
      </c>
      <c r="K42" s="307"/>
      <c r="L42" s="298" t="str">
        <f ca="1">OFFSET(採点!F569,-I42,I42)</f>
        <v/>
      </c>
      <c r="M42" s="299"/>
      <c r="N42" s="300"/>
      <c r="O42" s="29"/>
      <c r="P42" s="33">
        <v>89</v>
      </c>
      <c r="Q42" s="306" t="str">
        <f>IF(ISBLANK(解答設定!B109),"",解答設定!B109)</f>
        <v/>
      </c>
      <c r="R42" s="307"/>
      <c r="S42" s="298" t="str">
        <f ca="1">OFFSET(採点!F599,-P42,P42)</f>
        <v/>
      </c>
      <c r="T42" s="299"/>
      <c r="U42" s="300"/>
      <c r="V42" s="29"/>
      <c r="W42" s="29"/>
      <c r="X42" s="308"/>
      <c r="Y42" s="308"/>
      <c r="Z42" s="308"/>
      <c r="AA42" s="308"/>
      <c r="AB42" s="30"/>
      <c r="AC42" s="29"/>
    </row>
    <row r="43" spans="2:29">
      <c r="C43" s="344"/>
      <c r="D43" s="344"/>
      <c r="E43" s="344"/>
      <c r="F43" s="344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9"/>
      <c r="D44" s="309"/>
      <c r="E44" s="309"/>
      <c r="F44" s="309"/>
      <c r="G44" s="28"/>
    </row>
    <row r="45" spans="2:29">
      <c r="C45" s="309"/>
      <c r="D45" s="309"/>
      <c r="E45" s="309"/>
      <c r="F45" s="309"/>
      <c r="G45" s="28"/>
    </row>
    <row r="46" spans="2:29">
      <c r="C46" s="309"/>
      <c r="D46" s="309"/>
      <c r="E46" s="309"/>
      <c r="F46" s="309"/>
      <c r="G46" s="28"/>
    </row>
    <row r="47" spans="2:29">
      <c r="C47" s="309"/>
      <c r="D47" s="309"/>
      <c r="E47" s="309"/>
      <c r="F47" s="309"/>
      <c r="G47" s="28"/>
    </row>
    <row r="48" spans="2:29">
      <c r="C48" s="309"/>
      <c r="D48" s="309"/>
      <c r="E48" s="309"/>
      <c r="F48" s="309"/>
      <c r="G48" s="28"/>
    </row>
    <row r="49" spans="2:7">
      <c r="C49" s="309"/>
      <c r="D49" s="309"/>
      <c r="E49" s="309"/>
      <c r="F49" s="309"/>
      <c r="G49" s="28"/>
    </row>
    <row r="50" spans="2:7">
      <c r="C50" s="309"/>
      <c r="D50" s="309"/>
      <c r="E50" s="309"/>
      <c r="F50" s="309"/>
      <c r="G50" s="28"/>
    </row>
    <row r="51" spans="2:7">
      <c r="B51" s="38"/>
      <c r="C51" s="38"/>
      <c r="D51" s="38"/>
      <c r="E51" s="38"/>
      <c r="F51" s="308"/>
      <c r="G51" s="308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9" t="str">
        <f>IF(ISBLANK(初期設定!AQ6),"",初期設定!AQ6)</f>
        <v/>
      </c>
      <c r="AN301" s="309"/>
      <c r="AO301" s="309"/>
      <c r="AP301" s="309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9" t="str">
        <f>IF(ISBLANK(初期設定!AQ14),"",初期設定!AQ14)</f>
        <v/>
      </c>
      <c r="AN302" s="309"/>
      <c r="AO302" s="309"/>
      <c r="AP302" s="309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50" t="s">
        <v>18</v>
      </c>
      <c r="D2" s="351"/>
      <c r="E2" s="352"/>
      <c r="F2" s="126"/>
      <c r="G2" s="114" t="s">
        <v>19</v>
      </c>
      <c r="H2" s="55"/>
      <c r="I2" s="55"/>
      <c r="J2" s="348" t="s">
        <v>16</v>
      </c>
      <c r="K2" s="349"/>
      <c r="L2" s="349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L14" sqref="L14:N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66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53" t="s">
        <v>68</v>
      </c>
      <c r="AI3" s="354"/>
      <c r="AJ3" s="354"/>
      <c r="AK3" s="354"/>
      <c r="AL3" s="354"/>
      <c r="AM3" s="354"/>
      <c r="AN3" s="354"/>
      <c r="AO3" s="354"/>
      <c r="AP3" s="354"/>
      <c r="AQ3" s="355"/>
    </row>
    <row r="4" spans="1:52" ht="7" customHeight="1">
      <c r="B4" s="427" t="s">
        <v>73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356"/>
      <c r="AI4" s="357"/>
      <c r="AJ4" s="357"/>
      <c r="AK4" s="357"/>
      <c r="AL4" s="357"/>
      <c r="AM4" s="357"/>
      <c r="AN4" s="357"/>
      <c r="AO4" s="357"/>
      <c r="AP4" s="357"/>
      <c r="AQ4" s="358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356"/>
      <c r="AI5" s="357"/>
      <c r="AJ5" s="357"/>
      <c r="AK5" s="357"/>
      <c r="AL5" s="357"/>
      <c r="AM5" s="357"/>
      <c r="AN5" s="357"/>
      <c r="AO5" s="357"/>
      <c r="AP5" s="357"/>
      <c r="AQ5" s="358"/>
    </row>
    <row r="6" spans="1:52" ht="5" customHeight="1" thickBot="1">
      <c r="AH6" s="359"/>
      <c r="AI6" s="360"/>
      <c r="AJ6" s="360"/>
      <c r="AK6" s="360"/>
      <c r="AL6" s="360"/>
      <c r="AM6" s="360"/>
      <c r="AN6" s="360"/>
      <c r="AO6" s="360"/>
      <c r="AP6" s="360"/>
      <c r="AQ6" s="361"/>
    </row>
    <row r="7" spans="1:52" ht="7" customHeight="1" thickTop="1">
      <c r="B7" s="379">
        <v>1</v>
      </c>
      <c r="C7" s="379"/>
      <c r="D7" s="379"/>
      <c r="E7" s="357" t="s">
        <v>25</v>
      </c>
      <c r="F7" s="357"/>
      <c r="G7" s="379">
        <v>1</v>
      </c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tr">
        <f>INDEX(処理用データ!$A$1:$N$469,生徒個票!$B$1,4)</f>
        <v/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376">
        <v>1</v>
      </c>
      <c r="AI7" s="377"/>
      <c r="AJ7" s="377"/>
      <c r="AK7" s="380" t="s">
        <v>25</v>
      </c>
      <c r="AL7" s="380"/>
      <c r="AM7" s="377">
        <v>1</v>
      </c>
      <c r="AN7" s="377"/>
      <c r="AO7" s="377"/>
      <c r="AP7" s="380" t="s">
        <v>28</v>
      </c>
      <c r="AQ7" s="381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378"/>
      <c r="AI8" s="379"/>
      <c r="AJ8" s="379"/>
      <c r="AK8" s="357"/>
      <c r="AL8" s="357"/>
      <c r="AM8" s="379"/>
      <c r="AN8" s="379"/>
      <c r="AO8" s="379"/>
      <c r="AP8" s="357"/>
      <c r="AQ8" s="358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378"/>
      <c r="AI9" s="379"/>
      <c r="AJ9" s="379"/>
      <c r="AK9" s="357"/>
      <c r="AL9" s="357"/>
      <c r="AM9" s="379"/>
      <c r="AN9" s="379"/>
      <c r="AO9" s="379"/>
      <c r="AP9" s="357"/>
      <c r="AQ9" s="358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4" t="s">
        <v>69</v>
      </c>
      <c r="AL10" s="384"/>
      <c r="AM10" s="384"/>
      <c r="AN10" s="384"/>
      <c r="AO10" s="64"/>
      <c r="AP10" s="64"/>
      <c r="AQ10" s="73"/>
    </row>
    <row r="11" spans="1:52" ht="9" customHeight="1">
      <c r="B11" s="429" t="str">
        <f>IF(ISBLANK(初期設定!C38),"",初期設定!C38)</f>
        <v/>
      </c>
      <c r="C11" s="429"/>
      <c r="D11" s="429"/>
      <c r="E11" s="471" t="s">
        <v>32</v>
      </c>
      <c r="F11" s="357" t="str">
        <f>IF(B11="","",INDEX(処理用データ!$A$1:$N$469,生徒個票!$B$1,11))</f>
        <v/>
      </c>
      <c r="G11" s="357"/>
      <c r="H11" s="451" t="s">
        <v>48</v>
      </c>
      <c r="I11" s="357" t="str">
        <f>IF(B11="","",INDEX(処理用データ!$A$1:$N$469,生徒個票!$B$1,12))</f>
        <v/>
      </c>
      <c r="J11" s="380"/>
      <c r="K11" s="64"/>
      <c r="L11" s="429" t="str">
        <f>IF(ISBLANK(初期設定!K38),"",初期設定!K38)</f>
        <v/>
      </c>
      <c r="M11" s="429"/>
      <c r="N11" s="429"/>
      <c r="O11" s="469" t="s">
        <v>32</v>
      </c>
      <c r="P11" s="380" t="str">
        <f>IF(L11="","",INDEX(処理用データ!$A$1:$N$469,生徒個票!$B$1,13))</f>
        <v/>
      </c>
      <c r="Q11" s="380"/>
      <c r="R11" s="450" t="s">
        <v>48</v>
      </c>
      <c r="S11" s="380" t="str">
        <f>IF(L11="","",INDEX(処理用データ!$A$1:$N$469,生徒個票!$B$1,14))</f>
        <v/>
      </c>
      <c r="T11" s="380"/>
      <c r="U11" s="64"/>
      <c r="V11" s="380" t="s">
        <v>24</v>
      </c>
      <c r="W11" s="380"/>
      <c r="X11" s="380"/>
      <c r="Y11" s="432" t="str">
        <f>INDEX(処理用データ!$A$1:$N$469,生徒個票!$B$1,6)</f>
        <v/>
      </c>
      <c r="Z11" s="433"/>
      <c r="AA11" s="433"/>
      <c r="AB11" s="433"/>
      <c r="AC11" s="433"/>
      <c r="AD11" s="430" t="s">
        <v>29</v>
      </c>
      <c r="AE11" s="64"/>
      <c r="AH11" s="72"/>
      <c r="AI11" s="64"/>
      <c r="AJ11" s="64"/>
      <c r="AK11" s="385"/>
      <c r="AL11" s="385"/>
      <c r="AM11" s="385"/>
      <c r="AN11" s="385"/>
      <c r="AO11" s="64"/>
      <c r="AP11" s="64"/>
      <c r="AQ11" s="73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72"/>
      <c r="AI12" s="64"/>
      <c r="AJ12" s="64"/>
      <c r="AK12" s="386"/>
      <c r="AL12" s="386"/>
      <c r="AM12" s="386"/>
      <c r="AN12" s="386"/>
      <c r="AO12" s="64"/>
      <c r="AP12" s="64"/>
      <c r="AQ12" s="73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378">
        <v>1</v>
      </c>
      <c r="AI13" s="379"/>
      <c r="AJ13" s="379"/>
      <c r="AK13" s="357" t="s">
        <v>25</v>
      </c>
      <c r="AL13" s="357"/>
      <c r="AM13" s="379">
        <v>2</v>
      </c>
      <c r="AN13" s="379"/>
      <c r="AO13" s="379"/>
      <c r="AP13" s="357" t="s">
        <v>28</v>
      </c>
      <c r="AQ13" s="358"/>
      <c r="AR13" s="3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61</v>
      </c>
      <c r="C14" s="357"/>
      <c r="D14" s="428"/>
      <c r="E14" s="438" t="str">
        <f>IF(ISBLANK(平均!Z7),"",平均!Z7)</f>
        <v/>
      </c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>
        <f>処理用データ!J3</f>
        <v>0</v>
      </c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 t="str">
        <f>INDEX(処理用データ!$A$1:$N$469,生徒個票!$B$1,7)</f>
        <v/>
      </c>
      <c r="Z14" s="433"/>
      <c r="AA14" s="433"/>
      <c r="AB14" s="433"/>
      <c r="AC14" s="433"/>
      <c r="AD14" s="430" t="s">
        <v>67</v>
      </c>
      <c r="AE14" s="64"/>
      <c r="AH14" s="378"/>
      <c r="AI14" s="379"/>
      <c r="AJ14" s="379"/>
      <c r="AK14" s="357"/>
      <c r="AL14" s="357"/>
      <c r="AM14" s="379"/>
      <c r="AN14" s="379"/>
      <c r="AO14" s="379"/>
      <c r="AP14" s="357"/>
      <c r="AQ14" s="358"/>
      <c r="AR14" s="3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 thickBo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382"/>
      <c r="AI15" s="383"/>
      <c r="AJ15" s="383"/>
      <c r="AK15" s="360"/>
      <c r="AL15" s="360"/>
      <c r="AM15" s="383"/>
      <c r="AN15" s="383"/>
      <c r="AO15" s="383"/>
      <c r="AP15" s="360"/>
      <c r="AQ15" s="361"/>
      <c r="AR15" s="3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 thickTop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getOwnAnswer(B23,$B$1)</f>
        <v/>
      </c>
      <c r="D23" s="423"/>
      <c r="E23" s="370" t="str">
        <f>IF(ISBLANK(解答設定!E20),"",解答設定!E20)</f>
        <v/>
      </c>
      <c r="F23" s="370"/>
      <c r="G23" s="130" t="str">
        <f>IF(E23="","",checkAnswer(E23,C23))</f>
        <v/>
      </c>
      <c r="H23" s="371" t="str">
        <f ca="1">平均!E13</f>
        <v/>
      </c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getOwnAnswer(Q23,$B$1)</f>
        <v/>
      </c>
      <c r="S23" s="423"/>
      <c r="T23" s="370" t="str">
        <f>IF(ISBLANK(解答設定!E55),"",解答設定!E55)</f>
        <v/>
      </c>
      <c r="U23" s="370"/>
      <c r="V23" s="130" t="str">
        <f>IF(T23="","",checkAnswer(T23,R23))</f>
        <v/>
      </c>
      <c r="W23" s="371" t="str">
        <f ca="1">平均!L18</f>
        <v/>
      </c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getOwnAnswer(B24,$B$1)</f>
        <v/>
      </c>
      <c r="D24" s="397"/>
      <c r="E24" s="398" t="str">
        <f>IF(ISBLANK(解答設定!E21),"",解答設定!E21)</f>
        <v/>
      </c>
      <c r="F24" s="399"/>
      <c r="G24" s="129" t="str">
        <f t="shared" ref="G24:G56" si="1">IF(E24="","",checkAnswer(E24,C24))</f>
        <v/>
      </c>
      <c r="H24" s="365" t="str">
        <f ca="1">平均!E14</f>
        <v/>
      </c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getOwnAnswer(Q24,$B$1)</f>
        <v/>
      </c>
      <c r="S24" s="397"/>
      <c r="T24" s="398" t="str">
        <f>IF(ISBLANK(解答設定!E56),"",解答設定!E56)</f>
        <v/>
      </c>
      <c r="U24" s="399"/>
      <c r="V24" s="129" t="str">
        <f t="shared" ref="V24:V57" si="3">IF(T24="","",checkAnswer(T24,R24))</f>
        <v/>
      </c>
      <c r="W24" s="365" t="str">
        <f ca="1">平均!L19</f>
        <v/>
      </c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29" t="str">
        <f t="shared" si="1"/>
        <v/>
      </c>
      <c r="H25" s="365" t="str">
        <f ca="1">平均!E15</f>
        <v/>
      </c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29" t="str">
        <f t="shared" si="3"/>
        <v/>
      </c>
      <c r="W25" s="365" t="str">
        <f ca="1">平均!L20</f>
        <v/>
      </c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29" t="str">
        <f t="shared" si="1"/>
        <v/>
      </c>
      <c r="H26" s="365" t="str">
        <f ca="1">平均!E16</f>
        <v/>
      </c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29" t="str">
        <f t="shared" si="3"/>
        <v/>
      </c>
      <c r="W26" s="365" t="str">
        <f ca="1">平均!L21</f>
        <v/>
      </c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29" t="str">
        <f t="shared" si="1"/>
        <v/>
      </c>
      <c r="H27" s="365" t="str">
        <f ca="1">平均!E17</f>
        <v/>
      </c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29" t="str">
        <f t="shared" si="3"/>
        <v/>
      </c>
      <c r="W27" s="365" t="str">
        <f ca="1">平均!L22</f>
        <v/>
      </c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29" t="str">
        <f t="shared" si="1"/>
        <v/>
      </c>
      <c r="H28" s="365" t="str">
        <f ca="1">平均!E18</f>
        <v/>
      </c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29" t="str">
        <f t="shared" si="3"/>
        <v/>
      </c>
      <c r="W28" s="365" t="str">
        <f ca="1">平均!L23</f>
        <v/>
      </c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29" t="str">
        <f t="shared" si="1"/>
        <v/>
      </c>
      <c r="H29" s="365" t="str">
        <f ca="1">平均!E19</f>
        <v/>
      </c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29" t="str">
        <f t="shared" si="3"/>
        <v/>
      </c>
      <c r="W29" s="365" t="str">
        <f ca="1">平均!L24</f>
        <v/>
      </c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29" t="str">
        <f t="shared" si="1"/>
        <v/>
      </c>
      <c r="H30" s="365" t="str">
        <f ca="1">平均!E20</f>
        <v/>
      </c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29" t="str">
        <f t="shared" si="3"/>
        <v/>
      </c>
      <c r="W30" s="365" t="str">
        <f ca="1">平均!L25</f>
        <v/>
      </c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29" t="str">
        <f t="shared" si="1"/>
        <v/>
      </c>
      <c r="H31" s="365" t="str">
        <f ca="1">平均!E21</f>
        <v/>
      </c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29" t="str">
        <f t="shared" si="3"/>
        <v/>
      </c>
      <c r="W31" s="365" t="str">
        <f ca="1">平均!L26</f>
        <v/>
      </c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29" t="str">
        <f t="shared" si="1"/>
        <v/>
      </c>
      <c r="H32" s="365" t="str">
        <f ca="1">平均!E22</f>
        <v/>
      </c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29" t="str">
        <f t="shared" si="3"/>
        <v/>
      </c>
      <c r="W32" s="365" t="str">
        <f ca="1">平均!L27</f>
        <v/>
      </c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29" t="str">
        <f t="shared" si="1"/>
        <v/>
      </c>
      <c r="H33" s="365" t="str">
        <f ca="1">平均!E23</f>
        <v/>
      </c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29" t="str">
        <f t="shared" si="3"/>
        <v/>
      </c>
      <c r="W33" s="365" t="str">
        <f ca="1">平均!L28</f>
        <v/>
      </c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29" t="str">
        <f t="shared" si="1"/>
        <v/>
      </c>
      <c r="H34" s="365" t="str">
        <f ca="1">平均!E24</f>
        <v/>
      </c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29" t="str">
        <f t="shared" si="3"/>
        <v/>
      </c>
      <c r="W34" s="365" t="str">
        <f ca="1">平均!L29</f>
        <v/>
      </c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29" t="str">
        <f t="shared" si="1"/>
        <v/>
      </c>
      <c r="H35" s="365" t="str">
        <f ca="1">平均!E25</f>
        <v/>
      </c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29" t="str">
        <f t="shared" si="3"/>
        <v/>
      </c>
      <c r="W35" s="365" t="str">
        <f ca="1">平均!L30</f>
        <v/>
      </c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29" t="str">
        <f t="shared" si="1"/>
        <v/>
      </c>
      <c r="H36" s="365" t="str">
        <f ca="1">平均!E26</f>
        <v/>
      </c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29" t="str">
        <f t="shared" si="3"/>
        <v/>
      </c>
      <c r="W36" s="365" t="str">
        <f ca="1">平均!L31</f>
        <v/>
      </c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29" t="str">
        <f t="shared" si="1"/>
        <v/>
      </c>
      <c r="H37" s="365" t="str">
        <f ca="1">平均!E27</f>
        <v/>
      </c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29" t="str">
        <f t="shared" si="3"/>
        <v/>
      </c>
      <c r="W37" s="365" t="str">
        <f ca="1">平均!L32</f>
        <v/>
      </c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29" t="str">
        <f t="shared" si="1"/>
        <v/>
      </c>
      <c r="H38" s="365" t="str">
        <f ca="1">平均!E28</f>
        <v/>
      </c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29" t="str">
        <f t="shared" si="3"/>
        <v/>
      </c>
      <c r="W38" s="365" t="str">
        <f ca="1">平均!L33</f>
        <v/>
      </c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29" t="str">
        <f t="shared" si="1"/>
        <v/>
      </c>
      <c r="H39" s="365" t="str">
        <f ca="1">平均!E29</f>
        <v/>
      </c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29" t="str">
        <f t="shared" si="3"/>
        <v/>
      </c>
      <c r="W39" s="365" t="str">
        <f ca="1">平均!L34</f>
        <v/>
      </c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29" t="str">
        <f t="shared" si="1"/>
        <v/>
      </c>
      <c r="H40" s="365" t="str">
        <f ca="1">平均!E30</f>
        <v/>
      </c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29" t="str">
        <f t="shared" si="3"/>
        <v/>
      </c>
      <c r="W40" s="365" t="str">
        <f ca="1">平均!L35</f>
        <v/>
      </c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29" t="str">
        <f t="shared" si="1"/>
        <v/>
      </c>
      <c r="H41" s="365" t="str">
        <f ca="1">平均!E31</f>
        <v/>
      </c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29" t="str">
        <f t="shared" si="3"/>
        <v/>
      </c>
      <c r="W41" s="365" t="str">
        <f ca="1">平均!L36</f>
        <v/>
      </c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29" t="str">
        <f t="shared" si="1"/>
        <v/>
      </c>
      <c r="H42" s="365" t="str">
        <f ca="1">平均!E32</f>
        <v/>
      </c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29" t="str">
        <f t="shared" si="3"/>
        <v/>
      </c>
      <c r="W42" s="365" t="str">
        <f ca="1">平均!L37</f>
        <v/>
      </c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29" t="str">
        <f t="shared" si="1"/>
        <v/>
      </c>
      <c r="H43" s="365" t="str">
        <f ca="1">平均!E33</f>
        <v/>
      </c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29" t="str">
        <f t="shared" si="3"/>
        <v/>
      </c>
      <c r="W43" s="365" t="str">
        <f ca="1">平均!L38</f>
        <v/>
      </c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29" t="str">
        <f t="shared" si="1"/>
        <v/>
      </c>
      <c r="H44" s="365" t="str">
        <f ca="1">平均!E34</f>
        <v/>
      </c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29" t="str">
        <f t="shared" si="3"/>
        <v/>
      </c>
      <c r="W44" s="365" t="str">
        <f ca="1">平均!L39</f>
        <v/>
      </c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29" t="str">
        <f t="shared" si="1"/>
        <v/>
      </c>
      <c r="H45" s="365" t="str">
        <f ca="1">平均!E35</f>
        <v/>
      </c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29" t="str">
        <f t="shared" si="3"/>
        <v/>
      </c>
      <c r="W45" s="365" t="str">
        <f ca="1">平均!L40</f>
        <v/>
      </c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29" t="str">
        <f t="shared" si="1"/>
        <v/>
      </c>
      <c r="H46" s="365" t="str">
        <f ca="1">平均!E36</f>
        <v/>
      </c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29" t="str">
        <f t="shared" si="3"/>
        <v/>
      </c>
      <c r="W46" s="365" t="str">
        <f ca="1">平均!L41</f>
        <v/>
      </c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29" t="str">
        <f t="shared" si="1"/>
        <v/>
      </c>
      <c r="H47" s="365" t="str">
        <f ca="1">平均!E37</f>
        <v/>
      </c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29" t="str">
        <f t="shared" si="3"/>
        <v/>
      </c>
      <c r="W47" s="365" t="str">
        <f ca="1">平均!L42</f>
        <v/>
      </c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29" t="str">
        <f t="shared" si="1"/>
        <v/>
      </c>
      <c r="H48" s="365" t="str">
        <f ca="1">平均!E38</f>
        <v/>
      </c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29" t="str">
        <f t="shared" si="3"/>
        <v/>
      </c>
      <c r="W48" s="365" t="str">
        <f ca="1">平均!S13</f>
        <v/>
      </c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29" t="str">
        <f t="shared" si="1"/>
        <v/>
      </c>
      <c r="H49" s="365" t="str">
        <f ca="1">平均!E39</f>
        <v/>
      </c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29" t="str">
        <f t="shared" si="3"/>
        <v/>
      </c>
      <c r="W49" s="365" t="str">
        <f ca="1">平均!S14</f>
        <v/>
      </c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29" t="str">
        <f t="shared" si="1"/>
        <v/>
      </c>
      <c r="H50" s="365" t="str">
        <f ca="1">平均!E40</f>
        <v/>
      </c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29" t="str">
        <f t="shared" si="3"/>
        <v/>
      </c>
      <c r="W50" s="365" t="str">
        <f ca="1">平均!S15</f>
        <v/>
      </c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29" t="str">
        <f t="shared" si="1"/>
        <v/>
      </c>
      <c r="H51" s="365" t="str">
        <f ca="1">平均!E41</f>
        <v/>
      </c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29" t="str">
        <f t="shared" si="3"/>
        <v/>
      </c>
      <c r="W51" s="365" t="str">
        <f ca="1">平均!S16</f>
        <v/>
      </c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29" t="str">
        <f t="shared" si="1"/>
        <v/>
      </c>
      <c r="H52" s="365" t="str">
        <f ca="1">平均!E42</f>
        <v/>
      </c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29" t="str">
        <f t="shared" si="3"/>
        <v/>
      </c>
      <c r="W52" s="365" t="str">
        <f ca="1">平均!S17</f>
        <v/>
      </c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29" t="str">
        <f t="shared" si="1"/>
        <v/>
      </c>
      <c r="H53" s="419" t="str">
        <f ca="1">平均!L13</f>
        <v/>
      </c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29" t="str">
        <f t="shared" si="3"/>
        <v/>
      </c>
      <c r="W53" s="365" t="str">
        <f ca="1">平均!S18</f>
        <v/>
      </c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29" t="str">
        <f t="shared" si="1"/>
        <v/>
      </c>
      <c r="H54" s="365" t="str">
        <f ca="1">平均!L14</f>
        <v/>
      </c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29" t="str">
        <f t="shared" si="3"/>
        <v/>
      </c>
      <c r="W54" s="365" t="str">
        <f ca="1">平均!S19</f>
        <v/>
      </c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29" t="str">
        <f t="shared" si="1"/>
        <v/>
      </c>
      <c r="H55" s="365" t="str">
        <f ca="1">平均!L15</f>
        <v/>
      </c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29" t="str">
        <f t="shared" si="3"/>
        <v/>
      </c>
      <c r="W55" s="365" t="str">
        <f ca="1">平均!S20</f>
        <v/>
      </c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29" t="str">
        <f t="shared" si="1"/>
        <v/>
      </c>
      <c r="H56" s="365" t="str">
        <f ca="1">平均!L16</f>
        <v/>
      </c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29" t="str">
        <f t="shared" si="3"/>
        <v/>
      </c>
      <c r="W56" s="365" t="str">
        <f ca="1">平均!S21</f>
        <v/>
      </c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>IF(E57="","",checkAnswer(E57,C57))</f>
        <v/>
      </c>
      <c r="H57" s="391" t="str">
        <f ca="1">平均!L17</f>
        <v/>
      </c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 t="str">
        <f ca="1">平均!S22</f>
        <v/>
      </c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78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78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78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70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78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 t="shared" ref="C63:C65" si="4">getOwnAnswer(B63,$B$1)</f>
        <v/>
      </c>
      <c r="D63" s="401"/>
      <c r="E63" s="402" t="str">
        <f>IF(ISBLANK(解答設定!E90),"",解答設定!E90)</f>
        <v/>
      </c>
      <c r="F63" s="403"/>
      <c r="G63" s="132" t="str">
        <f>IF(E63="","",checkAnswer(E63,C63))</f>
        <v/>
      </c>
      <c r="H63" s="404" t="str">
        <f ca="1">平均!S23</f>
        <v/>
      </c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si="4"/>
        <v/>
      </c>
      <c r="D64" s="397"/>
      <c r="E64" s="398" t="str">
        <f>IF(ISBLANK(解答設定!E91),"",解答設定!E91)</f>
        <v/>
      </c>
      <c r="F64" s="399"/>
      <c r="G64" s="129" t="str">
        <f t="shared" ref="G64:G92" si="5">IF(E64="","",checkAnswer(E64,C64))</f>
        <v/>
      </c>
      <c r="H64" s="365" t="str">
        <f ca="1">平均!S24</f>
        <v/>
      </c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4"/>
        <v/>
      </c>
      <c r="D65" s="397"/>
      <c r="E65" s="398" t="str">
        <f>IF(ISBLANK(解答設定!E92),"",解答設定!E92)</f>
        <v/>
      </c>
      <c r="F65" s="399"/>
      <c r="G65" s="129" t="str">
        <f t="shared" si="5"/>
        <v/>
      </c>
      <c r="H65" s="365" t="str">
        <f ca="1">平均!S25</f>
        <v/>
      </c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ref="C66:C92" si="6">getOwnAnswer(B66,$B$1)</f>
        <v/>
      </c>
      <c r="D66" s="397"/>
      <c r="E66" s="398" t="str">
        <f>IF(ISBLANK(解答設定!E93),"",解答設定!E93)</f>
        <v/>
      </c>
      <c r="F66" s="399"/>
      <c r="G66" s="129" t="str">
        <f t="shared" si="5"/>
        <v/>
      </c>
      <c r="H66" s="365" t="str">
        <f ca="1">平均!S26</f>
        <v/>
      </c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6"/>
        <v/>
      </c>
      <c r="D67" s="397"/>
      <c r="E67" s="398" t="str">
        <f>IF(ISBLANK(解答設定!E94),"",解答設定!E94)</f>
        <v/>
      </c>
      <c r="F67" s="399"/>
      <c r="G67" s="129" t="str">
        <f t="shared" si="5"/>
        <v/>
      </c>
      <c r="H67" s="365" t="str">
        <f ca="1">平均!S27</f>
        <v/>
      </c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6"/>
        <v/>
      </c>
      <c r="D68" s="397"/>
      <c r="E68" s="398" t="str">
        <f>IF(ISBLANK(解答設定!E95),"",解答設定!E95)</f>
        <v/>
      </c>
      <c r="F68" s="399"/>
      <c r="G68" s="129" t="str">
        <f t="shared" si="5"/>
        <v/>
      </c>
      <c r="H68" s="365" t="str">
        <f ca="1">平均!S28</f>
        <v/>
      </c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6"/>
        <v/>
      </c>
      <c r="D69" s="397"/>
      <c r="E69" s="398" t="str">
        <f>IF(ISBLANK(解答設定!E96),"",解答設定!E96)</f>
        <v/>
      </c>
      <c r="F69" s="399"/>
      <c r="G69" s="129" t="str">
        <f t="shared" si="5"/>
        <v/>
      </c>
      <c r="H69" s="365" t="str">
        <f ca="1">平均!S29</f>
        <v/>
      </c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6"/>
        <v/>
      </c>
      <c r="D70" s="397"/>
      <c r="E70" s="398" t="str">
        <f>IF(ISBLANK(解答設定!E97),"",解答設定!E97)</f>
        <v/>
      </c>
      <c r="F70" s="399"/>
      <c r="G70" s="129" t="str">
        <f t="shared" si="5"/>
        <v/>
      </c>
      <c r="H70" s="365" t="str">
        <f ca="1">平均!S30</f>
        <v/>
      </c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6"/>
        <v/>
      </c>
      <c r="D71" s="397"/>
      <c r="E71" s="398" t="str">
        <f>IF(ISBLANK(解答設定!E98),"",解答設定!E98)</f>
        <v/>
      </c>
      <c r="F71" s="399"/>
      <c r="G71" s="129" t="str">
        <f t="shared" si="5"/>
        <v/>
      </c>
      <c r="H71" s="365" t="str">
        <f ca="1">平均!S31</f>
        <v/>
      </c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6"/>
        <v/>
      </c>
      <c r="D72" s="397"/>
      <c r="E72" s="398" t="str">
        <f>IF(ISBLANK(解答設定!E99),"",解答設定!E99)</f>
        <v/>
      </c>
      <c r="F72" s="399"/>
      <c r="G72" s="129" t="str">
        <f t="shared" si="5"/>
        <v/>
      </c>
      <c r="H72" s="365" t="str">
        <f ca="1">平均!S32</f>
        <v/>
      </c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6"/>
        <v/>
      </c>
      <c r="D73" s="397"/>
      <c r="E73" s="398" t="str">
        <f>IF(ISBLANK(解答設定!E100),"",解答設定!E100)</f>
        <v/>
      </c>
      <c r="F73" s="399"/>
      <c r="G73" s="129" t="str">
        <f t="shared" si="5"/>
        <v/>
      </c>
      <c r="H73" s="365" t="str">
        <f ca="1">平均!S33</f>
        <v/>
      </c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6"/>
        <v/>
      </c>
      <c r="D74" s="397"/>
      <c r="E74" s="398" t="str">
        <f>IF(ISBLANK(解答設定!E101),"",解答設定!E101)</f>
        <v/>
      </c>
      <c r="F74" s="399"/>
      <c r="G74" s="129" t="str">
        <f t="shared" si="5"/>
        <v/>
      </c>
      <c r="H74" s="365" t="str">
        <f ca="1">平均!S34</f>
        <v/>
      </c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6"/>
        <v/>
      </c>
      <c r="D75" s="397"/>
      <c r="E75" s="398" t="str">
        <f>IF(ISBLANK(解答設定!E102),"",解答設定!E102)</f>
        <v/>
      </c>
      <c r="F75" s="399"/>
      <c r="G75" s="129" t="str">
        <f t="shared" si="5"/>
        <v/>
      </c>
      <c r="H75" s="365" t="str">
        <f ca="1">平均!S35</f>
        <v/>
      </c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6"/>
        <v/>
      </c>
      <c r="D76" s="397"/>
      <c r="E76" s="398" t="str">
        <f>IF(ISBLANK(解答設定!E103),"",解答設定!E103)</f>
        <v/>
      </c>
      <c r="F76" s="399"/>
      <c r="G76" s="129" t="str">
        <f t="shared" si="5"/>
        <v/>
      </c>
      <c r="H76" s="365" t="str">
        <f ca="1">平均!S36</f>
        <v/>
      </c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6"/>
        <v/>
      </c>
      <c r="D77" s="397"/>
      <c r="E77" s="398" t="str">
        <f>IF(ISBLANK(解答設定!E104),"",解答設定!E104)</f>
        <v/>
      </c>
      <c r="F77" s="399"/>
      <c r="G77" s="129" t="str">
        <f t="shared" si="5"/>
        <v/>
      </c>
      <c r="H77" s="365" t="str">
        <f ca="1">平均!S37</f>
        <v/>
      </c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</row>
    <row r="78" spans="2:32" ht="16" customHeight="1">
      <c r="B78" s="70" t="str">
        <f>IF(ISBLANK(解答設定!B105),"",解答設定!B105)</f>
        <v/>
      </c>
      <c r="C78" s="372" t="str">
        <f t="shared" si="6"/>
        <v/>
      </c>
      <c r="D78" s="397"/>
      <c r="E78" s="398" t="str">
        <f>IF(ISBLANK(解答設定!E105),"",解答設定!E105)</f>
        <v/>
      </c>
      <c r="F78" s="399"/>
      <c r="G78" s="129" t="str">
        <f t="shared" si="5"/>
        <v/>
      </c>
      <c r="H78" s="365" t="str">
        <f ca="1">平均!S38</f>
        <v/>
      </c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</row>
    <row r="79" spans="2:32" ht="16" customHeight="1">
      <c r="B79" s="70" t="str">
        <f>IF(ISBLANK(解答設定!B106),"",解答設定!B106)</f>
        <v/>
      </c>
      <c r="C79" s="372" t="str">
        <f t="shared" si="6"/>
        <v/>
      </c>
      <c r="D79" s="397"/>
      <c r="E79" s="398" t="str">
        <f>IF(ISBLANK(解答設定!E106),"",解答設定!E106)</f>
        <v/>
      </c>
      <c r="F79" s="399"/>
      <c r="G79" s="129" t="str">
        <f t="shared" si="5"/>
        <v/>
      </c>
      <c r="H79" s="365" t="str">
        <f ca="1">平均!S39</f>
        <v/>
      </c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</row>
    <row r="80" spans="2:32" ht="16" customHeight="1">
      <c r="B80" s="70" t="str">
        <f>IF(ISBLANK(解答設定!B107),"",解答設定!B107)</f>
        <v/>
      </c>
      <c r="C80" s="372" t="str">
        <f t="shared" si="6"/>
        <v/>
      </c>
      <c r="D80" s="397"/>
      <c r="E80" s="398" t="str">
        <f>IF(ISBLANK(解答設定!E107),"",解答設定!E107)</f>
        <v/>
      </c>
      <c r="F80" s="399"/>
      <c r="G80" s="129" t="str">
        <f t="shared" si="5"/>
        <v/>
      </c>
      <c r="H80" s="365" t="str">
        <f ca="1">平均!S40</f>
        <v/>
      </c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</row>
    <row r="81" spans="2:16" ht="16" customHeight="1">
      <c r="B81" s="70" t="str">
        <f>IF(ISBLANK(解答設定!B108),"",解答設定!B108)</f>
        <v/>
      </c>
      <c r="C81" s="372" t="str">
        <f t="shared" si="6"/>
        <v/>
      </c>
      <c r="D81" s="397"/>
      <c r="E81" s="398" t="str">
        <f>IF(ISBLANK(解答設定!E108),"",解答設定!E108)</f>
        <v/>
      </c>
      <c r="F81" s="399"/>
      <c r="G81" s="129" t="str">
        <f t="shared" si="5"/>
        <v/>
      </c>
      <c r="H81" s="365" t="str">
        <f ca="1">平均!S41</f>
        <v/>
      </c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</row>
    <row r="82" spans="2:16" ht="16" customHeight="1">
      <c r="B82" s="70" t="str">
        <f>IF(ISBLANK(解答設定!B109),"",解答設定!B109)</f>
        <v/>
      </c>
      <c r="C82" s="372" t="str">
        <f t="shared" si="6"/>
        <v/>
      </c>
      <c r="D82" s="397"/>
      <c r="E82" s="398" t="str">
        <f>IF(ISBLANK(解答設定!E109),"",解答設定!E109)</f>
        <v/>
      </c>
      <c r="F82" s="399"/>
      <c r="G82" s="129" t="str">
        <f t="shared" si="5"/>
        <v/>
      </c>
      <c r="H82" s="365" t="str">
        <f ca="1">平均!S42</f>
        <v/>
      </c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</row>
    <row r="83" spans="2:16" ht="16" customHeight="1">
      <c r="B83" s="70" t="str">
        <f>IF(ISBLANK(解答設定!B110),"",解答設定!B110)</f>
        <v/>
      </c>
      <c r="C83" s="372" t="str">
        <f t="shared" si="6"/>
        <v/>
      </c>
      <c r="D83" s="397"/>
      <c r="E83" s="398" t="str">
        <f>IF(ISBLANK(解答設定!E110),"",解答設定!E110)</f>
        <v/>
      </c>
      <c r="F83" s="399"/>
      <c r="G83" s="129" t="str">
        <f t="shared" si="5"/>
        <v/>
      </c>
      <c r="H83" s="365" t="str">
        <f ca="1">平均!Z13</f>
        <v/>
      </c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</row>
    <row r="84" spans="2:16" ht="16" customHeight="1">
      <c r="B84" s="70" t="str">
        <f>IF(ISBLANK(解答設定!B111),"",解答設定!B111)</f>
        <v/>
      </c>
      <c r="C84" s="372" t="str">
        <f t="shared" si="6"/>
        <v/>
      </c>
      <c r="D84" s="397"/>
      <c r="E84" s="398" t="str">
        <f>IF(ISBLANK(解答設定!E111),"",解答設定!E111)</f>
        <v/>
      </c>
      <c r="F84" s="399"/>
      <c r="G84" s="129" t="str">
        <f t="shared" si="5"/>
        <v/>
      </c>
      <c r="H84" s="365" t="str">
        <f ca="1">平均!Z14</f>
        <v/>
      </c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</row>
    <row r="85" spans="2:16" ht="16" customHeight="1">
      <c r="B85" s="70" t="str">
        <f>IF(ISBLANK(解答設定!B112),"",解答設定!B112)</f>
        <v/>
      </c>
      <c r="C85" s="372" t="str">
        <f t="shared" si="6"/>
        <v/>
      </c>
      <c r="D85" s="397"/>
      <c r="E85" s="398" t="str">
        <f>IF(ISBLANK(解答設定!E112),"",解答設定!E112)</f>
        <v/>
      </c>
      <c r="F85" s="399"/>
      <c r="G85" s="129" t="str">
        <f t="shared" si="5"/>
        <v/>
      </c>
      <c r="H85" s="365" t="str">
        <f ca="1">平均!Z15</f>
        <v/>
      </c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</row>
    <row r="86" spans="2:16" ht="16" customHeight="1">
      <c r="B86" s="70" t="str">
        <f>IF(ISBLANK(解答設定!B113),"",解答設定!B113)</f>
        <v/>
      </c>
      <c r="C86" s="372" t="str">
        <f t="shared" si="6"/>
        <v/>
      </c>
      <c r="D86" s="397"/>
      <c r="E86" s="398" t="str">
        <f>IF(ISBLANK(解答設定!E113),"",解答設定!E113)</f>
        <v/>
      </c>
      <c r="F86" s="399"/>
      <c r="G86" s="129" t="str">
        <f t="shared" si="5"/>
        <v/>
      </c>
      <c r="H86" s="365" t="str">
        <f ca="1">平均!Z16</f>
        <v/>
      </c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</row>
    <row r="87" spans="2:16" ht="16" customHeight="1">
      <c r="B87" s="70" t="str">
        <f>IF(ISBLANK(解答設定!B114),"",解答設定!B114)</f>
        <v/>
      </c>
      <c r="C87" s="372" t="str">
        <f t="shared" si="6"/>
        <v/>
      </c>
      <c r="D87" s="397"/>
      <c r="E87" s="398" t="str">
        <f>IF(ISBLANK(解答設定!E114),"",解答設定!E114)</f>
        <v/>
      </c>
      <c r="F87" s="399"/>
      <c r="G87" s="129" t="str">
        <f t="shared" si="5"/>
        <v/>
      </c>
      <c r="H87" s="365" t="str">
        <f ca="1">平均!Z17</f>
        <v/>
      </c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</row>
    <row r="88" spans="2:16" ht="16" customHeight="1">
      <c r="B88" s="70" t="str">
        <f>IF(ISBLANK(解答設定!B115),"",解答設定!B115)</f>
        <v/>
      </c>
      <c r="C88" s="372" t="str">
        <f t="shared" si="6"/>
        <v/>
      </c>
      <c r="D88" s="397"/>
      <c r="E88" s="398" t="str">
        <f>IF(ISBLANK(解答設定!E115),"",解答設定!E115)</f>
        <v/>
      </c>
      <c r="F88" s="399"/>
      <c r="G88" s="129" t="str">
        <f t="shared" si="5"/>
        <v/>
      </c>
      <c r="H88" s="365" t="str">
        <f ca="1">平均!Z18</f>
        <v/>
      </c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</row>
    <row r="89" spans="2:16" ht="16" customHeight="1">
      <c r="B89" s="70" t="str">
        <f>IF(ISBLANK(解答設定!B116),"",解答設定!B116)</f>
        <v/>
      </c>
      <c r="C89" s="372" t="str">
        <f t="shared" si="6"/>
        <v/>
      </c>
      <c r="D89" s="397"/>
      <c r="E89" s="398" t="str">
        <f>IF(ISBLANK(解答設定!E116),"",解答設定!E116)</f>
        <v/>
      </c>
      <c r="F89" s="399"/>
      <c r="G89" s="129" t="str">
        <f t="shared" si="5"/>
        <v/>
      </c>
      <c r="H89" s="365" t="str">
        <f ca="1">平均!Z19</f>
        <v/>
      </c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</row>
    <row r="90" spans="2:16" ht="16" customHeight="1">
      <c r="B90" s="70" t="str">
        <f>IF(ISBLANK(解答設定!B117),"",解答設定!B117)</f>
        <v/>
      </c>
      <c r="C90" s="372" t="str">
        <f t="shared" si="6"/>
        <v/>
      </c>
      <c r="D90" s="397"/>
      <c r="E90" s="398" t="str">
        <f>IF(ISBLANK(解答設定!E117),"",解答設定!E117)</f>
        <v/>
      </c>
      <c r="F90" s="399"/>
      <c r="G90" s="129" t="str">
        <f t="shared" si="5"/>
        <v/>
      </c>
      <c r="H90" s="365" t="str">
        <f ca="1">平均!Z20</f>
        <v/>
      </c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</row>
    <row r="91" spans="2:16" ht="16" customHeight="1">
      <c r="B91" s="70" t="str">
        <f>IF(ISBLANK(解答設定!B118),"",解答設定!B118)</f>
        <v/>
      </c>
      <c r="C91" s="372" t="str">
        <f t="shared" si="6"/>
        <v/>
      </c>
      <c r="D91" s="397"/>
      <c r="E91" s="398" t="str">
        <f>IF(ISBLANK(解答設定!E118),"",解答設定!E118)</f>
        <v/>
      </c>
      <c r="F91" s="399"/>
      <c r="G91" s="129" t="str">
        <f t="shared" si="5"/>
        <v/>
      </c>
      <c r="H91" s="365" t="str">
        <f ca="1">平均!Z21</f>
        <v/>
      </c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</row>
    <row r="92" spans="2:16" ht="16" customHeight="1" thickBot="1">
      <c r="B92" s="71" t="str">
        <f>IF(ISBLANK(解答設定!B119),"",解答設定!B119)</f>
        <v/>
      </c>
      <c r="C92" s="387" t="str">
        <f t="shared" si="6"/>
        <v/>
      </c>
      <c r="D92" s="388"/>
      <c r="E92" s="389" t="str">
        <f>IF(ISBLANK(解答設定!E119),"",解答設定!E119)</f>
        <v/>
      </c>
      <c r="F92" s="390"/>
      <c r="G92" s="131" t="str">
        <f t="shared" si="5"/>
        <v/>
      </c>
      <c r="H92" s="391" t="str">
        <f ca="1">平均!Z22</f>
        <v/>
      </c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B11" sqref="B11:D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66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74"/>
      <c r="AI3" s="474"/>
      <c r="AJ3" s="474"/>
      <c r="AK3" s="474"/>
      <c r="AL3" s="474"/>
      <c r="AM3" s="474"/>
      <c r="AN3" s="474"/>
      <c r="AO3" s="474"/>
      <c r="AP3" s="474"/>
      <c r="AQ3" s="474"/>
    </row>
    <row r="4" spans="1:52" ht="7" customHeight="1">
      <c r="B4" s="427" t="str">
        <f>生徒個票!$B$4</f>
        <v>○期　○学年　○学期　○○試験　採点結果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474"/>
      <c r="AI4" s="474"/>
      <c r="AJ4" s="474"/>
      <c r="AK4" s="474"/>
      <c r="AL4" s="474"/>
      <c r="AM4" s="474"/>
      <c r="AN4" s="474"/>
      <c r="AO4" s="474"/>
      <c r="AP4" s="474"/>
      <c r="AQ4" s="474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474"/>
      <c r="AI5" s="474"/>
      <c r="AJ5" s="474"/>
      <c r="AK5" s="474"/>
      <c r="AL5" s="474"/>
      <c r="AM5" s="474"/>
      <c r="AN5" s="474"/>
      <c r="AO5" s="474"/>
      <c r="AP5" s="474"/>
      <c r="AQ5" s="474"/>
    </row>
    <row r="6" spans="1:52" ht="5" customHeight="1">
      <c r="AH6" s="474"/>
      <c r="AI6" s="474"/>
      <c r="AJ6" s="474"/>
      <c r="AK6" s="474"/>
      <c r="AL6" s="474"/>
      <c r="AM6" s="474"/>
      <c r="AN6" s="474"/>
      <c r="AO6" s="474"/>
      <c r="AP6" s="474"/>
      <c r="AQ6" s="474"/>
    </row>
    <row r="7" spans="1:52" ht="7" customHeight="1">
      <c r="B7" s="379"/>
      <c r="C7" s="379"/>
      <c r="D7" s="379"/>
      <c r="E7" s="357" t="s">
        <v>25</v>
      </c>
      <c r="F7" s="357"/>
      <c r="G7" s="379"/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">
        <v>72</v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473"/>
      <c r="AI7" s="473"/>
      <c r="AJ7" s="473"/>
      <c r="AK7" s="474"/>
      <c r="AL7" s="474"/>
      <c r="AM7" s="473"/>
      <c r="AN7" s="473"/>
      <c r="AO7" s="473"/>
      <c r="AP7" s="474"/>
      <c r="AQ7" s="474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473"/>
      <c r="AI8" s="473"/>
      <c r="AJ8" s="473"/>
      <c r="AK8" s="474"/>
      <c r="AL8" s="474"/>
      <c r="AM8" s="473"/>
      <c r="AN8" s="473"/>
      <c r="AO8" s="473"/>
      <c r="AP8" s="474"/>
      <c r="AQ8" s="474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473"/>
      <c r="AI9" s="473"/>
      <c r="AJ9" s="473"/>
      <c r="AK9" s="474"/>
      <c r="AL9" s="474"/>
      <c r="AM9" s="473"/>
      <c r="AN9" s="473"/>
      <c r="AO9" s="473"/>
      <c r="AP9" s="474"/>
      <c r="AQ9" s="474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5"/>
      <c r="AL10" s="385"/>
      <c r="AM10" s="385"/>
      <c r="AN10" s="385"/>
      <c r="AO10" s="64"/>
      <c r="AP10" s="64"/>
      <c r="AQ10" s="64"/>
    </row>
    <row r="11" spans="1:52" ht="9" customHeight="1">
      <c r="B11" s="429" t="str">
        <f>IF(ISBLANK(初期設定!C38),"",初期設定!C38)</f>
        <v/>
      </c>
      <c r="C11" s="429"/>
      <c r="D11" s="429"/>
      <c r="E11" s="471" t="s">
        <v>32</v>
      </c>
      <c r="F11" s="357">
        <f ca="1">SUMIF(J23:P57,"*"&amp;初期設定!C38&amp;"*",O23:P57)+SUMIF(Y23:AE57,"*"&amp;初期設定!C38&amp;"*",AD23:AE57)+SUMIF(J63:P92,"*"&amp;初期設定!C38&amp;"*",O63:P92)</f>
        <v>0</v>
      </c>
      <c r="G11" s="357"/>
      <c r="H11" s="451" t="s">
        <v>48</v>
      </c>
      <c r="I11" s="357"/>
      <c r="J11" s="380"/>
      <c r="K11" s="64"/>
      <c r="L11" s="429" t="str">
        <f>IF(ISBLANK(初期設定!K38),"",初期設定!K38)</f>
        <v/>
      </c>
      <c r="M11" s="429"/>
      <c r="N11" s="429"/>
      <c r="O11" s="469" t="s">
        <v>32</v>
      </c>
      <c r="P11" s="380">
        <f ca="1">SUMIF(J23:P57,"*"&amp;初期設定!K38&amp;"*",O23:P57)+SUMIF(Y23:AE57,"*"&amp;初期設定!K38&amp;"*",AD23:AE57)+SUMIF(J63:P92,"*"&amp;初期設定!K38&amp;"*",O63:P92)</f>
        <v>0</v>
      </c>
      <c r="Q11" s="380"/>
      <c r="R11" s="450" t="s">
        <v>48</v>
      </c>
      <c r="S11" s="380"/>
      <c r="T11" s="380"/>
      <c r="U11" s="64"/>
      <c r="V11" s="380" t="s">
        <v>24</v>
      </c>
      <c r="W11" s="380"/>
      <c r="X11" s="380"/>
      <c r="Y11" s="432">
        <f ca="1">SUM(F11,P11)</f>
        <v>0</v>
      </c>
      <c r="Z11" s="433"/>
      <c r="AA11" s="433"/>
      <c r="AB11" s="433"/>
      <c r="AC11" s="433"/>
      <c r="AD11" s="430" t="s">
        <v>29</v>
      </c>
      <c r="AE11" s="64"/>
      <c r="AH11" s="64"/>
      <c r="AI11" s="64"/>
      <c r="AJ11" s="64"/>
      <c r="AK11" s="385"/>
      <c r="AL11" s="385"/>
      <c r="AM11" s="385"/>
      <c r="AN11" s="385"/>
      <c r="AO11" s="64"/>
      <c r="AP11" s="64"/>
      <c r="AQ11" s="64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64"/>
      <c r="AI12" s="64"/>
      <c r="AJ12" s="64"/>
      <c r="AK12" s="385"/>
      <c r="AL12" s="385"/>
      <c r="AM12" s="385"/>
      <c r="AN12" s="385"/>
      <c r="AO12" s="64"/>
      <c r="AP12" s="64"/>
      <c r="AQ12" s="64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473"/>
      <c r="AI13" s="473"/>
      <c r="AJ13" s="473"/>
      <c r="AK13" s="474"/>
      <c r="AL13" s="474"/>
      <c r="AM13" s="473"/>
      <c r="AN13" s="473"/>
      <c r="AO13" s="473"/>
      <c r="AP13" s="474"/>
      <c r="AQ13" s="474"/>
      <c r="AR13" s="4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61</v>
      </c>
      <c r="C14" s="357"/>
      <c r="D14" s="428"/>
      <c r="E14" s="438"/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/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/>
      <c r="Z14" s="433"/>
      <c r="AA14" s="433"/>
      <c r="AB14" s="433"/>
      <c r="AC14" s="433"/>
      <c r="AD14" s="430" t="s">
        <v>67</v>
      </c>
      <c r="AE14" s="64"/>
      <c r="AH14" s="473"/>
      <c r="AI14" s="473"/>
      <c r="AJ14" s="473"/>
      <c r="AK14" s="474"/>
      <c r="AL14" s="474"/>
      <c r="AM14" s="473"/>
      <c r="AN14" s="473"/>
      <c r="AO14" s="473"/>
      <c r="AP14" s="474"/>
      <c r="AQ14" s="474"/>
      <c r="AR14" s="4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473"/>
      <c r="AI15" s="473"/>
      <c r="AJ15" s="473"/>
      <c r="AK15" s="474"/>
      <c r="AL15" s="474"/>
      <c r="AM15" s="473"/>
      <c r="AN15" s="473"/>
      <c r="AO15" s="473"/>
      <c r="AP15" s="474"/>
      <c r="AQ15" s="474"/>
      <c r="AR15" s="4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E23</f>
        <v/>
      </c>
      <c r="D23" s="423"/>
      <c r="E23" s="370" t="str">
        <f>IF(ISBLANK(解答設定!E20),"",解答設定!E20)</f>
        <v/>
      </c>
      <c r="F23" s="370"/>
      <c r="G23" s="130" t="str">
        <f>IF(C23="","",IF(C23=E23,"o","x"))</f>
        <v/>
      </c>
      <c r="H23" s="371"/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T23</f>
        <v/>
      </c>
      <c r="S23" s="423"/>
      <c r="T23" s="370" t="str">
        <f>IF(ISBLANK(解答設定!E55),"",解答設定!E55)</f>
        <v/>
      </c>
      <c r="U23" s="370"/>
      <c r="V23" s="130" t="str">
        <f>IF(R23="","",IF(R23=T23,"o","x"))</f>
        <v/>
      </c>
      <c r="W23" s="371"/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E24</f>
        <v/>
      </c>
      <c r="D24" s="397"/>
      <c r="E24" s="398" t="str">
        <f>IF(ISBLANK(解答設定!E21),"",解答設定!E21)</f>
        <v/>
      </c>
      <c r="F24" s="399"/>
      <c r="G24" s="133" t="str">
        <f t="shared" ref="G24:G57" si="1">IF(C24="","",IF(C24=E24,"o","x"))</f>
        <v/>
      </c>
      <c r="H24" s="365"/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T24</f>
        <v/>
      </c>
      <c r="S24" s="397"/>
      <c r="T24" s="398" t="str">
        <f>IF(ISBLANK(解答設定!E56),"",解答設定!E56)</f>
        <v/>
      </c>
      <c r="U24" s="399"/>
      <c r="V24" s="133" t="str">
        <f t="shared" ref="V24:V57" si="3">IF(R24="","",IF(R24=T24,"o","x"))</f>
        <v/>
      </c>
      <c r="W24" s="365"/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33" t="str">
        <f t="shared" si="1"/>
        <v/>
      </c>
      <c r="H25" s="365"/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33" t="str">
        <f t="shared" si="3"/>
        <v/>
      </c>
      <c r="W25" s="365"/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33" t="str">
        <f t="shared" si="1"/>
        <v/>
      </c>
      <c r="H26" s="365"/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33" t="str">
        <f t="shared" si="3"/>
        <v/>
      </c>
      <c r="W26" s="365"/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33" t="str">
        <f t="shared" si="1"/>
        <v/>
      </c>
      <c r="H27" s="365"/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33" t="str">
        <f t="shared" si="3"/>
        <v/>
      </c>
      <c r="W27" s="365"/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33" t="str">
        <f t="shared" si="1"/>
        <v/>
      </c>
      <c r="H28" s="365"/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33" t="str">
        <f t="shared" si="3"/>
        <v/>
      </c>
      <c r="W28" s="365"/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33" t="str">
        <f t="shared" si="1"/>
        <v/>
      </c>
      <c r="H29" s="365"/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33" t="str">
        <f t="shared" si="3"/>
        <v/>
      </c>
      <c r="W29" s="365"/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33" t="str">
        <f t="shared" si="1"/>
        <v/>
      </c>
      <c r="H30" s="365"/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33" t="str">
        <f t="shared" si="3"/>
        <v/>
      </c>
      <c r="W30" s="365"/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33" t="str">
        <f t="shared" si="1"/>
        <v/>
      </c>
      <c r="H31" s="365"/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33" t="str">
        <f t="shared" si="3"/>
        <v/>
      </c>
      <c r="W31" s="365"/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33" t="str">
        <f t="shared" si="1"/>
        <v/>
      </c>
      <c r="H32" s="365"/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33" t="str">
        <f t="shared" si="3"/>
        <v/>
      </c>
      <c r="W32" s="365"/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33" t="str">
        <f t="shared" si="1"/>
        <v/>
      </c>
      <c r="H33" s="365"/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33" t="str">
        <f t="shared" si="3"/>
        <v/>
      </c>
      <c r="W33" s="365"/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33" t="str">
        <f t="shared" si="1"/>
        <v/>
      </c>
      <c r="H34" s="365"/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33" t="str">
        <f t="shared" si="3"/>
        <v/>
      </c>
      <c r="W34" s="365"/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33" t="str">
        <f t="shared" si="1"/>
        <v/>
      </c>
      <c r="H35" s="365"/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33" t="str">
        <f t="shared" si="3"/>
        <v/>
      </c>
      <c r="W35" s="365"/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33" t="str">
        <f t="shared" si="1"/>
        <v/>
      </c>
      <c r="H36" s="365"/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33" t="str">
        <f t="shared" si="3"/>
        <v/>
      </c>
      <c r="W36" s="365"/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33" t="str">
        <f t="shared" si="1"/>
        <v/>
      </c>
      <c r="H37" s="365"/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33" t="str">
        <f t="shared" si="3"/>
        <v/>
      </c>
      <c r="W37" s="365"/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33" t="str">
        <f t="shared" si="1"/>
        <v/>
      </c>
      <c r="H38" s="365"/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33" t="str">
        <f t="shared" si="3"/>
        <v/>
      </c>
      <c r="W38" s="365"/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33" t="str">
        <f t="shared" si="1"/>
        <v/>
      </c>
      <c r="H39" s="365"/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33" t="str">
        <f t="shared" si="3"/>
        <v/>
      </c>
      <c r="W39" s="365"/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33" t="str">
        <f t="shared" si="1"/>
        <v/>
      </c>
      <c r="H40" s="365"/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33" t="str">
        <f t="shared" si="3"/>
        <v/>
      </c>
      <c r="W40" s="365"/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33" t="str">
        <f t="shared" si="1"/>
        <v/>
      </c>
      <c r="H41" s="365"/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33" t="str">
        <f t="shared" si="3"/>
        <v/>
      </c>
      <c r="W41" s="365"/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33" t="str">
        <f t="shared" si="1"/>
        <v/>
      </c>
      <c r="H42" s="365"/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33" t="str">
        <f t="shared" si="3"/>
        <v/>
      </c>
      <c r="W42" s="365"/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33" t="str">
        <f t="shared" si="1"/>
        <v/>
      </c>
      <c r="H43" s="365"/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33" t="str">
        <f t="shared" si="3"/>
        <v/>
      </c>
      <c r="W43" s="365"/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33" t="str">
        <f t="shared" si="1"/>
        <v/>
      </c>
      <c r="H44" s="365"/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33" t="str">
        <f t="shared" si="3"/>
        <v/>
      </c>
      <c r="W44" s="365"/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33" t="str">
        <f t="shared" si="1"/>
        <v/>
      </c>
      <c r="H45" s="365"/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33" t="str">
        <f t="shared" si="3"/>
        <v/>
      </c>
      <c r="W45" s="365"/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33" t="str">
        <f t="shared" si="1"/>
        <v/>
      </c>
      <c r="H46" s="365"/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33" t="str">
        <f t="shared" si="3"/>
        <v/>
      </c>
      <c r="W46" s="365"/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33" t="str">
        <f t="shared" si="1"/>
        <v/>
      </c>
      <c r="H47" s="365"/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33" t="str">
        <f t="shared" si="3"/>
        <v/>
      </c>
      <c r="W47" s="365"/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33" t="str">
        <f t="shared" si="1"/>
        <v/>
      </c>
      <c r="H48" s="365"/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33" t="str">
        <f t="shared" si="3"/>
        <v/>
      </c>
      <c r="W48" s="365"/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33" t="str">
        <f t="shared" si="1"/>
        <v/>
      </c>
      <c r="H49" s="365"/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33" t="str">
        <f t="shared" si="3"/>
        <v/>
      </c>
      <c r="W49" s="365"/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33" t="str">
        <f t="shared" si="1"/>
        <v/>
      </c>
      <c r="H50" s="365"/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33" t="str">
        <f t="shared" si="3"/>
        <v/>
      </c>
      <c r="W50" s="365"/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33" t="str">
        <f t="shared" si="1"/>
        <v/>
      </c>
      <c r="H51" s="365"/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33" t="str">
        <f t="shared" si="3"/>
        <v/>
      </c>
      <c r="W51" s="365"/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33" t="str">
        <f t="shared" si="1"/>
        <v/>
      </c>
      <c r="H52" s="365"/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33" t="str">
        <f t="shared" si="3"/>
        <v/>
      </c>
      <c r="W52" s="365"/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33" t="str">
        <f t="shared" si="1"/>
        <v/>
      </c>
      <c r="H53" s="419"/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33" t="str">
        <f t="shared" si="3"/>
        <v/>
      </c>
      <c r="W53" s="365"/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33" t="str">
        <f t="shared" si="1"/>
        <v/>
      </c>
      <c r="H54" s="365"/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33" t="str">
        <f t="shared" si="3"/>
        <v/>
      </c>
      <c r="W54" s="365"/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33" t="str">
        <f t="shared" si="1"/>
        <v/>
      </c>
      <c r="H55" s="365"/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33" t="str">
        <f t="shared" si="3"/>
        <v/>
      </c>
      <c r="W55" s="365"/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33" t="str">
        <f t="shared" si="1"/>
        <v/>
      </c>
      <c r="H56" s="365"/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33" t="str">
        <f t="shared" si="3"/>
        <v/>
      </c>
      <c r="W56" s="365"/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 t="shared" si="1"/>
        <v/>
      </c>
      <c r="H57" s="391"/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/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134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134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134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70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134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>E63</f>
        <v/>
      </c>
      <c r="D63" s="401"/>
      <c r="E63" s="402" t="str">
        <f>IF(ISBLANK(解答設定!E90),"",解答設定!E90)</f>
        <v/>
      </c>
      <c r="F63" s="403"/>
      <c r="G63" s="132" t="str">
        <f t="shared" ref="G63:G91" si="4">IF(C63="","",IF(C63=E63,"o","x"))</f>
        <v/>
      </c>
      <c r="H63" s="404"/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ref="C64:C92" si="5">E64</f>
        <v/>
      </c>
      <c r="D64" s="397"/>
      <c r="E64" s="398" t="str">
        <f>IF(ISBLANK(解答設定!E91),"",解答設定!E91)</f>
        <v/>
      </c>
      <c r="F64" s="399"/>
      <c r="G64" s="133" t="str">
        <f t="shared" si="4"/>
        <v/>
      </c>
      <c r="H64" s="365"/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5"/>
        <v/>
      </c>
      <c r="D65" s="397"/>
      <c r="E65" s="398" t="str">
        <f>IF(ISBLANK(解答設定!E92),"",解答設定!E92)</f>
        <v/>
      </c>
      <c r="F65" s="399"/>
      <c r="G65" s="133" t="str">
        <f t="shared" si="4"/>
        <v/>
      </c>
      <c r="H65" s="365"/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si="5"/>
        <v/>
      </c>
      <c r="D66" s="397"/>
      <c r="E66" s="398" t="str">
        <f>IF(ISBLANK(解答設定!E93),"",解答設定!E93)</f>
        <v/>
      </c>
      <c r="F66" s="399"/>
      <c r="G66" s="133" t="str">
        <f t="shared" si="4"/>
        <v/>
      </c>
      <c r="H66" s="365"/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5"/>
        <v/>
      </c>
      <c r="D67" s="397"/>
      <c r="E67" s="398" t="str">
        <f>IF(ISBLANK(解答設定!E94),"",解答設定!E94)</f>
        <v/>
      </c>
      <c r="F67" s="399"/>
      <c r="G67" s="133" t="str">
        <f t="shared" si="4"/>
        <v/>
      </c>
      <c r="H67" s="365"/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5"/>
        <v/>
      </c>
      <c r="D68" s="397"/>
      <c r="E68" s="398" t="str">
        <f>IF(ISBLANK(解答設定!E95),"",解答設定!E95)</f>
        <v/>
      </c>
      <c r="F68" s="399"/>
      <c r="G68" s="133" t="str">
        <f t="shared" si="4"/>
        <v/>
      </c>
      <c r="H68" s="365"/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5"/>
        <v/>
      </c>
      <c r="D69" s="397"/>
      <c r="E69" s="398" t="str">
        <f>IF(ISBLANK(解答設定!E96),"",解答設定!E96)</f>
        <v/>
      </c>
      <c r="F69" s="399"/>
      <c r="G69" s="133" t="str">
        <f t="shared" si="4"/>
        <v/>
      </c>
      <c r="H69" s="365"/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5"/>
        <v/>
      </c>
      <c r="D70" s="397"/>
      <c r="E70" s="398" t="str">
        <f>IF(ISBLANK(解答設定!E97),"",解答設定!E97)</f>
        <v/>
      </c>
      <c r="F70" s="399"/>
      <c r="G70" s="133" t="str">
        <f t="shared" si="4"/>
        <v/>
      </c>
      <c r="H70" s="365"/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5"/>
        <v/>
      </c>
      <c r="D71" s="397"/>
      <c r="E71" s="398" t="str">
        <f>IF(ISBLANK(解答設定!E98),"",解答設定!E98)</f>
        <v/>
      </c>
      <c r="F71" s="399"/>
      <c r="G71" s="133" t="str">
        <f t="shared" si="4"/>
        <v/>
      </c>
      <c r="H71" s="365"/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5"/>
        <v/>
      </c>
      <c r="D72" s="397"/>
      <c r="E72" s="398" t="str">
        <f>IF(ISBLANK(解答設定!E99),"",解答設定!E99)</f>
        <v/>
      </c>
      <c r="F72" s="399"/>
      <c r="G72" s="133" t="str">
        <f t="shared" si="4"/>
        <v/>
      </c>
      <c r="H72" s="365"/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5"/>
        <v/>
      </c>
      <c r="D73" s="397"/>
      <c r="E73" s="398" t="str">
        <f>IF(ISBLANK(解答設定!E100),"",解答設定!E100)</f>
        <v/>
      </c>
      <c r="F73" s="399"/>
      <c r="G73" s="133" t="str">
        <f t="shared" si="4"/>
        <v/>
      </c>
      <c r="H73" s="365"/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5"/>
        <v/>
      </c>
      <c r="D74" s="397"/>
      <c r="E74" s="398" t="str">
        <f>IF(ISBLANK(解答設定!E101),"",解答設定!E101)</f>
        <v/>
      </c>
      <c r="F74" s="399"/>
      <c r="G74" s="133" t="str">
        <f t="shared" si="4"/>
        <v/>
      </c>
      <c r="H74" s="365"/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5"/>
        <v/>
      </c>
      <c r="D75" s="397"/>
      <c r="E75" s="398" t="str">
        <f>IF(ISBLANK(解答設定!E102),"",解答設定!E102)</f>
        <v/>
      </c>
      <c r="F75" s="399"/>
      <c r="G75" s="133" t="str">
        <f t="shared" si="4"/>
        <v/>
      </c>
      <c r="H75" s="365"/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5"/>
        <v/>
      </c>
      <c r="D76" s="397"/>
      <c r="E76" s="398" t="str">
        <f>IF(ISBLANK(解答設定!E103),"",解答設定!E103)</f>
        <v/>
      </c>
      <c r="F76" s="399"/>
      <c r="G76" s="133" t="str">
        <f t="shared" si="4"/>
        <v/>
      </c>
      <c r="H76" s="365"/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5"/>
        <v/>
      </c>
      <c r="D77" s="397"/>
      <c r="E77" s="398" t="str">
        <f>IF(ISBLANK(解答設定!E104),"",解答設定!E104)</f>
        <v/>
      </c>
      <c r="F77" s="399"/>
      <c r="G77" s="133" t="str">
        <f t="shared" si="4"/>
        <v/>
      </c>
      <c r="H77" s="365"/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  <c r="Q77" s="79"/>
      <c r="R77" s="364"/>
      <c r="S77" s="364"/>
      <c r="T77" s="364"/>
      <c r="U77" s="364"/>
      <c r="V77" s="68"/>
      <c r="W77" s="362"/>
      <c r="X77" s="362"/>
      <c r="Y77" s="363"/>
      <c r="Z77" s="363"/>
      <c r="AA77" s="363"/>
      <c r="AB77" s="363"/>
      <c r="AC77" s="363"/>
      <c r="AD77" s="364"/>
      <c r="AE77" s="364"/>
      <c r="AF77" s="83"/>
    </row>
    <row r="78" spans="2:32" ht="16" customHeight="1">
      <c r="B78" s="70" t="str">
        <f>IF(ISBLANK(解答設定!B105),"",解答設定!B105)</f>
        <v/>
      </c>
      <c r="C78" s="372" t="str">
        <f t="shared" si="5"/>
        <v/>
      </c>
      <c r="D78" s="397"/>
      <c r="E78" s="398" t="str">
        <f>IF(ISBLANK(解答設定!E105),"",解答設定!E105)</f>
        <v/>
      </c>
      <c r="F78" s="399"/>
      <c r="G78" s="133" t="str">
        <f t="shared" si="4"/>
        <v/>
      </c>
      <c r="H78" s="365"/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  <c r="Q78" s="79"/>
      <c r="R78" s="364"/>
      <c r="S78" s="364"/>
      <c r="T78" s="364"/>
      <c r="U78" s="364"/>
      <c r="V78" s="68"/>
      <c r="W78" s="362"/>
      <c r="X78" s="362"/>
      <c r="Y78" s="363"/>
      <c r="Z78" s="363"/>
      <c r="AA78" s="363"/>
      <c r="AB78" s="363"/>
      <c r="AC78" s="363"/>
      <c r="AD78" s="364"/>
      <c r="AE78" s="364"/>
      <c r="AF78" s="83"/>
    </row>
    <row r="79" spans="2:32" ht="16" customHeight="1">
      <c r="B79" s="70" t="str">
        <f>IF(ISBLANK(解答設定!B106),"",解答設定!B106)</f>
        <v/>
      </c>
      <c r="C79" s="372" t="str">
        <f t="shared" si="5"/>
        <v/>
      </c>
      <c r="D79" s="397"/>
      <c r="E79" s="398" t="str">
        <f>IF(ISBLANK(解答設定!E106),"",解答設定!E106)</f>
        <v/>
      </c>
      <c r="F79" s="399"/>
      <c r="G79" s="133" t="str">
        <f t="shared" si="4"/>
        <v/>
      </c>
      <c r="H79" s="365"/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  <c r="Q79" s="79"/>
      <c r="R79" s="364"/>
      <c r="S79" s="364"/>
      <c r="T79" s="364"/>
      <c r="U79" s="364"/>
      <c r="V79" s="68"/>
      <c r="W79" s="362"/>
      <c r="X79" s="362"/>
      <c r="Y79" s="363"/>
      <c r="Z79" s="363"/>
      <c r="AA79" s="363"/>
      <c r="AB79" s="363"/>
      <c r="AC79" s="363"/>
      <c r="AD79" s="364"/>
      <c r="AE79" s="364"/>
      <c r="AF79" s="83"/>
    </row>
    <row r="80" spans="2:32" ht="16" customHeight="1">
      <c r="B80" s="70" t="str">
        <f>IF(ISBLANK(解答設定!B107),"",解答設定!B107)</f>
        <v/>
      </c>
      <c r="C80" s="372" t="str">
        <f t="shared" si="5"/>
        <v/>
      </c>
      <c r="D80" s="397"/>
      <c r="E80" s="398" t="str">
        <f>IF(ISBLANK(解答設定!E107),"",解答設定!E107)</f>
        <v/>
      </c>
      <c r="F80" s="399"/>
      <c r="G80" s="133" t="str">
        <f t="shared" si="4"/>
        <v/>
      </c>
      <c r="H80" s="365"/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  <c r="Q80" s="79"/>
      <c r="R80" s="364"/>
      <c r="S80" s="364"/>
      <c r="T80" s="364"/>
      <c r="U80" s="364"/>
      <c r="V80" s="68"/>
      <c r="W80" s="362"/>
      <c r="X80" s="362"/>
      <c r="Y80" s="363"/>
      <c r="Z80" s="363"/>
      <c r="AA80" s="363"/>
      <c r="AB80" s="363"/>
      <c r="AC80" s="363"/>
      <c r="AD80" s="364"/>
      <c r="AE80" s="364"/>
      <c r="AF80" s="83"/>
    </row>
    <row r="81" spans="2:32" ht="16" customHeight="1">
      <c r="B81" s="70" t="str">
        <f>IF(ISBLANK(解答設定!B108),"",解答設定!B108)</f>
        <v/>
      </c>
      <c r="C81" s="372" t="str">
        <f t="shared" si="5"/>
        <v/>
      </c>
      <c r="D81" s="397"/>
      <c r="E81" s="398" t="str">
        <f>IF(ISBLANK(解答設定!E108),"",解答設定!E108)</f>
        <v/>
      </c>
      <c r="F81" s="399"/>
      <c r="G81" s="133" t="str">
        <f t="shared" si="4"/>
        <v/>
      </c>
      <c r="H81" s="365"/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  <c r="Q81" s="79"/>
      <c r="R81" s="364"/>
      <c r="S81" s="364"/>
      <c r="T81" s="364"/>
      <c r="U81" s="364"/>
      <c r="V81" s="68"/>
      <c r="W81" s="362"/>
      <c r="X81" s="362"/>
      <c r="Y81" s="363"/>
      <c r="Z81" s="363"/>
      <c r="AA81" s="363"/>
      <c r="AB81" s="363"/>
      <c r="AC81" s="363"/>
      <c r="AD81" s="364"/>
      <c r="AE81" s="364"/>
      <c r="AF81" s="83"/>
    </row>
    <row r="82" spans="2:32" ht="16" customHeight="1">
      <c r="B82" s="70" t="str">
        <f>IF(ISBLANK(解答設定!B109),"",解答設定!B109)</f>
        <v/>
      </c>
      <c r="C82" s="372" t="str">
        <f t="shared" si="5"/>
        <v/>
      </c>
      <c r="D82" s="397"/>
      <c r="E82" s="398" t="str">
        <f>IF(ISBLANK(解答設定!E109),"",解答設定!E109)</f>
        <v/>
      </c>
      <c r="F82" s="399"/>
      <c r="G82" s="133" t="str">
        <f t="shared" si="4"/>
        <v/>
      </c>
      <c r="H82" s="365"/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  <c r="Q82" s="79"/>
      <c r="R82" s="364"/>
      <c r="S82" s="364"/>
      <c r="T82" s="364"/>
      <c r="U82" s="364"/>
      <c r="V82" s="68"/>
      <c r="W82" s="362"/>
      <c r="X82" s="362"/>
      <c r="Y82" s="363"/>
      <c r="Z82" s="363"/>
      <c r="AA82" s="363"/>
      <c r="AB82" s="363"/>
      <c r="AC82" s="363"/>
      <c r="AD82" s="364"/>
      <c r="AE82" s="364"/>
      <c r="AF82" s="83"/>
    </row>
    <row r="83" spans="2:32" ht="16" customHeight="1">
      <c r="B83" s="70" t="str">
        <f>IF(ISBLANK(解答設定!B110),"",解答設定!B110)</f>
        <v/>
      </c>
      <c r="C83" s="372" t="str">
        <f t="shared" si="5"/>
        <v/>
      </c>
      <c r="D83" s="397"/>
      <c r="E83" s="398" t="str">
        <f>IF(ISBLANK(解答設定!E110),"",解答設定!E110)</f>
        <v/>
      </c>
      <c r="F83" s="399"/>
      <c r="G83" s="133" t="str">
        <f t="shared" si="4"/>
        <v/>
      </c>
      <c r="H83" s="365"/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  <c r="Q83" s="79"/>
      <c r="R83" s="364"/>
      <c r="S83" s="364"/>
      <c r="T83" s="364"/>
      <c r="U83" s="364"/>
      <c r="V83" s="68"/>
      <c r="W83" s="362"/>
      <c r="X83" s="362"/>
      <c r="Y83" s="363"/>
      <c r="Z83" s="363"/>
      <c r="AA83" s="363"/>
      <c r="AB83" s="363"/>
      <c r="AC83" s="363"/>
      <c r="AD83" s="364"/>
      <c r="AE83" s="364"/>
      <c r="AF83" s="83"/>
    </row>
    <row r="84" spans="2:32" ht="16" customHeight="1">
      <c r="B84" s="70" t="str">
        <f>IF(ISBLANK(解答設定!B111),"",解答設定!B111)</f>
        <v/>
      </c>
      <c r="C84" s="372" t="str">
        <f t="shared" si="5"/>
        <v/>
      </c>
      <c r="D84" s="397"/>
      <c r="E84" s="398" t="str">
        <f>IF(ISBLANK(解答設定!E111),"",解答設定!E111)</f>
        <v/>
      </c>
      <c r="F84" s="399"/>
      <c r="G84" s="133" t="str">
        <f t="shared" si="4"/>
        <v/>
      </c>
      <c r="H84" s="365"/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  <c r="Q84" s="79"/>
      <c r="R84" s="364"/>
      <c r="S84" s="364"/>
      <c r="T84" s="364"/>
      <c r="U84" s="364"/>
      <c r="V84" s="68"/>
      <c r="W84" s="362"/>
      <c r="X84" s="362"/>
      <c r="Y84" s="363"/>
      <c r="Z84" s="363"/>
      <c r="AA84" s="363"/>
      <c r="AB84" s="363"/>
      <c r="AC84" s="363"/>
      <c r="AD84" s="364"/>
      <c r="AE84" s="364"/>
      <c r="AF84" s="83"/>
    </row>
    <row r="85" spans="2:32" ht="16" customHeight="1">
      <c r="B85" s="70" t="str">
        <f>IF(ISBLANK(解答設定!B112),"",解答設定!B112)</f>
        <v/>
      </c>
      <c r="C85" s="372" t="str">
        <f t="shared" si="5"/>
        <v/>
      </c>
      <c r="D85" s="397"/>
      <c r="E85" s="398" t="str">
        <f>IF(ISBLANK(解答設定!E112),"",解答設定!E112)</f>
        <v/>
      </c>
      <c r="F85" s="399"/>
      <c r="G85" s="133" t="str">
        <f t="shared" si="4"/>
        <v/>
      </c>
      <c r="H85" s="365"/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  <c r="Q85" s="79"/>
      <c r="R85" s="364"/>
      <c r="S85" s="364"/>
      <c r="T85" s="364"/>
      <c r="U85" s="364"/>
      <c r="V85" s="68"/>
      <c r="W85" s="362"/>
      <c r="X85" s="362"/>
      <c r="Y85" s="363"/>
      <c r="Z85" s="363"/>
      <c r="AA85" s="363"/>
      <c r="AB85" s="363"/>
      <c r="AC85" s="363"/>
      <c r="AD85" s="364"/>
      <c r="AE85" s="364"/>
      <c r="AF85" s="83"/>
    </row>
    <row r="86" spans="2:32" ht="16" customHeight="1">
      <c r="B86" s="70" t="str">
        <f>IF(ISBLANK(解答設定!B113),"",解答設定!B113)</f>
        <v/>
      </c>
      <c r="C86" s="372" t="str">
        <f t="shared" si="5"/>
        <v/>
      </c>
      <c r="D86" s="397"/>
      <c r="E86" s="398" t="str">
        <f>IF(ISBLANK(解答設定!E113),"",解答設定!E113)</f>
        <v/>
      </c>
      <c r="F86" s="399"/>
      <c r="G86" s="133" t="str">
        <f t="shared" si="4"/>
        <v/>
      </c>
      <c r="H86" s="365"/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  <c r="Q86" s="79"/>
      <c r="R86" s="364"/>
      <c r="S86" s="364"/>
      <c r="T86" s="364"/>
      <c r="U86" s="364"/>
      <c r="V86" s="68"/>
      <c r="W86" s="362"/>
      <c r="X86" s="362"/>
      <c r="Y86" s="363"/>
      <c r="Z86" s="363"/>
      <c r="AA86" s="363"/>
      <c r="AB86" s="363"/>
      <c r="AC86" s="363"/>
      <c r="AD86" s="364"/>
      <c r="AE86" s="364"/>
      <c r="AF86" s="83"/>
    </row>
    <row r="87" spans="2:32" ht="16" customHeight="1">
      <c r="B87" s="70" t="str">
        <f>IF(ISBLANK(解答設定!B114),"",解答設定!B114)</f>
        <v/>
      </c>
      <c r="C87" s="372" t="str">
        <f t="shared" si="5"/>
        <v/>
      </c>
      <c r="D87" s="397"/>
      <c r="E87" s="398" t="str">
        <f>IF(ISBLANK(解答設定!E114),"",解答設定!E114)</f>
        <v/>
      </c>
      <c r="F87" s="399"/>
      <c r="G87" s="133" t="str">
        <f t="shared" si="4"/>
        <v/>
      </c>
      <c r="H87" s="365"/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  <c r="Q87" s="79"/>
      <c r="R87" s="364"/>
      <c r="S87" s="364"/>
      <c r="T87" s="364"/>
      <c r="U87" s="364"/>
      <c r="V87" s="68"/>
      <c r="W87" s="362"/>
      <c r="X87" s="362"/>
      <c r="Y87" s="363"/>
      <c r="Z87" s="363"/>
      <c r="AA87" s="363"/>
      <c r="AB87" s="363"/>
      <c r="AC87" s="363"/>
      <c r="AD87" s="364"/>
      <c r="AE87" s="364"/>
      <c r="AF87" s="83"/>
    </row>
    <row r="88" spans="2:32" ht="16" customHeight="1">
      <c r="B88" s="70" t="str">
        <f>IF(ISBLANK(解答設定!B115),"",解答設定!B115)</f>
        <v/>
      </c>
      <c r="C88" s="372" t="str">
        <f t="shared" si="5"/>
        <v/>
      </c>
      <c r="D88" s="397"/>
      <c r="E88" s="398" t="str">
        <f>IF(ISBLANK(解答設定!E115),"",解答設定!E115)</f>
        <v/>
      </c>
      <c r="F88" s="399"/>
      <c r="G88" s="133" t="str">
        <f t="shared" si="4"/>
        <v/>
      </c>
      <c r="H88" s="365"/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  <c r="Q88" s="79"/>
      <c r="R88" s="364"/>
      <c r="S88" s="364"/>
      <c r="T88" s="364"/>
      <c r="U88" s="364"/>
      <c r="V88" s="68"/>
      <c r="W88" s="362"/>
      <c r="X88" s="362"/>
      <c r="Y88" s="363"/>
      <c r="Z88" s="363"/>
      <c r="AA88" s="363"/>
      <c r="AB88" s="363"/>
      <c r="AC88" s="363"/>
      <c r="AD88" s="364"/>
      <c r="AE88" s="364"/>
      <c r="AF88" s="83"/>
    </row>
    <row r="89" spans="2:32" ht="16" customHeight="1">
      <c r="B89" s="70" t="str">
        <f>IF(ISBLANK(解答設定!B116),"",解答設定!B116)</f>
        <v/>
      </c>
      <c r="C89" s="372" t="str">
        <f t="shared" si="5"/>
        <v/>
      </c>
      <c r="D89" s="397"/>
      <c r="E89" s="398" t="str">
        <f>IF(ISBLANK(解答設定!E116),"",解答設定!E116)</f>
        <v/>
      </c>
      <c r="F89" s="399"/>
      <c r="G89" s="133" t="str">
        <f t="shared" si="4"/>
        <v/>
      </c>
      <c r="H89" s="365"/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  <c r="Q89" s="79"/>
      <c r="R89" s="364"/>
      <c r="S89" s="364"/>
      <c r="T89" s="364"/>
      <c r="U89" s="364"/>
      <c r="V89" s="68"/>
      <c r="W89" s="362"/>
      <c r="X89" s="362"/>
      <c r="Y89" s="363"/>
      <c r="Z89" s="363"/>
      <c r="AA89" s="363"/>
      <c r="AB89" s="363"/>
      <c r="AC89" s="363"/>
      <c r="AD89" s="364"/>
      <c r="AE89" s="364"/>
      <c r="AF89" s="83"/>
    </row>
    <row r="90" spans="2:32" ht="16" customHeight="1">
      <c r="B90" s="70" t="str">
        <f>IF(ISBLANK(解答設定!B117),"",解答設定!B117)</f>
        <v/>
      </c>
      <c r="C90" s="372" t="str">
        <f t="shared" si="5"/>
        <v/>
      </c>
      <c r="D90" s="397"/>
      <c r="E90" s="398" t="str">
        <f>IF(ISBLANK(解答設定!E117),"",解答設定!E117)</f>
        <v/>
      </c>
      <c r="F90" s="399"/>
      <c r="G90" s="133" t="str">
        <f t="shared" si="4"/>
        <v/>
      </c>
      <c r="H90" s="365"/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  <c r="Q90" s="79"/>
      <c r="R90" s="364"/>
      <c r="S90" s="364"/>
      <c r="T90" s="364"/>
      <c r="U90" s="364"/>
      <c r="V90" s="68"/>
      <c r="W90" s="362"/>
      <c r="X90" s="362"/>
      <c r="Y90" s="363"/>
      <c r="Z90" s="363"/>
      <c r="AA90" s="363"/>
      <c r="AB90" s="363"/>
      <c r="AC90" s="363"/>
      <c r="AD90" s="364"/>
      <c r="AE90" s="364"/>
      <c r="AF90" s="83"/>
    </row>
    <row r="91" spans="2:32" ht="16" customHeight="1">
      <c r="B91" s="70" t="str">
        <f>IF(ISBLANK(解答設定!B118),"",解答設定!B118)</f>
        <v/>
      </c>
      <c r="C91" s="372" t="str">
        <f t="shared" si="5"/>
        <v/>
      </c>
      <c r="D91" s="397"/>
      <c r="E91" s="398" t="str">
        <f>IF(ISBLANK(解答設定!E118),"",解答設定!E118)</f>
        <v/>
      </c>
      <c r="F91" s="399"/>
      <c r="G91" s="133" t="str">
        <f t="shared" si="4"/>
        <v/>
      </c>
      <c r="H91" s="365"/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  <c r="Q91" s="79"/>
      <c r="R91" s="364"/>
      <c r="S91" s="364"/>
      <c r="T91" s="364"/>
      <c r="U91" s="364"/>
      <c r="V91" s="68"/>
      <c r="W91" s="362"/>
      <c r="X91" s="362"/>
      <c r="Y91" s="363"/>
      <c r="Z91" s="363"/>
      <c r="AA91" s="363"/>
      <c r="AB91" s="363"/>
      <c r="AC91" s="363"/>
      <c r="AD91" s="364"/>
      <c r="AE91" s="364"/>
      <c r="AF91" s="83"/>
    </row>
    <row r="92" spans="2:32" ht="16" customHeight="1" thickBot="1">
      <c r="B92" s="71" t="str">
        <f>IF(ISBLANK(解答設定!B119),"",解答設定!B119)</f>
        <v/>
      </c>
      <c r="C92" s="387" t="str">
        <f t="shared" si="5"/>
        <v/>
      </c>
      <c r="D92" s="388"/>
      <c r="E92" s="389" t="str">
        <f>IF(ISBLANK(解答設定!E119),"",解答設定!E119)</f>
        <v/>
      </c>
      <c r="F92" s="390"/>
      <c r="G92" s="131" t="str">
        <f>IF(C92="","",IF(C92=E92,"o","x"))</f>
        <v/>
      </c>
      <c r="H92" s="391"/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  <c r="Q92" s="79"/>
      <c r="R92" s="364"/>
      <c r="S92" s="364"/>
      <c r="T92" s="364"/>
      <c r="U92" s="364"/>
      <c r="V92" s="68"/>
      <c r="W92" s="362"/>
      <c r="X92" s="362"/>
      <c r="Y92" s="363"/>
      <c r="Z92" s="363"/>
      <c r="AA92" s="363"/>
      <c r="AB92" s="363"/>
      <c r="AC92" s="363"/>
      <c r="AD92" s="364"/>
      <c r="AE92" s="364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5" t="s">
        <v>11</v>
      </c>
      <c r="C2" s="475"/>
      <c r="D2" s="475"/>
      <c r="E2" s="9"/>
      <c r="F2" s="476" t="s">
        <v>7</v>
      </c>
      <c r="G2" s="476" t="s">
        <v>8</v>
      </c>
      <c r="H2" s="478" t="s">
        <v>9</v>
      </c>
      <c r="I2" s="480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7"/>
      <c r="G3" s="477"/>
      <c r="H3" s="479"/>
      <c r="I3" s="481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J3" sqref="J3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2">
        <f>初期設定!$C$38</f>
        <v>0</v>
      </c>
      <c r="L1" s="482"/>
      <c r="M1" s="482">
        <f>初期設定!K38</f>
        <v>0</v>
      </c>
      <c r="N1" s="482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62</v>
      </c>
      <c r="L2" s="66" t="s">
        <v>63</v>
      </c>
      <c r="M2" s="66" t="s">
        <v>64</v>
      </c>
      <c r="N2" s="66" t="s">
        <v>65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SUMIF(採点!$DB$5:$DG$13,"*"&amp;K1&amp;"*",採点!DB14:DM14)</f>
        <v>0</v>
      </c>
      <c r="L3" s="66">
        <f ca="1">SUMIF(採点!$DH$5:$DM$13,"*"&amp;K1&amp;"*",採点!DH14:DM14)</f>
        <v>0</v>
      </c>
      <c r="M3" s="66">
        <f ca="1">SUMIF(採点!$DB$5:$DG$13,"*"&amp;M1&amp;"*",採点!DB14:DM14)</f>
        <v>0</v>
      </c>
      <c r="N3" s="66">
        <f ca="1">SUMIF(採点!$DH$5:$DM$13,"*"&amp;M1&amp;"*",採点!DH14:DM14)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SUMIF(採点!$DB$5:$DG$13,"*"&amp;K2&amp;"*",採点!DB15:DM15)</f>
        <v>0</v>
      </c>
      <c r="L4" s="66">
        <f ca="1">SUMIF(採点!$DH$5:$DM$13,"*"&amp;K2&amp;"*",採点!DH15:DM15)</f>
        <v>0</v>
      </c>
      <c r="M4" s="66">
        <f ca="1">SUMIF(採点!$DB$5:$DG$13,"*"&amp;M2&amp;"*",採点!DB15:DM15)</f>
        <v>0</v>
      </c>
      <c r="N4" s="66">
        <f ca="1">SUMIF(採点!$DH$5:$DM$13,"*"&amp;M2&amp;"*",採点!DH15:DM15)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SUMIF(採点!$DB$5:$DG$13,"*"&amp;K3&amp;"*",採点!DB16:DM16)</f>
        <v>0</v>
      </c>
      <c r="L5" s="66">
        <f ca="1">SUMIF(採点!$DH$5:$DM$13,"*"&amp;K3&amp;"*",採点!DH16:DM16)</f>
        <v>0</v>
      </c>
      <c r="M5" s="66">
        <f ca="1">SUMIF(採点!$DB$5:$DG$13,"*"&amp;M3&amp;"*",採点!DB16:DM16)</f>
        <v>0</v>
      </c>
      <c r="N5" s="66">
        <f ca="1">SUMIF(採点!$DH$5:$DM$13,"*"&amp;M3&amp;"*",採点!DH16:DM16)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SUMIF(採点!$DB$5:$DG$13,"*"&amp;K4&amp;"*",採点!DB17:DM17)</f>
        <v>0</v>
      </c>
      <c r="L6" s="66">
        <f ca="1">SUMIF(採点!$DH$5:$DM$13,"*"&amp;K4&amp;"*",採点!DH17:DM17)</f>
        <v>0</v>
      </c>
      <c r="M6" s="66">
        <f ca="1">SUMIF(採点!$DB$5:$DG$13,"*"&amp;M4&amp;"*",採点!DB17:DM17)</f>
        <v>0</v>
      </c>
      <c r="N6" s="66">
        <f ca="1">SUMIF(採点!$DH$5:$DM$13,"*"&amp;M4&amp;"*",採点!DH17:DM17)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SUMIF(採点!$DB$5:$DG$13,"*"&amp;K5&amp;"*",採点!DB18:DM18)</f>
        <v>0</v>
      </c>
      <c r="L7" s="66">
        <f ca="1">SUMIF(採点!$DH$5:$DM$13,"*"&amp;K5&amp;"*",採点!DH18:DM18)</f>
        <v>0</v>
      </c>
      <c r="M7" s="66">
        <f ca="1">SUMIF(採点!$DB$5:$DG$13,"*"&amp;M5&amp;"*",採点!DB18:DM18)</f>
        <v>0</v>
      </c>
      <c r="N7" s="66">
        <f ca="1">SUMIF(採点!$DH$5:$DM$13,"*"&amp;M5&amp;"*",採点!DH18:DM18)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SUMIF(採点!$DB$5:$DG$13,"*"&amp;K6&amp;"*",採点!DB19:DM19)</f>
        <v>0</v>
      </c>
      <c r="L8" s="66">
        <f ca="1">SUMIF(採点!$DH$5:$DM$13,"*"&amp;K6&amp;"*",採点!DH19:DM19)</f>
        <v>0</v>
      </c>
      <c r="M8" s="66">
        <f ca="1">SUMIF(採点!$DB$5:$DG$13,"*"&amp;M6&amp;"*",採点!DB19:DM19)</f>
        <v>0</v>
      </c>
      <c r="N8" s="66">
        <f ca="1">SUMIF(採点!$DH$5:$DM$13,"*"&amp;M6&amp;"*",採点!DH19:DM19)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SUMIF(採点!$DB$5:$DG$13,"*"&amp;K7&amp;"*",採点!DB20:DM20)</f>
        <v>0</v>
      </c>
      <c r="L9" s="66">
        <f ca="1">SUMIF(採点!$DH$5:$DM$13,"*"&amp;K7&amp;"*",採点!DH20:DM20)</f>
        <v>0</v>
      </c>
      <c r="M9" s="66">
        <f ca="1">SUMIF(採点!$DB$5:$DG$13,"*"&amp;M7&amp;"*",採点!DB20:DM20)</f>
        <v>0</v>
      </c>
      <c r="N9" s="66">
        <f ca="1">SUMIF(採点!$DH$5:$DM$13,"*"&amp;M7&amp;"*",採点!DH20:DM20)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SUMIF(採点!$DB$5:$DG$13,"*"&amp;K8&amp;"*",採点!DB21:DM21)</f>
        <v>0</v>
      </c>
      <c r="L10" s="66">
        <f ca="1">SUMIF(採点!$DH$5:$DM$13,"*"&amp;K8&amp;"*",採点!DH21:DM21)</f>
        <v>0</v>
      </c>
      <c r="M10" s="66">
        <f ca="1">SUMIF(採点!$DB$5:$DG$13,"*"&amp;M8&amp;"*",採点!DB21:DM21)</f>
        <v>0</v>
      </c>
      <c r="N10" s="66">
        <f ca="1">SUMIF(採点!$DH$5:$DM$13,"*"&amp;M8&amp;"*",採点!DH21:DM21)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SUMIF(採点!$DB$5:$DG$13,"*"&amp;K9&amp;"*",採点!DB22:DM22)</f>
        <v>0</v>
      </c>
      <c r="L11" s="66">
        <f ca="1">SUMIF(採点!$DH$5:$DM$13,"*"&amp;K9&amp;"*",採点!DH22:DM22)</f>
        <v>0</v>
      </c>
      <c r="M11" s="66">
        <f ca="1">SUMIF(採点!$DB$5:$DG$13,"*"&amp;M9&amp;"*",採点!DB22:DM22)</f>
        <v>0</v>
      </c>
      <c r="N11" s="66">
        <f ca="1">SUMIF(採点!$DH$5:$DM$13,"*"&amp;M9&amp;"*",採点!DH22:DM22)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SUMIF(採点!$DB$5:$DG$13,"*"&amp;K10&amp;"*",採点!DB23:DM23)</f>
        <v>0</v>
      </c>
      <c r="L12" s="66">
        <f ca="1">SUMIF(採点!$DH$5:$DM$13,"*"&amp;K10&amp;"*",採点!DH23:DM23)</f>
        <v>0</v>
      </c>
      <c r="M12" s="66">
        <f ca="1">SUMIF(採点!$DB$5:$DG$13,"*"&amp;M10&amp;"*",採点!DB23:DM23)</f>
        <v>0</v>
      </c>
      <c r="N12" s="66">
        <f ca="1">SUMIF(採点!$DH$5:$DM$13,"*"&amp;M10&amp;"*",採点!DH23:DM23)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SUMIF(採点!$DB$5:$DG$13,"*"&amp;K11&amp;"*",採点!DB24:DM24)</f>
        <v>0</v>
      </c>
      <c r="L13" s="66">
        <f ca="1">SUMIF(採点!$DH$5:$DM$13,"*"&amp;K11&amp;"*",採点!DH24:DM24)</f>
        <v>0</v>
      </c>
      <c r="M13" s="66">
        <f ca="1">SUMIF(採点!$DB$5:$DG$13,"*"&amp;M11&amp;"*",採点!DB24:DM24)</f>
        <v>0</v>
      </c>
      <c r="N13" s="66">
        <f ca="1">SUMIF(採点!$DH$5:$DM$13,"*"&amp;M11&amp;"*",採点!DH24:DM24)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SUMIF(採点!$DB$5:$DG$13,"*"&amp;K12&amp;"*",採点!DB25:DM25)</f>
        <v>0</v>
      </c>
      <c r="L14" s="66">
        <f ca="1">SUMIF(採点!$DH$5:$DM$13,"*"&amp;K12&amp;"*",採点!DH25:DM25)</f>
        <v>0</v>
      </c>
      <c r="M14" s="66">
        <f ca="1">SUMIF(採点!$DB$5:$DG$13,"*"&amp;M12&amp;"*",採点!DB25:DM25)</f>
        <v>0</v>
      </c>
      <c r="N14" s="66">
        <f ca="1">SUMIF(採点!$DH$5:$DM$13,"*"&amp;M12&amp;"*",採点!DH25:DM25)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SUMIF(採点!$DB$5:$DG$13,"*"&amp;K13&amp;"*",採点!DB26:DM26)</f>
        <v>0</v>
      </c>
      <c r="L15" s="66">
        <f ca="1">SUMIF(採点!$DH$5:$DM$13,"*"&amp;K13&amp;"*",採点!DH26:DM26)</f>
        <v>0</v>
      </c>
      <c r="M15" s="66">
        <f ca="1">SUMIF(採点!$DB$5:$DG$13,"*"&amp;M13&amp;"*",採点!DB26:DM26)</f>
        <v>0</v>
      </c>
      <c r="N15" s="66">
        <f ca="1">SUMIF(採点!$DH$5:$DM$13,"*"&amp;M13&amp;"*",採点!DH26:DM26)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SUMIF(採点!$DB$5:$DG$13,"*"&amp;K14&amp;"*",採点!DB27:DM27)</f>
        <v>0</v>
      </c>
      <c r="L16" s="66">
        <f ca="1">SUMIF(採点!$DH$5:$DM$13,"*"&amp;K14&amp;"*",採点!DH27:DM27)</f>
        <v>0</v>
      </c>
      <c r="M16" s="66">
        <f ca="1">SUMIF(採点!$DB$5:$DG$13,"*"&amp;M14&amp;"*",採点!DB27:DM27)</f>
        <v>0</v>
      </c>
      <c r="N16" s="66">
        <f ca="1">SUMIF(採点!$DH$5:$DM$13,"*"&amp;M14&amp;"*",採点!DH27:DM27)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SUMIF(採点!$DB$5:$DG$13,"*"&amp;K15&amp;"*",採点!DB28:DM28)</f>
        <v>0</v>
      </c>
      <c r="L17" s="66">
        <f ca="1">SUMIF(採点!$DH$5:$DM$13,"*"&amp;K15&amp;"*",採点!DH28:DM28)</f>
        <v>0</v>
      </c>
      <c r="M17" s="66">
        <f ca="1">SUMIF(採点!$DB$5:$DG$13,"*"&amp;M15&amp;"*",採点!DB28:DM28)</f>
        <v>0</v>
      </c>
      <c r="N17" s="66">
        <f ca="1">SUMIF(採点!$DH$5:$DM$13,"*"&amp;M15&amp;"*",採点!DH28:DM28)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SUMIF(採点!$DB$5:$DG$13,"*"&amp;K16&amp;"*",採点!DB29:DM29)</f>
        <v>0</v>
      </c>
      <c r="L18" s="66">
        <f ca="1">SUMIF(採点!$DH$5:$DM$13,"*"&amp;K16&amp;"*",採点!DH29:DM29)</f>
        <v>0</v>
      </c>
      <c r="M18" s="66">
        <f ca="1">SUMIF(採点!$DB$5:$DG$13,"*"&amp;M16&amp;"*",採点!DB29:DM29)</f>
        <v>0</v>
      </c>
      <c r="N18" s="66">
        <f ca="1">SUMIF(採点!$DH$5:$DM$13,"*"&amp;M16&amp;"*",採点!DH29:DM29)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SUMIF(採点!$DB$5:$DG$13,"*"&amp;K17&amp;"*",採点!DB30:DM30)</f>
        <v>0</v>
      </c>
      <c r="L19" s="66">
        <f ca="1">SUMIF(採点!$DH$5:$DM$13,"*"&amp;K17&amp;"*",採点!DH30:DM30)</f>
        <v>0</v>
      </c>
      <c r="M19" s="66">
        <f ca="1">SUMIF(採点!$DB$5:$DG$13,"*"&amp;M17&amp;"*",採点!DB30:DM30)</f>
        <v>0</v>
      </c>
      <c r="N19" s="66">
        <f ca="1">SUMIF(採点!$DH$5:$DM$13,"*"&amp;M17&amp;"*",採点!DH30:DM30)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SUMIF(採点!$DB$5:$DG$13,"*"&amp;K18&amp;"*",採点!DB31:DM31)</f>
        <v>0</v>
      </c>
      <c r="L20" s="66">
        <f ca="1">SUMIF(採点!$DH$5:$DM$13,"*"&amp;K18&amp;"*",採点!DH31:DM31)</f>
        <v>0</v>
      </c>
      <c r="M20" s="66">
        <f ca="1">SUMIF(採点!$DB$5:$DG$13,"*"&amp;M18&amp;"*",採点!DB31:DM31)</f>
        <v>0</v>
      </c>
      <c r="N20" s="66">
        <f ca="1">SUMIF(採点!$DH$5:$DM$13,"*"&amp;M18&amp;"*",採点!DH31:DM31)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SUMIF(採点!$DB$5:$DG$13,"*"&amp;K19&amp;"*",採点!DB32:DM32)</f>
        <v>0</v>
      </c>
      <c r="L21" s="66">
        <f ca="1">SUMIF(採点!$DH$5:$DM$13,"*"&amp;K19&amp;"*",採点!DH32:DM32)</f>
        <v>0</v>
      </c>
      <c r="M21" s="66">
        <f ca="1">SUMIF(採点!$DB$5:$DG$13,"*"&amp;M19&amp;"*",採点!DB32:DM32)</f>
        <v>0</v>
      </c>
      <c r="N21" s="66">
        <f ca="1">SUMIF(採点!$DH$5:$DM$13,"*"&amp;M19&amp;"*",採点!DH32:DM32)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SUMIF(採点!$DB$5:$DG$13,"*"&amp;K20&amp;"*",採点!DB33:DM33)</f>
        <v>0</v>
      </c>
      <c r="L22" s="66">
        <f ca="1">SUMIF(採点!$DH$5:$DM$13,"*"&amp;K20&amp;"*",採点!DH33:DM33)</f>
        <v>0</v>
      </c>
      <c r="M22" s="66">
        <f ca="1">SUMIF(採点!$DB$5:$DG$13,"*"&amp;M20&amp;"*",採点!DB33:DM33)</f>
        <v>0</v>
      </c>
      <c r="N22" s="66">
        <f ca="1">SUMIF(採点!$DH$5:$DM$13,"*"&amp;M20&amp;"*",採点!DH33:DM33)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SUMIF(採点!$DB$5:$DG$13,"*"&amp;K21&amp;"*",採点!DB34:DM34)</f>
        <v>0</v>
      </c>
      <c r="L23" s="66">
        <f ca="1">SUMIF(採点!$DH$5:$DM$13,"*"&amp;K21&amp;"*",採点!DH34:DM34)</f>
        <v>0</v>
      </c>
      <c r="M23" s="66">
        <f ca="1">SUMIF(採点!$DB$5:$DG$13,"*"&amp;M21&amp;"*",採点!DB34:DM34)</f>
        <v>0</v>
      </c>
      <c r="N23" s="66">
        <f ca="1">SUMIF(採点!$DH$5:$DM$13,"*"&amp;M21&amp;"*",採点!DH34:DM34)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SUMIF(採点!$DB$5:$DG$13,"*"&amp;K22&amp;"*",採点!DB35:DM35)</f>
        <v>0</v>
      </c>
      <c r="L24" s="66">
        <f ca="1">SUMIF(採点!$DH$5:$DM$13,"*"&amp;K22&amp;"*",採点!DH35:DM35)</f>
        <v>0</v>
      </c>
      <c r="M24" s="66">
        <f ca="1">SUMIF(採点!$DB$5:$DG$13,"*"&amp;M22&amp;"*",採点!DB35:DM35)</f>
        <v>0</v>
      </c>
      <c r="N24" s="66">
        <f ca="1">SUMIF(採点!$DH$5:$DM$13,"*"&amp;M22&amp;"*",採点!DH35:DM35)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SUMIF(採点!$DB$5:$DG$13,"*"&amp;K23&amp;"*",採点!DB36:DM36)</f>
        <v>0</v>
      </c>
      <c r="L25" s="66">
        <f ca="1">SUMIF(採点!$DH$5:$DM$13,"*"&amp;K23&amp;"*",採点!DH36:DM36)</f>
        <v>0</v>
      </c>
      <c r="M25" s="66">
        <f ca="1">SUMIF(採点!$DB$5:$DG$13,"*"&amp;M23&amp;"*",採点!DB36:DM36)</f>
        <v>0</v>
      </c>
      <c r="N25" s="66">
        <f ca="1">SUMIF(採点!$DH$5:$DM$13,"*"&amp;M23&amp;"*",採点!DH36:DM36)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SUMIF(採点!$DB$5:$DG$13,"*"&amp;K24&amp;"*",採点!DB37:DM37)</f>
        <v>0</v>
      </c>
      <c r="L26" s="66">
        <f ca="1">SUMIF(採点!$DH$5:$DM$13,"*"&amp;K24&amp;"*",採点!DH37:DM37)</f>
        <v>0</v>
      </c>
      <c r="M26" s="66">
        <f ca="1">SUMIF(採点!$DB$5:$DG$13,"*"&amp;M24&amp;"*",採点!DB37:DM37)</f>
        <v>0</v>
      </c>
      <c r="N26" s="66">
        <f ca="1">SUMIF(採点!$DH$5:$DM$13,"*"&amp;M24&amp;"*",採点!DH37:DM37)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SUMIF(採点!$DB$5:$DG$13,"*"&amp;K25&amp;"*",採点!DB38:DM38)</f>
        <v>0</v>
      </c>
      <c r="L27" s="66">
        <f ca="1">SUMIF(採点!$DH$5:$DM$13,"*"&amp;K25&amp;"*",採点!DH38:DM38)</f>
        <v>0</v>
      </c>
      <c r="M27" s="66">
        <f ca="1">SUMIF(採点!$DB$5:$DG$13,"*"&amp;M25&amp;"*",採点!DB38:DM38)</f>
        <v>0</v>
      </c>
      <c r="N27" s="66">
        <f ca="1">SUMIF(採点!$DH$5:$DM$13,"*"&amp;M25&amp;"*",採点!DH38:DM38)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SUMIF(採点!$DB$5:$DG$13,"*"&amp;K26&amp;"*",採点!DB39:DM39)</f>
        <v>0</v>
      </c>
      <c r="L28" s="66">
        <f ca="1">SUMIF(採点!$DH$5:$DM$13,"*"&amp;K26&amp;"*",採点!DH39:DM39)</f>
        <v>0</v>
      </c>
      <c r="M28" s="66">
        <f ca="1">SUMIF(採点!$DB$5:$DG$13,"*"&amp;M26&amp;"*",採点!DB39:DM39)</f>
        <v>0</v>
      </c>
      <c r="N28" s="66">
        <f ca="1">SUMIF(採点!$DH$5:$DM$13,"*"&amp;M26&amp;"*",採点!DH39:DM39)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SUMIF(採点!$DB$5:$DG$13,"*"&amp;K27&amp;"*",採点!DB40:DM40)</f>
        <v>0</v>
      </c>
      <c r="L29" s="66">
        <f ca="1">SUMIF(採点!$DH$5:$DM$13,"*"&amp;K27&amp;"*",採点!DH40:DM40)</f>
        <v>0</v>
      </c>
      <c r="M29" s="66">
        <f ca="1">SUMIF(採点!$DB$5:$DG$13,"*"&amp;M27&amp;"*",採点!DB40:DM40)</f>
        <v>0</v>
      </c>
      <c r="N29" s="66">
        <f ca="1">SUMIF(採点!$DH$5:$DM$13,"*"&amp;M27&amp;"*",採点!DH40:DM40)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SUMIF(採点!$DB$5:$DG$13,"*"&amp;K28&amp;"*",採点!DB41:DM41)</f>
        <v>0</v>
      </c>
      <c r="L30" s="66">
        <f ca="1">SUMIF(採点!$DH$5:$DM$13,"*"&amp;K28&amp;"*",採点!DH41:DM41)</f>
        <v>0</v>
      </c>
      <c r="M30" s="66">
        <f ca="1">SUMIF(採点!$DB$5:$DG$13,"*"&amp;M28&amp;"*",採点!DB41:DM41)</f>
        <v>0</v>
      </c>
      <c r="N30" s="66">
        <f ca="1">SUMIF(採点!$DH$5:$DM$13,"*"&amp;M28&amp;"*",採点!DH41:DM41)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SUMIF(採点!$DB$5:$DG$13,"*"&amp;K29&amp;"*",採点!DB42:DM42)</f>
        <v>0</v>
      </c>
      <c r="L31" s="66">
        <f ca="1">SUMIF(採点!$DH$5:$DM$13,"*"&amp;K29&amp;"*",採点!DH42:DM42)</f>
        <v>0</v>
      </c>
      <c r="M31" s="66">
        <f ca="1">SUMIF(採点!$DB$5:$DG$13,"*"&amp;M29&amp;"*",採点!DB42:DM42)</f>
        <v>0</v>
      </c>
      <c r="N31" s="66">
        <f ca="1">SUMIF(採点!$DH$5:$DM$13,"*"&amp;M29&amp;"*",採点!DH42:DM42)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SUMIF(採点!$DB$5:$DG$13,"*"&amp;K30&amp;"*",採点!DB43:DM43)</f>
        <v>0</v>
      </c>
      <c r="L32" s="66">
        <f ca="1">SUMIF(採点!$DH$5:$DM$13,"*"&amp;K30&amp;"*",採点!DH43:DM43)</f>
        <v>0</v>
      </c>
      <c r="M32" s="66">
        <f ca="1">SUMIF(採点!$DB$5:$DG$13,"*"&amp;M30&amp;"*",採点!DB43:DM43)</f>
        <v>0</v>
      </c>
      <c r="N32" s="66">
        <f ca="1">SUMIF(採点!$DH$5:$DM$13,"*"&amp;M30&amp;"*",採点!DH43:DM43)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SUMIF(採点!$DB$5:$DG$13,"*"&amp;K31&amp;"*",採点!DB44:DM44)</f>
        <v>0</v>
      </c>
      <c r="L33" s="66">
        <f ca="1">SUMIF(採点!$DH$5:$DM$13,"*"&amp;K31&amp;"*",採点!DH44:DM44)</f>
        <v>0</v>
      </c>
      <c r="M33" s="66">
        <f ca="1">SUMIF(採点!$DB$5:$DG$13,"*"&amp;M31&amp;"*",採点!DB44:DM44)</f>
        <v>0</v>
      </c>
      <c r="N33" s="66">
        <f ca="1">SUMIF(採点!$DH$5:$DM$13,"*"&amp;M31&amp;"*",採点!DH44:DM44)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SUMIF(採点!$DB$5:$DG$13,"*"&amp;K32&amp;"*",採点!DB45:DM45)</f>
        <v>0</v>
      </c>
      <c r="L34" s="66">
        <f ca="1">SUMIF(採点!$DH$5:$DM$13,"*"&amp;K32&amp;"*",採点!DH45:DM45)</f>
        <v>0</v>
      </c>
      <c r="M34" s="66">
        <f ca="1">SUMIF(採点!$DB$5:$DG$13,"*"&amp;M32&amp;"*",採点!DB45:DM45)</f>
        <v>0</v>
      </c>
      <c r="N34" s="66">
        <f ca="1">SUMIF(採点!$DH$5:$DM$13,"*"&amp;M32&amp;"*",採点!DH45:DM45)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SUMIF(採点!$DB$5:$DG$13,"*"&amp;K33&amp;"*",採点!DB46:DM46)</f>
        <v>0</v>
      </c>
      <c r="L35" s="66">
        <f ca="1">SUMIF(採点!$DH$5:$DM$13,"*"&amp;K33&amp;"*",採点!DH46:DM46)</f>
        <v>0</v>
      </c>
      <c r="M35" s="66">
        <f ca="1">SUMIF(採点!$DB$5:$DG$13,"*"&amp;M33&amp;"*",採点!DB46:DM46)</f>
        <v>0</v>
      </c>
      <c r="N35" s="66">
        <f ca="1">SUMIF(採点!$DH$5:$DM$13,"*"&amp;M33&amp;"*",採点!DH46:DM46)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SUMIF(採点!$DB$5:$DG$13,"*"&amp;K34&amp;"*",採点!DB47:DM47)</f>
        <v>0</v>
      </c>
      <c r="L36" s="66">
        <f ca="1">SUMIF(採点!$DH$5:$DM$13,"*"&amp;K34&amp;"*",採点!DH47:DM47)</f>
        <v>0</v>
      </c>
      <c r="M36" s="66">
        <f ca="1">SUMIF(採点!$DB$5:$DG$13,"*"&amp;M34&amp;"*",採点!DB47:DM47)</f>
        <v>0</v>
      </c>
      <c r="N36" s="66">
        <f ca="1">SUMIF(採点!$DH$5:$DM$13,"*"&amp;M34&amp;"*",採点!DH47:DM47)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SUMIF(採点!$DB$5:$DG$13,"*"&amp;K35&amp;"*",採点!DB48:DM48)</f>
        <v>0</v>
      </c>
      <c r="L37" s="66">
        <f ca="1">SUMIF(採点!$DH$5:$DM$13,"*"&amp;K35&amp;"*",採点!DH48:DM48)</f>
        <v>0</v>
      </c>
      <c r="M37" s="66">
        <f ca="1">SUMIF(採点!$DB$5:$DG$13,"*"&amp;M35&amp;"*",採点!DB48:DM48)</f>
        <v>0</v>
      </c>
      <c r="N37" s="66">
        <f ca="1">SUMIF(採点!$DH$5:$DM$13,"*"&amp;M35&amp;"*",採点!DH48:DM48)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SUMIF(採点!$DB$5:$DG$13,"*"&amp;K36&amp;"*",採点!DB49:DM49)</f>
        <v>0</v>
      </c>
      <c r="L38" s="66">
        <f ca="1">SUMIF(採点!$DH$5:$DM$13,"*"&amp;K36&amp;"*",採点!DH49:DM49)</f>
        <v>0</v>
      </c>
      <c r="M38" s="66">
        <f ca="1">SUMIF(採点!$DB$5:$DG$13,"*"&amp;M36&amp;"*",採点!DB49:DM49)</f>
        <v>0</v>
      </c>
      <c r="N38" s="66">
        <f ca="1">SUMIF(採点!$DH$5:$DM$13,"*"&amp;M36&amp;"*",採点!DH49:DM49)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SUMIF(採点!$DB$5:$DG$13,"*"&amp;K37&amp;"*",採点!DB50:DM50)</f>
        <v>0</v>
      </c>
      <c r="L39" s="66">
        <f ca="1">SUMIF(採点!$DH$5:$DM$13,"*"&amp;K37&amp;"*",採点!DH50:DM50)</f>
        <v>0</v>
      </c>
      <c r="M39" s="66">
        <f ca="1">SUMIF(採点!$DB$5:$DG$13,"*"&amp;M37&amp;"*",採点!DB50:DM50)</f>
        <v>0</v>
      </c>
      <c r="N39" s="66">
        <f ca="1">SUMIF(採点!$DH$5:$DM$13,"*"&amp;M37&amp;"*",採点!DH50:DM50)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SUMIF(採点!$DB$5:$DG$13,"*"&amp;K38&amp;"*",採点!DB51:DM51)</f>
        <v>0</v>
      </c>
      <c r="L40" s="66">
        <f ca="1">SUMIF(採点!$DH$5:$DM$13,"*"&amp;K38&amp;"*",採点!DH51:DM51)</f>
        <v>0</v>
      </c>
      <c r="M40" s="66">
        <f ca="1">SUMIF(採点!$DB$5:$DG$13,"*"&amp;M38&amp;"*",採点!DB51:DM51)</f>
        <v>0</v>
      </c>
      <c r="N40" s="66">
        <f ca="1">SUMIF(採点!$DH$5:$DM$13,"*"&amp;M38&amp;"*",採点!DH51:DM51)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SUMIF(採点!$DB$5:$DG$13,"*"&amp;K39&amp;"*",採点!DB52:DM52)</f>
        <v>0</v>
      </c>
      <c r="L41" s="66">
        <f ca="1">SUMIF(採点!$DH$5:$DM$13,"*"&amp;K39&amp;"*",採点!DH52:DM52)</f>
        <v>0</v>
      </c>
      <c r="M41" s="66">
        <f ca="1">SUMIF(採点!$DB$5:$DG$13,"*"&amp;M39&amp;"*",採点!DB52:DM52)</f>
        <v>0</v>
      </c>
      <c r="N41" s="66">
        <f ca="1">SUMIF(採点!$DH$5:$DM$13,"*"&amp;M39&amp;"*",採点!DH52:DM52)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SUMIF(採点!$DB$5:$DG$13,"*"&amp;K40&amp;"*",採点!DB53:DM53)</f>
        <v>0</v>
      </c>
      <c r="L42" s="66">
        <f ca="1">SUMIF(採点!$DH$5:$DM$13,"*"&amp;K40&amp;"*",採点!DH53:DM53)</f>
        <v>0</v>
      </c>
      <c r="M42" s="66">
        <f ca="1">SUMIF(採点!$DB$5:$DG$13,"*"&amp;M40&amp;"*",採点!DB53:DM53)</f>
        <v>0</v>
      </c>
      <c r="N42" s="66">
        <f ca="1">SUMIF(採点!$DH$5:$DM$13,"*"&amp;M40&amp;"*",採点!DH53:DM53)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SUMIF(採点!$DB$5:$DG$13,"*"&amp;K41&amp;"*",採点!DB54:DM54)</f>
        <v>0</v>
      </c>
      <c r="L43" s="66">
        <f ca="1">SUMIF(採点!$DH$5:$DM$13,"*"&amp;K41&amp;"*",採点!DH54:DM54)</f>
        <v>0</v>
      </c>
      <c r="M43" s="66">
        <f ca="1">SUMIF(採点!$DB$5:$DG$13,"*"&amp;M41&amp;"*",採点!DB54:DM54)</f>
        <v>0</v>
      </c>
      <c r="N43" s="66">
        <f ca="1">SUMIF(採点!$DH$5:$DM$13,"*"&amp;M41&amp;"*",採点!DH54:DM54)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SUMIF(採点!$DB$5:$DG$13,"*"&amp;K42&amp;"*",採点!DB55:DM55)</f>
        <v>0</v>
      </c>
      <c r="L44" s="66">
        <f ca="1">SUMIF(採点!$DH$5:$DM$13,"*"&amp;K42&amp;"*",採点!DH55:DM55)</f>
        <v>0</v>
      </c>
      <c r="M44" s="66">
        <f ca="1">SUMIF(採点!$DB$5:$DG$13,"*"&amp;M42&amp;"*",採点!DB55:DM55)</f>
        <v>0</v>
      </c>
      <c r="N44" s="66">
        <f ca="1">SUMIF(採点!$DH$5:$DM$13,"*"&amp;M42&amp;"*",採点!DH55:DM55)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SUMIF(採点!$DB$5:$DG$13,"*"&amp;K43&amp;"*",採点!DB56:DM56)</f>
        <v>0</v>
      </c>
      <c r="L45" s="66">
        <f ca="1">SUMIF(採点!$DH$5:$DM$13,"*"&amp;K43&amp;"*",採点!DH56:DM56)</f>
        <v>0</v>
      </c>
      <c r="M45" s="66">
        <f ca="1">SUMIF(採点!$DB$5:$DG$13,"*"&amp;M43&amp;"*",採点!DB56:DM56)</f>
        <v>0</v>
      </c>
      <c r="N45" s="66">
        <f ca="1">SUMIF(採点!$DH$5:$DM$13,"*"&amp;M43&amp;"*",採点!DH56:DM56)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SUMIF(採点!$DB$5:$DG$13,"*"&amp;K44&amp;"*",採点!DB57:DM57)</f>
        <v>0</v>
      </c>
      <c r="L46" s="66">
        <f ca="1">SUMIF(採点!$DH$5:$DM$13,"*"&amp;K44&amp;"*",採点!DH57:DM57)</f>
        <v>0</v>
      </c>
      <c r="M46" s="66">
        <f ca="1">SUMIF(採点!$DB$5:$DG$13,"*"&amp;M44&amp;"*",採点!DB57:DM57)</f>
        <v>0</v>
      </c>
      <c r="N46" s="66">
        <f ca="1">SUMIF(採点!$DH$5:$DM$13,"*"&amp;M44&amp;"*",採点!DH57:DM57)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SUMIF(採点!$DB$5:$DG$13,"*"&amp;K45&amp;"*",採点!DB58:DM58)</f>
        <v>0</v>
      </c>
      <c r="L47" s="66">
        <f ca="1">SUMIF(採点!$DH$5:$DM$13,"*"&amp;K45&amp;"*",採点!DH58:DM58)</f>
        <v>0</v>
      </c>
      <c r="M47" s="66">
        <f ca="1">SUMIF(採点!$DB$5:$DG$13,"*"&amp;M45&amp;"*",採点!DB58:DM58)</f>
        <v>0</v>
      </c>
      <c r="N47" s="66">
        <f ca="1">SUMIF(採点!$DH$5:$DM$13,"*"&amp;M45&amp;"*",採点!DH58:DM58)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SUMIF(採点!$DB$5:$DG$13,"*"&amp;K46&amp;"*",採点!DB59:DM59)</f>
        <v>0</v>
      </c>
      <c r="L48" s="66">
        <f ca="1">SUMIF(採点!$DH$5:$DM$13,"*"&amp;K46&amp;"*",採点!DH59:DM59)</f>
        <v>0</v>
      </c>
      <c r="M48" s="66">
        <f ca="1">SUMIF(採点!$DB$5:$DG$13,"*"&amp;M46&amp;"*",採点!DB59:DM59)</f>
        <v>0</v>
      </c>
      <c r="N48" s="66">
        <f ca="1">SUMIF(採点!$DH$5:$DM$13,"*"&amp;M46&amp;"*",採点!DH59:DM59)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SUMIF(採点!$DB$5:$DG$13,"*"&amp;K47&amp;"*",採点!DB60:DM60)</f>
        <v>0</v>
      </c>
      <c r="L49" s="66">
        <f ca="1">SUMIF(採点!$DH$5:$DM$13,"*"&amp;K47&amp;"*",採点!DH60:DM60)</f>
        <v>0</v>
      </c>
      <c r="M49" s="66">
        <f ca="1">SUMIF(採点!$DB$5:$DG$13,"*"&amp;M47&amp;"*",採点!DB60:DM60)</f>
        <v>0</v>
      </c>
      <c r="N49" s="66">
        <f ca="1">SUMIF(採点!$DH$5:$DM$13,"*"&amp;M47&amp;"*",採点!DH60:DM60)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SUMIF(採点!$DB$5:$DG$13,"*"&amp;K48&amp;"*",採点!DB61:DM61)</f>
        <v>0</v>
      </c>
      <c r="L50" s="66">
        <f ca="1">SUMIF(採点!$DH$5:$DM$13,"*"&amp;K48&amp;"*",採点!DH61:DM61)</f>
        <v>0</v>
      </c>
      <c r="M50" s="66">
        <f ca="1">SUMIF(採点!$DB$5:$DG$13,"*"&amp;M48&amp;"*",採点!DB61:DM61)</f>
        <v>0</v>
      </c>
      <c r="N50" s="66">
        <f ca="1">SUMIF(採点!$DH$5:$DM$13,"*"&amp;M48&amp;"*",採点!DH61:DM61)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SUMIF(採点!$DB$5:$DG$13,"*"&amp;K49&amp;"*",採点!DB62:DM62)</f>
        <v>0</v>
      </c>
      <c r="L51" s="66">
        <f ca="1">SUMIF(採点!$DH$5:$DM$13,"*"&amp;K49&amp;"*",採点!DH62:DM62)</f>
        <v>0</v>
      </c>
      <c r="M51" s="66">
        <f ca="1">SUMIF(採点!$DB$5:$DG$13,"*"&amp;M49&amp;"*",採点!DB62:DM62)</f>
        <v>0</v>
      </c>
      <c r="N51" s="66">
        <f ca="1">SUMIF(採点!$DH$5:$DM$13,"*"&amp;M49&amp;"*",採点!DH62:DM62)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SUMIF(採点!$DB$5:$DG$13,"*"&amp;K50&amp;"*",採点!DB63:DM63)</f>
        <v>0</v>
      </c>
      <c r="L52" s="66">
        <f ca="1">SUMIF(採点!$DH$5:$DM$13,"*"&amp;K50&amp;"*",採点!DH63:DM63)</f>
        <v>0</v>
      </c>
      <c r="M52" s="66">
        <f ca="1">SUMIF(採点!$DB$5:$DG$13,"*"&amp;M50&amp;"*",採点!DB63:DM63)</f>
        <v>0</v>
      </c>
      <c r="N52" s="66">
        <f ca="1">SUMIF(採点!$DH$5:$DM$13,"*"&amp;M50&amp;"*",採点!DH63:DM63)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SUMIF(採点!$DB$5:$DG$13,"*"&amp;K51&amp;"*",採点!DB64:DM64)</f>
        <v>0</v>
      </c>
      <c r="L53" s="66">
        <f ca="1">SUMIF(採点!$DH$5:$DM$13,"*"&amp;K51&amp;"*",採点!DH64:DM64)</f>
        <v>0</v>
      </c>
      <c r="M53" s="66">
        <f ca="1">SUMIF(採点!$DB$5:$DG$13,"*"&amp;M51&amp;"*",採点!DB64:DM64)</f>
        <v>0</v>
      </c>
      <c r="N53" s="66">
        <f ca="1">SUMIF(採点!$DH$5:$DM$13,"*"&amp;M51&amp;"*",採点!DH64:DM64)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SUMIF(採点!$DB$5:$DG$13,"*"&amp;K52&amp;"*",採点!DB65:DM65)</f>
        <v>0</v>
      </c>
      <c r="L54" s="66">
        <f ca="1">SUMIF(採点!$DH$5:$DM$13,"*"&amp;K52&amp;"*",採点!DH65:DM65)</f>
        <v>0</v>
      </c>
      <c r="M54" s="66">
        <f ca="1">SUMIF(採点!$DB$5:$DG$13,"*"&amp;M52&amp;"*",採点!DB65:DM65)</f>
        <v>0</v>
      </c>
      <c r="N54" s="66">
        <f ca="1">SUMIF(採点!$DH$5:$DM$13,"*"&amp;M52&amp;"*",採点!DH65:DM65)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SUMIF(採点!$DB$5:$DG$13,"*"&amp;K53&amp;"*",採点!DB66:DM66)</f>
        <v>0</v>
      </c>
      <c r="L55" s="66">
        <f ca="1">SUMIF(採点!$DH$5:$DM$13,"*"&amp;K53&amp;"*",採点!DH66:DM66)</f>
        <v>0</v>
      </c>
      <c r="M55" s="66">
        <f ca="1">SUMIF(採点!$DB$5:$DG$13,"*"&amp;M53&amp;"*",採点!DB66:DM66)</f>
        <v>0</v>
      </c>
      <c r="N55" s="66">
        <f ca="1">SUMIF(採点!$DH$5:$DM$13,"*"&amp;M53&amp;"*",採点!DH66:DM66)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SUMIF(採点!$DB$5:$DG$13,"*"&amp;K54&amp;"*",採点!DB67:DM67)</f>
        <v>0</v>
      </c>
      <c r="L56" s="66">
        <f ca="1">SUMIF(採点!$DH$5:$DM$13,"*"&amp;K54&amp;"*",採点!DH67:DM67)</f>
        <v>0</v>
      </c>
      <c r="M56" s="66">
        <f ca="1">SUMIF(採点!$DB$5:$DG$13,"*"&amp;M54&amp;"*",採点!DB67:DM67)</f>
        <v>0</v>
      </c>
      <c r="N56" s="66">
        <f ca="1">SUMIF(採点!$DH$5:$DM$13,"*"&amp;M54&amp;"*",採点!DH67:DM67)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SUMIF(採点!$DB$5:$DG$13,"*"&amp;K55&amp;"*",採点!DB68:DM68)</f>
        <v>0</v>
      </c>
      <c r="L57" s="66">
        <f ca="1">SUMIF(採点!$DH$5:$DM$13,"*"&amp;K55&amp;"*",採点!DH68:DM68)</f>
        <v>0</v>
      </c>
      <c r="M57" s="66">
        <f ca="1">SUMIF(採点!$DB$5:$DG$13,"*"&amp;M55&amp;"*",採点!DB68:DM68)</f>
        <v>0</v>
      </c>
      <c r="N57" s="66">
        <f ca="1">SUMIF(採点!$DH$5:$DM$13,"*"&amp;M55&amp;"*",採点!DH68:DM68)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SUMIF(採点!$DB$5:$DG$13,"*"&amp;K56&amp;"*",採点!DB69:DM69)</f>
        <v>0</v>
      </c>
      <c r="L58" s="66">
        <f ca="1">SUMIF(採点!$DH$5:$DM$13,"*"&amp;K56&amp;"*",採点!DH69:DM69)</f>
        <v>0</v>
      </c>
      <c r="M58" s="66">
        <f ca="1">SUMIF(採点!$DB$5:$DG$13,"*"&amp;M56&amp;"*",採点!DB69:DM69)</f>
        <v>0</v>
      </c>
      <c r="N58" s="66">
        <f ca="1">SUMIF(採点!$DH$5:$DM$13,"*"&amp;M56&amp;"*",採点!DH69:DM69)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SUMIF(採点!$DB$5:$DG$13,"*"&amp;K57&amp;"*",採点!DB70:DM70)</f>
        <v>0</v>
      </c>
      <c r="L59" s="66">
        <f ca="1">SUMIF(採点!$DH$5:$DM$13,"*"&amp;K57&amp;"*",採点!DH70:DM70)</f>
        <v>0</v>
      </c>
      <c r="M59" s="66">
        <f ca="1">SUMIF(採点!$DB$5:$DG$13,"*"&amp;M57&amp;"*",採点!DB70:DM70)</f>
        <v>0</v>
      </c>
      <c r="N59" s="66">
        <f ca="1">SUMIF(採点!$DH$5:$DM$13,"*"&amp;M57&amp;"*",採点!DH70:DM70)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SUMIF(採点!$DB$5:$DG$13,"*"&amp;K58&amp;"*",採点!DB71:DM71)</f>
        <v>0</v>
      </c>
      <c r="L60" s="66">
        <f ca="1">SUMIF(採点!$DH$5:$DM$13,"*"&amp;K58&amp;"*",採点!DH71:DM71)</f>
        <v>0</v>
      </c>
      <c r="M60" s="66">
        <f ca="1">SUMIF(採点!$DB$5:$DG$13,"*"&amp;M58&amp;"*",採点!DB71:DM71)</f>
        <v>0</v>
      </c>
      <c r="N60" s="66">
        <f ca="1">SUMIF(採点!$DH$5:$DM$13,"*"&amp;M58&amp;"*",採点!DH71:DM71)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SUMIF(採点!$DB$5:$DG$13,"*"&amp;K59&amp;"*",採点!DB72:DM72)</f>
        <v>0</v>
      </c>
      <c r="L61" s="66">
        <f ca="1">SUMIF(採点!$DH$5:$DM$13,"*"&amp;K59&amp;"*",採点!DH72:DM72)</f>
        <v>0</v>
      </c>
      <c r="M61" s="66">
        <f ca="1">SUMIF(採点!$DB$5:$DG$13,"*"&amp;M59&amp;"*",採点!DB72:DM72)</f>
        <v>0</v>
      </c>
      <c r="N61" s="66">
        <f ca="1">SUMIF(採点!$DH$5:$DM$13,"*"&amp;M59&amp;"*",採点!DH72:DM72)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SUMIF(採点!$DB$5:$DG$13,"*"&amp;K60&amp;"*",採点!DB73:DM73)</f>
        <v>0</v>
      </c>
      <c r="L62" s="66">
        <f ca="1">SUMIF(採点!$DH$5:$DM$13,"*"&amp;K60&amp;"*",採点!DH73:DM73)</f>
        <v>0</v>
      </c>
      <c r="M62" s="66">
        <f ca="1">SUMIF(採点!$DB$5:$DG$13,"*"&amp;M60&amp;"*",採点!DB73:DM73)</f>
        <v>0</v>
      </c>
      <c r="N62" s="66">
        <f ca="1">SUMIF(採点!$DH$5:$DM$13,"*"&amp;M60&amp;"*",採点!DH73:DM73)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SUMIF(採点!$DB$5:$DG$13,"*"&amp;K61&amp;"*",採点!DB74:DM74)</f>
        <v>0</v>
      </c>
      <c r="L63" s="66">
        <f ca="1">SUMIF(採点!$DH$5:$DM$13,"*"&amp;K61&amp;"*",採点!DH74:DM74)</f>
        <v>0</v>
      </c>
      <c r="M63" s="66">
        <f ca="1">SUMIF(採点!$DB$5:$DG$13,"*"&amp;M61&amp;"*",採点!DB74:DM74)</f>
        <v>0</v>
      </c>
      <c r="N63" s="66">
        <f ca="1">SUMIF(採点!$DH$5:$DM$13,"*"&amp;M61&amp;"*",採点!DH74:DM74)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SUMIF(採点!$DB$5:$DG$13,"*"&amp;K62&amp;"*",採点!DB75:DM75)</f>
        <v>0</v>
      </c>
      <c r="L64" s="66">
        <f ca="1">SUMIF(採点!$DH$5:$DM$13,"*"&amp;K62&amp;"*",採点!DH75:DM75)</f>
        <v>0</v>
      </c>
      <c r="M64" s="66">
        <f ca="1">SUMIF(採点!$DB$5:$DG$13,"*"&amp;M62&amp;"*",採点!DB75:DM75)</f>
        <v>0</v>
      </c>
      <c r="N64" s="66">
        <f ca="1">SUMIF(採点!$DH$5:$DM$13,"*"&amp;M62&amp;"*",採点!DH75:DM75)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SUMIF(採点!$DB$5:$DG$13,"*"&amp;K63&amp;"*",採点!DB76:DM76)</f>
        <v>0</v>
      </c>
      <c r="L65" s="66">
        <f ca="1">SUMIF(採点!$DH$5:$DM$13,"*"&amp;K63&amp;"*",採点!DH76:DM76)</f>
        <v>0</v>
      </c>
      <c r="M65" s="66">
        <f ca="1">SUMIF(採点!$DB$5:$DG$13,"*"&amp;M63&amp;"*",採点!DB76:DM76)</f>
        <v>0</v>
      </c>
      <c r="N65" s="66">
        <f ca="1">SUMIF(採点!$DH$5:$DM$13,"*"&amp;M63&amp;"*",採点!DH76:DM76)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SUMIF(採点!$DB$5:$DG$13,"*"&amp;K64&amp;"*",採点!DB77:DM77)</f>
        <v>0</v>
      </c>
      <c r="L66" s="66">
        <f ca="1">SUMIF(採点!$DH$5:$DM$13,"*"&amp;K64&amp;"*",採点!DH77:DM77)</f>
        <v>0</v>
      </c>
      <c r="M66" s="66">
        <f ca="1">SUMIF(採点!$DB$5:$DG$13,"*"&amp;M64&amp;"*",採点!DB77:DM77)</f>
        <v>0</v>
      </c>
      <c r="N66" s="66">
        <f ca="1">SUMIF(採点!$DH$5:$DM$13,"*"&amp;M64&amp;"*",採点!DH77:DM77)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SUMIF(採点!$DB$5:$DG$13,"*"&amp;K65&amp;"*",採点!DB78:DM78)</f>
        <v>0</v>
      </c>
      <c r="L67" s="66">
        <f ca="1">SUMIF(採点!$DH$5:$DM$13,"*"&amp;K65&amp;"*",採点!DH78:DM78)</f>
        <v>0</v>
      </c>
      <c r="M67" s="66">
        <f ca="1">SUMIF(採点!$DB$5:$DG$13,"*"&amp;M65&amp;"*",採点!DB78:DM78)</f>
        <v>0</v>
      </c>
      <c r="N67" s="66">
        <f ca="1">SUMIF(採点!$DH$5:$DM$13,"*"&amp;M65&amp;"*",採点!DH78:DM78)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SUMIF(採点!$DB$5:$DG$13,"*"&amp;K66&amp;"*",採点!DB79:DM79)</f>
        <v>0</v>
      </c>
      <c r="L68" s="66">
        <f ca="1">SUMIF(採点!$DH$5:$DM$13,"*"&amp;K66&amp;"*",採点!DH79:DM79)</f>
        <v>0</v>
      </c>
      <c r="M68" s="66">
        <f ca="1">SUMIF(採点!$DB$5:$DG$13,"*"&amp;M66&amp;"*",採点!DB79:DM79)</f>
        <v>0</v>
      </c>
      <c r="N68" s="66">
        <f ca="1">SUMIF(採点!$DH$5:$DM$13,"*"&amp;M66&amp;"*",採点!DH79:DM79)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SUMIF(採点!$DB$5:$DG$13,"*"&amp;K67&amp;"*",採点!DB80:DM80)</f>
        <v>0</v>
      </c>
      <c r="L69" s="66">
        <f ca="1">SUMIF(採点!$DH$5:$DM$13,"*"&amp;K67&amp;"*",採点!DH80:DM80)</f>
        <v>0</v>
      </c>
      <c r="M69" s="66">
        <f ca="1">SUMIF(採点!$DB$5:$DG$13,"*"&amp;M67&amp;"*",採点!DB80:DM80)</f>
        <v>0</v>
      </c>
      <c r="N69" s="66">
        <f ca="1">SUMIF(採点!$DH$5:$DM$13,"*"&amp;M67&amp;"*",採点!DH80:DM80)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SUMIF(採点!$DB$5:$DG$13,"*"&amp;K68&amp;"*",採点!DB81:DM81)</f>
        <v>0</v>
      </c>
      <c r="L70" s="66">
        <f ca="1">SUMIF(採点!$DH$5:$DM$13,"*"&amp;K68&amp;"*",採点!DH81:DM81)</f>
        <v>0</v>
      </c>
      <c r="M70" s="66">
        <f ca="1">SUMIF(採点!$DB$5:$DG$13,"*"&amp;M68&amp;"*",採点!DB81:DM81)</f>
        <v>0</v>
      </c>
      <c r="N70" s="66">
        <f ca="1">SUMIF(採点!$DH$5:$DM$13,"*"&amp;M68&amp;"*",採点!DH81:DM81)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SUMIF(採点!$DB$5:$DG$13,"*"&amp;K69&amp;"*",採点!DB82:DM82)</f>
        <v>0</v>
      </c>
      <c r="L71" s="66">
        <f ca="1">SUMIF(採点!$DH$5:$DM$13,"*"&amp;K69&amp;"*",採点!DH82:DM82)</f>
        <v>0</v>
      </c>
      <c r="M71" s="66">
        <f ca="1">SUMIF(採点!$DB$5:$DG$13,"*"&amp;M69&amp;"*",採点!DB82:DM82)</f>
        <v>0</v>
      </c>
      <c r="N71" s="66">
        <f ca="1">SUMIF(採点!$DH$5:$DM$13,"*"&amp;M69&amp;"*",採点!DH82:DM82)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SUMIF(採点!$DB$5:$DG$13,"*"&amp;K70&amp;"*",採点!DB83:DM83)</f>
        <v>0</v>
      </c>
      <c r="L72" s="66">
        <f ca="1">SUMIF(採点!$DH$5:$DM$13,"*"&amp;K70&amp;"*",採点!DH83:DM83)</f>
        <v>0</v>
      </c>
      <c r="M72" s="66">
        <f ca="1">SUMIF(採点!$DB$5:$DG$13,"*"&amp;M70&amp;"*",採点!DB83:DM83)</f>
        <v>0</v>
      </c>
      <c r="N72" s="66">
        <f ca="1">SUMIF(採点!$DH$5:$DM$13,"*"&amp;M70&amp;"*",採点!DH83:DM83)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SUMIF(採点!$DB$5:$DG$13,"*"&amp;K71&amp;"*",採点!DB84:DM84)</f>
        <v>0</v>
      </c>
      <c r="L73" s="66">
        <f ca="1">SUMIF(採点!$DH$5:$DM$13,"*"&amp;K71&amp;"*",採点!DH84:DM84)</f>
        <v>0</v>
      </c>
      <c r="M73" s="66">
        <f ca="1">SUMIF(採点!$DB$5:$DG$13,"*"&amp;M71&amp;"*",採点!DB84:DM84)</f>
        <v>0</v>
      </c>
      <c r="N73" s="66">
        <f ca="1">SUMIF(採点!$DH$5:$DM$13,"*"&amp;M71&amp;"*",採点!DH84:DM84)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SUMIF(採点!$DB$5:$DG$13,"*"&amp;K72&amp;"*",採点!DB85:DM85)</f>
        <v>0</v>
      </c>
      <c r="L74" s="66">
        <f ca="1">SUMIF(採点!$DH$5:$DM$13,"*"&amp;K72&amp;"*",採点!DH85:DM85)</f>
        <v>0</v>
      </c>
      <c r="M74" s="66">
        <f ca="1">SUMIF(採点!$DB$5:$DG$13,"*"&amp;M72&amp;"*",採点!DB85:DM85)</f>
        <v>0</v>
      </c>
      <c r="N74" s="66">
        <f ca="1">SUMIF(採点!$DH$5:$DM$13,"*"&amp;M72&amp;"*",採点!DH85:DM85)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SUMIF(採点!$DB$5:$DG$13,"*"&amp;K73&amp;"*",採点!DB86:DM86)</f>
        <v>0</v>
      </c>
      <c r="L75" s="66">
        <f ca="1">SUMIF(採点!$DH$5:$DM$13,"*"&amp;K73&amp;"*",採点!DH86:DM86)</f>
        <v>0</v>
      </c>
      <c r="M75" s="66">
        <f ca="1">SUMIF(採点!$DB$5:$DG$13,"*"&amp;M73&amp;"*",採点!DB86:DM86)</f>
        <v>0</v>
      </c>
      <c r="N75" s="66">
        <f ca="1">SUMIF(採点!$DH$5:$DM$13,"*"&amp;M73&amp;"*",採点!DH86:DM86)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SUMIF(採点!$DB$5:$DG$13,"*"&amp;K74&amp;"*",採点!DB87:DM87)</f>
        <v>0</v>
      </c>
      <c r="L76" s="66">
        <f ca="1">SUMIF(採点!$DH$5:$DM$13,"*"&amp;K74&amp;"*",採点!DH87:DM87)</f>
        <v>0</v>
      </c>
      <c r="M76" s="66">
        <f ca="1">SUMIF(採点!$DB$5:$DG$13,"*"&amp;M74&amp;"*",採点!DB87:DM87)</f>
        <v>0</v>
      </c>
      <c r="N76" s="66">
        <f ca="1">SUMIF(採点!$DH$5:$DM$13,"*"&amp;M74&amp;"*",採点!DH87:DM87)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SUMIF(採点!$DB$5:$DG$13,"*"&amp;K75&amp;"*",採点!DB88:DM88)</f>
        <v>0</v>
      </c>
      <c r="L77" s="66">
        <f ca="1">SUMIF(採点!$DH$5:$DM$13,"*"&amp;K75&amp;"*",採点!DH88:DM88)</f>
        <v>0</v>
      </c>
      <c r="M77" s="66">
        <f ca="1">SUMIF(採点!$DB$5:$DG$13,"*"&amp;M75&amp;"*",採点!DB88:DM88)</f>
        <v>0</v>
      </c>
      <c r="N77" s="66">
        <f ca="1">SUMIF(採点!$DH$5:$DM$13,"*"&amp;M75&amp;"*",採点!DH88:DM88)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SUMIF(採点!$DB$5:$DG$13,"*"&amp;K76&amp;"*",採点!DB89:DM89)</f>
        <v>0</v>
      </c>
      <c r="L78" s="66">
        <f ca="1">SUMIF(採点!$DH$5:$DM$13,"*"&amp;K76&amp;"*",採点!DH89:DM89)</f>
        <v>0</v>
      </c>
      <c r="M78" s="66">
        <f ca="1">SUMIF(採点!$DB$5:$DG$13,"*"&amp;M76&amp;"*",採点!DB89:DM89)</f>
        <v>0</v>
      </c>
      <c r="N78" s="66">
        <f ca="1">SUMIF(採点!$DH$5:$DM$13,"*"&amp;M76&amp;"*",採点!DH89:DM89)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SUMIF(採点!$DB$5:$DG$13,"*"&amp;K77&amp;"*",採点!DB90:DM90)</f>
        <v>0</v>
      </c>
      <c r="L79" s="66">
        <f ca="1">SUMIF(採点!$DH$5:$DM$13,"*"&amp;K77&amp;"*",採点!DH90:DM90)</f>
        <v>0</v>
      </c>
      <c r="M79" s="66">
        <f ca="1">SUMIF(採点!$DB$5:$DG$13,"*"&amp;M77&amp;"*",採点!DB90:DM90)</f>
        <v>0</v>
      </c>
      <c r="N79" s="66">
        <f ca="1">SUMIF(採点!$DH$5:$DM$13,"*"&amp;M77&amp;"*",採点!DH90:DM90)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SUMIF(採点!$DB$5:$DG$13,"*"&amp;K78&amp;"*",採点!DB91:DM91)</f>
        <v>0</v>
      </c>
      <c r="L80" s="66">
        <f ca="1">SUMIF(採点!$DH$5:$DM$13,"*"&amp;K78&amp;"*",採点!DH91:DM91)</f>
        <v>0</v>
      </c>
      <c r="M80" s="66">
        <f ca="1">SUMIF(採点!$DB$5:$DG$13,"*"&amp;M78&amp;"*",採点!DB91:DM91)</f>
        <v>0</v>
      </c>
      <c r="N80" s="66">
        <f ca="1">SUMIF(採点!$DH$5:$DM$13,"*"&amp;M78&amp;"*",採点!DH91:DM91)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SUMIF(採点!$DB$5:$DG$13,"*"&amp;K79&amp;"*",採点!DB92:DM92)</f>
        <v>0</v>
      </c>
      <c r="L81" s="66">
        <f ca="1">SUMIF(採点!$DH$5:$DM$13,"*"&amp;K79&amp;"*",採点!DH92:DM92)</f>
        <v>0</v>
      </c>
      <c r="M81" s="66">
        <f ca="1">SUMIF(採点!$DB$5:$DG$13,"*"&amp;M79&amp;"*",採点!DB92:DM92)</f>
        <v>0</v>
      </c>
      <c r="N81" s="66">
        <f ca="1">SUMIF(採点!$DH$5:$DM$13,"*"&amp;M79&amp;"*",採点!DH92:DM92)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SUMIF(採点!$DB$5:$DG$13,"*"&amp;K80&amp;"*",採点!DB93:DM93)</f>
        <v>0</v>
      </c>
      <c r="L82" s="66">
        <f ca="1">SUMIF(採点!$DH$5:$DM$13,"*"&amp;K80&amp;"*",採点!DH93:DM93)</f>
        <v>0</v>
      </c>
      <c r="M82" s="66">
        <f ca="1">SUMIF(採点!$DB$5:$DG$13,"*"&amp;M80&amp;"*",採点!DB93:DM93)</f>
        <v>0</v>
      </c>
      <c r="N82" s="66">
        <f ca="1">SUMIF(採点!$DH$5:$DM$13,"*"&amp;M80&amp;"*",採点!DH93:DM93)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SUMIF(採点!$DB$5:$DG$13,"*"&amp;K81&amp;"*",採点!DB94:DM94)</f>
        <v>0</v>
      </c>
      <c r="L83" s="66">
        <f ca="1">SUMIF(採点!$DH$5:$DM$13,"*"&amp;K81&amp;"*",採点!DH94:DM94)</f>
        <v>0</v>
      </c>
      <c r="M83" s="66">
        <f ca="1">SUMIF(採点!$DB$5:$DG$13,"*"&amp;M81&amp;"*",採点!DB94:DM94)</f>
        <v>0</v>
      </c>
      <c r="N83" s="66">
        <f ca="1">SUMIF(採点!$DH$5:$DM$13,"*"&amp;M81&amp;"*",採点!DH94:DM94)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SUMIF(採点!$DB$5:$DG$13,"*"&amp;K82&amp;"*",採点!DB95:DM95)</f>
        <v>0</v>
      </c>
      <c r="L84" s="66">
        <f ca="1">SUMIF(採点!$DH$5:$DM$13,"*"&amp;K82&amp;"*",採点!DH95:DM95)</f>
        <v>0</v>
      </c>
      <c r="M84" s="66">
        <f ca="1">SUMIF(採点!$DB$5:$DG$13,"*"&amp;M82&amp;"*",採点!DB95:DM95)</f>
        <v>0</v>
      </c>
      <c r="N84" s="66">
        <f ca="1">SUMIF(採点!$DH$5:$DM$13,"*"&amp;M82&amp;"*",採点!DH95:DM95)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SUMIF(採点!$DB$5:$DG$13,"*"&amp;K83&amp;"*",採点!DB96:DM96)</f>
        <v>0</v>
      </c>
      <c r="L85" s="66">
        <f ca="1">SUMIF(採点!$DH$5:$DM$13,"*"&amp;K83&amp;"*",採点!DH96:DM96)</f>
        <v>0</v>
      </c>
      <c r="M85" s="66">
        <f ca="1">SUMIF(採点!$DB$5:$DG$13,"*"&amp;M83&amp;"*",採点!DB96:DM96)</f>
        <v>0</v>
      </c>
      <c r="N85" s="66">
        <f ca="1">SUMIF(採点!$DH$5:$DM$13,"*"&amp;M83&amp;"*",採点!DH96:DM96)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SUMIF(採点!$DB$5:$DG$13,"*"&amp;K84&amp;"*",採点!DB97:DM97)</f>
        <v>0</v>
      </c>
      <c r="L86" s="66">
        <f ca="1">SUMIF(採点!$DH$5:$DM$13,"*"&amp;K84&amp;"*",採点!DH97:DM97)</f>
        <v>0</v>
      </c>
      <c r="M86" s="66">
        <f ca="1">SUMIF(採点!$DB$5:$DG$13,"*"&amp;M84&amp;"*",採点!DB97:DM97)</f>
        <v>0</v>
      </c>
      <c r="N86" s="66">
        <f ca="1">SUMIF(採点!$DH$5:$DM$13,"*"&amp;M84&amp;"*",採点!DH97:DM97)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SUMIF(採点!$DB$5:$DG$13,"*"&amp;K85&amp;"*",採点!DB98:DM98)</f>
        <v>0</v>
      </c>
      <c r="L87" s="66">
        <f ca="1">SUMIF(採点!$DH$5:$DM$13,"*"&amp;K85&amp;"*",採点!DH98:DM98)</f>
        <v>0</v>
      </c>
      <c r="M87" s="66">
        <f ca="1">SUMIF(採点!$DB$5:$DG$13,"*"&amp;M85&amp;"*",採点!DB98:DM98)</f>
        <v>0</v>
      </c>
      <c r="N87" s="66">
        <f ca="1">SUMIF(採点!$DH$5:$DM$13,"*"&amp;M85&amp;"*",採点!DH98:DM98)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SUMIF(採点!$DB$5:$DG$13,"*"&amp;K86&amp;"*",採点!DB99:DM99)</f>
        <v>0</v>
      </c>
      <c r="L88" s="66">
        <f ca="1">SUMIF(採点!$DH$5:$DM$13,"*"&amp;K86&amp;"*",採点!DH99:DM99)</f>
        <v>0</v>
      </c>
      <c r="M88" s="66">
        <f ca="1">SUMIF(採点!$DB$5:$DG$13,"*"&amp;M86&amp;"*",採点!DB99:DM99)</f>
        <v>0</v>
      </c>
      <c r="N88" s="66">
        <f ca="1">SUMIF(採点!$DH$5:$DM$13,"*"&amp;M86&amp;"*",採点!DH99:DM99)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SUMIF(採点!$DB$5:$DG$13,"*"&amp;K87&amp;"*",採点!DB100:DM100)</f>
        <v>0</v>
      </c>
      <c r="L89" s="66">
        <f ca="1">SUMIF(採点!$DH$5:$DM$13,"*"&amp;K87&amp;"*",採点!DH100:DM100)</f>
        <v>0</v>
      </c>
      <c r="M89" s="66">
        <f ca="1">SUMIF(採点!$DB$5:$DG$13,"*"&amp;M87&amp;"*",採点!DB100:DM100)</f>
        <v>0</v>
      </c>
      <c r="N89" s="66">
        <f ca="1">SUMIF(採点!$DH$5:$DM$13,"*"&amp;M87&amp;"*",採点!DH100:DM100)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SUMIF(採点!$DB$5:$DG$13,"*"&amp;K88&amp;"*",採点!DB101:DM101)</f>
        <v>0</v>
      </c>
      <c r="L90" s="66">
        <f ca="1">SUMIF(採点!$DH$5:$DM$13,"*"&amp;K88&amp;"*",採点!DH101:DM101)</f>
        <v>0</v>
      </c>
      <c r="M90" s="66">
        <f ca="1">SUMIF(採点!$DB$5:$DG$13,"*"&amp;M88&amp;"*",採点!DB101:DM101)</f>
        <v>0</v>
      </c>
      <c r="N90" s="66">
        <f ca="1">SUMIF(採点!$DH$5:$DM$13,"*"&amp;M88&amp;"*",採点!DH101:DM101)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SUMIF(採点!$DB$5:$DG$13,"*"&amp;K89&amp;"*",採点!DB102:DM102)</f>
        <v>0</v>
      </c>
      <c r="L91" s="66">
        <f ca="1">SUMIF(採点!$DH$5:$DM$13,"*"&amp;K89&amp;"*",採点!DH102:DM102)</f>
        <v>0</v>
      </c>
      <c r="M91" s="66">
        <f ca="1">SUMIF(採点!$DB$5:$DG$13,"*"&amp;M89&amp;"*",採点!DB102:DM102)</f>
        <v>0</v>
      </c>
      <c r="N91" s="66">
        <f ca="1">SUMIF(採点!$DH$5:$DM$13,"*"&amp;M89&amp;"*",採点!DH102:DM102)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SUMIF(採点!$DB$5:$DG$13,"*"&amp;K90&amp;"*",採点!DB103:DM103)</f>
        <v>0</v>
      </c>
      <c r="L92" s="66">
        <f ca="1">SUMIF(採点!$DH$5:$DM$13,"*"&amp;K90&amp;"*",採点!DH103:DM103)</f>
        <v>0</v>
      </c>
      <c r="M92" s="66">
        <f ca="1">SUMIF(採点!$DB$5:$DG$13,"*"&amp;M90&amp;"*",採点!DB103:DM103)</f>
        <v>0</v>
      </c>
      <c r="N92" s="66">
        <f ca="1">SUMIF(採点!$DH$5:$DM$13,"*"&amp;M90&amp;"*",採点!DH103:DM103)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SUMIF(採点!$DB$5:$DG$13,"*"&amp;K91&amp;"*",採点!DB104:DM104)</f>
        <v>0</v>
      </c>
      <c r="L93" s="66">
        <f ca="1">SUMIF(採点!$DH$5:$DM$13,"*"&amp;K91&amp;"*",採点!DH104:DM104)</f>
        <v>0</v>
      </c>
      <c r="M93" s="66">
        <f ca="1">SUMIF(採点!$DB$5:$DG$13,"*"&amp;M91&amp;"*",採点!DB104:DM104)</f>
        <v>0</v>
      </c>
      <c r="N93" s="66">
        <f ca="1">SUMIF(採点!$DH$5:$DM$13,"*"&amp;M91&amp;"*",採点!DH104:DM104)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SUMIF(採点!$DB$5:$DG$13,"*"&amp;K92&amp;"*",採点!DB105:DM105)</f>
        <v>0</v>
      </c>
      <c r="L94" s="66">
        <f ca="1">SUMIF(採点!$DH$5:$DM$13,"*"&amp;K92&amp;"*",採点!DH105:DM105)</f>
        <v>0</v>
      </c>
      <c r="M94" s="66">
        <f ca="1">SUMIF(採点!$DB$5:$DG$13,"*"&amp;M92&amp;"*",採点!DB105:DM105)</f>
        <v>0</v>
      </c>
      <c r="N94" s="66">
        <f ca="1">SUMIF(採点!$DH$5:$DM$13,"*"&amp;M92&amp;"*",採点!DH105:DM105)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SUMIF(採点!$DB$5:$DG$13,"*"&amp;K93&amp;"*",採点!DB106:DM106)</f>
        <v>0</v>
      </c>
      <c r="L95" s="66">
        <f ca="1">SUMIF(採点!$DH$5:$DM$13,"*"&amp;K93&amp;"*",採点!DH106:DM106)</f>
        <v>0</v>
      </c>
      <c r="M95" s="66">
        <f ca="1">SUMIF(採点!$DB$5:$DG$13,"*"&amp;M93&amp;"*",採点!DB106:DM106)</f>
        <v>0</v>
      </c>
      <c r="N95" s="66">
        <f ca="1">SUMIF(採点!$DH$5:$DM$13,"*"&amp;M93&amp;"*",採点!DH106:DM106)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SUMIF(採点!$DB$5:$DG$13,"*"&amp;K94&amp;"*",採点!DB107:DM107)</f>
        <v>0</v>
      </c>
      <c r="L96" s="66">
        <f ca="1">SUMIF(採点!$DH$5:$DM$13,"*"&amp;K94&amp;"*",採点!DH107:DM107)</f>
        <v>0</v>
      </c>
      <c r="M96" s="66">
        <f ca="1">SUMIF(採点!$DB$5:$DG$13,"*"&amp;M94&amp;"*",採点!DB107:DM107)</f>
        <v>0</v>
      </c>
      <c r="N96" s="66">
        <f ca="1">SUMIF(採点!$DH$5:$DM$13,"*"&amp;M94&amp;"*",採点!DH107:DM107)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SUMIF(採点!$DB$5:$DG$13,"*"&amp;K95&amp;"*",採点!DB108:DM108)</f>
        <v>0</v>
      </c>
      <c r="L97" s="66">
        <f ca="1">SUMIF(採点!$DH$5:$DM$13,"*"&amp;K95&amp;"*",採点!DH108:DM108)</f>
        <v>0</v>
      </c>
      <c r="M97" s="66">
        <f ca="1">SUMIF(採点!$DB$5:$DG$13,"*"&amp;M95&amp;"*",採点!DB108:DM108)</f>
        <v>0</v>
      </c>
      <c r="N97" s="66">
        <f ca="1">SUMIF(採点!$DH$5:$DM$13,"*"&amp;M95&amp;"*",採点!DH108:DM108)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SUMIF(採点!$DB$5:$DG$13,"*"&amp;K96&amp;"*",採点!DB109:DM109)</f>
        <v>0</v>
      </c>
      <c r="L98" s="66">
        <f ca="1">SUMIF(採点!$DH$5:$DM$13,"*"&amp;K96&amp;"*",採点!DH109:DM109)</f>
        <v>0</v>
      </c>
      <c r="M98" s="66">
        <f ca="1">SUMIF(採点!$DB$5:$DG$13,"*"&amp;M96&amp;"*",採点!DB109:DM109)</f>
        <v>0</v>
      </c>
      <c r="N98" s="66">
        <f ca="1">SUMIF(採点!$DH$5:$DM$13,"*"&amp;M96&amp;"*",採点!DH109:DM109)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SUMIF(採点!$DB$5:$DG$13,"*"&amp;K97&amp;"*",採点!DB110:DM110)</f>
        <v>0</v>
      </c>
      <c r="L99" s="66">
        <f ca="1">SUMIF(採点!$DH$5:$DM$13,"*"&amp;K97&amp;"*",採点!DH110:DM110)</f>
        <v>0</v>
      </c>
      <c r="M99" s="66">
        <f ca="1">SUMIF(採点!$DB$5:$DG$13,"*"&amp;M97&amp;"*",採点!DB110:DM110)</f>
        <v>0</v>
      </c>
      <c r="N99" s="66">
        <f ca="1">SUMIF(採点!$DH$5:$DM$13,"*"&amp;M97&amp;"*",採点!DH110:DM110)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SUMIF(採点!$DB$5:$DG$13,"*"&amp;K98&amp;"*",採点!DB111:DM111)</f>
        <v>0</v>
      </c>
      <c r="L100" s="66">
        <f ca="1">SUMIF(採点!$DH$5:$DM$13,"*"&amp;K98&amp;"*",採点!DH111:DM111)</f>
        <v>0</v>
      </c>
      <c r="M100" s="66">
        <f ca="1">SUMIF(採点!$DB$5:$DG$13,"*"&amp;M98&amp;"*",採点!DB111:DM111)</f>
        <v>0</v>
      </c>
      <c r="N100" s="66">
        <f ca="1">SUMIF(採点!$DH$5:$DM$13,"*"&amp;M98&amp;"*",採点!DH111:DM111)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SUMIF(採点!$DB$5:$DG$13,"*"&amp;K99&amp;"*",採点!DB112:DM112)</f>
        <v>0</v>
      </c>
      <c r="L101" s="66">
        <f ca="1">SUMIF(採点!$DH$5:$DM$13,"*"&amp;K99&amp;"*",採点!DH112:DM112)</f>
        <v>0</v>
      </c>
      <c r="M101" s="66">
        <f ca="1">SUMIF(採点!$DB$5:$DG$13,"*"&amp;M99&amp;"*",採点!DB112:DM112)</f>
        <v>0</v>
      </c>
      <c r="N101" s="66">
        <f ca="1">SUMIF(採点!$DH$5:$DM$13,"*"&amp;M99&amp;"*",採点!DH112:DM112)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SUMIF(採点!$DB$5:$DG$13,"*"&amp;K100&amp;"*",採点!DB113:DM113)</f>
        <v>0</v>
      </c>
      <c r="L102" s="66">
        <f ca="1">SUMIF(採点!$DH$5:$DM$13,"*"&amp;K100&amp;"*",採点!DH113:DM113)</f>
        <v>0</v>
      </c>
      <c r="M102" s="66">
        <f ca="1">SUMIF(採点!$DB$5:$DG$13,"*"&amp;M100&amp;"*",採点!DB113:DM113)</f>
        <v>0</v>
      </c>
      <c r="N102" s="66">
        <f ca="1">SUMIF(採点!$DH$5:$DM$13,"*"&amp;M100&amp;"*",採点!DH113:DM113)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SUMIF(採点!$DB$5:$DG$13,"*"&amp;K101&amp;"*",採点!DB114:DM114)</f>
        <v>0</v>
      </c>
      <c r="L103" s="66">
        <f ca="1">SUMIF(採点!$DH$5:$DM$13,"*"&amp;K101&amp;"*",採点!DH114:DM114)</f>
        <v>0</v>
      </c>
      <c r="M103" s="66">
        <f ca="1">SUMIF(採点!$DB$5:$DG$13,"*"&amp;M101&amp;"*",採点!DB114:DM114)</f>
        <v>0</v>
      </c>
      <c r="N103" s="66">
        <f ca="1">SUMIF(採点!$DH$5:$DM$13,"*"&amp;M101&amp;"*",採点!DH114:DM114)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SUMIF(採点!$DB$5:$DG$13,"*"&amp;K102&amp;"*",採点!DB115:DM115)</f>
        <v>0</v>
      </c>
      <c r="L104" s="66">
        <f ca="1">SUMIF(採点!$DH$5:$DM$13,"*"&amp;K102&amp;"*",採点!DH115:DM115)</f>
        <v>0</v>
      </c>
      <c r="M104" s="66">
        <f ca="1">SUMIF(採点!$DB$5:$DG$13,"*"&amp;M102&amp;"*",採点!DB115:DM115)</f>
        <v>0</v>
      </c>
      <c r="N104" s="66">
        <f ca="1">SUMIF(採点!$DH$5:$DM$13,"*"&amp;M102&amp;"*",採点!DH115:DM115)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SUMIF(採点!$DB$5:$DG$13,"*"&amp;K103&amp;"*",採点!DB116:DM116)</f>
        <v>0</v>
      </c>
      <c r="L105" s="66">
        <f ca="1">SUMIF(採点!$DH$5:$DM$13,"*"&amp;K103&amp;"*",採点!DH116:DM116)</f>
        <v>0</v>
      </c>
      <c r="M105" s="66">
        <f ca="1">SUMIF(採点!$DB$5:$DG$13,"*"&amp;M103&amp;"*",採点!DB116:DM116)</f>
        <v>0</v>
      </c>
      <c r="N105" s="66">
        <f ca="1">SUMIF(採点!$DH$5:$DM$13,"*"&amp;M103&amp;"*",採点!DH116:DM116)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SUMIF(採点!$DB$5:$DG$13,"*"&amp;K104&amp;"*",採点!DB117:DM117)</f>
        <v>0</v>
      </c>
      <c r="L106" s="66">
        <f ca="1">SUMIF(採点!$DH$5:$DM$13,"*"&amp;K104&amp;"*",採点!DH117:DM117)</f>
        <v>0</v>
      </c>
      <c r="M106" s="66">
        <f ca="1">SUMIF(採点!$DB$5:$DG$13,"*"&amp;M104&amp;"*",採点!DB117:DM117)</f>
        <v>0</v>
      </c>
      <c r="N106" s="66">
        <f ca="1">SUMIF(採点!$DH$5:$DM$13,"*"&amp;M104&amp;"*",採点!DH117:DM117)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SUMIF(採点!$DB$5:$DG$13,"*"&amp;K105&amp;"*",採点!DB118:DM118)</f>
        <v>0</v>
      </c>
      <c r="L107" s="66">
        <f ca="1">SUMIF(採点!$DH$5:$DM$13,"*"&amp;K105&amp;"*",採点!DH118:DM118)</f>
        <v>0</v>
      </c>
      <c r="M107" s="66">
        <f ca="1">SUMIF(採点!$DB$5:$DG$13,"*"&amp;M105&amp;"*",採点!DB118:DM118)</f>
        <v>0</v>
      </c>
      <c r="N107" s="66">
        <f ca="1">SUMIF(採点!$DH$5:$DM$13,"*"&amp;M105&amp;"*",採点!DH118:DM118)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SUMIF(採点!$DB$5:$DG$13,"*"&amp;K106&amp;"*",採点!DB119:DM119)</f>
        <v>0</v>
      </c>
      <c r="L108" s="66">
        <f ca="1">SUMIF(採点!$DH$5:$DM$13,"*"&amp;K106&amp;"*",採点!DH119:DM119)</f>
        <v>0</v>
      </c>
      <c r="M108" s="66">
        <f ca="1">SUMIF(採点!$DB$5:$DG$13,"*"&amp;M106&amp;"*",採点!DB119:DM119)</f>
        <v>0</v>
      </c>
      <c r="N108" s="66">
        <f ca="1">SUMIF(採点!$DH$5:$DM$13,"*"&amp;M106&amp;"*",採点!DH119:DM119)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SUMIF(採点!$DB$5:$DG$13,"*"&amp;K107&amp;"*",採点!DB120:DM120)</f>
        <v>0</v>
      </c>
      <c r="L109" s="66">
        <f ca="1">SUMIF(採点!$DH$5:$DM$13,"*"&amp;K107&amp;"*",採点!DH120:DM120)</f>
        <v>0</v>
      </c>
      <c r="M109" s="66">
        <f ca="1">SUMIF(採点!$DB$5:$DG$13,"*"&amp;M107&amp;"*",採点!DB120:DM120)</f>
        <v>0</v>
      </c>
      <c r="N109" s="66">
        <f ca="1">SUMIF(採点!$DH$5:$DM$13,"*"&amp;M107&amp;"*",採点!DH120:DM120)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SUMIF(採点!$DB$5:$DG$13,"*"&amp;K108&amp;"*",採点!DB121:DM121)</f>
        <v>0</v>
      </c>
      <c r="L110" s="66">
        <f ca="1">SUMIF(採点!$DH$5:$DM$13,"*"&amp;K108&amp;"*",採点!DH121:DM121)</f>
        <v>0</v>
      </c>
      <c r="M110" s="66">
        <f ca="1">SUMIF(採点!$DB$5:$DG$13,"*"&amp;M108&amp;"*",採点!DB121:DM121)</f>
        <v>0</v>
      </c>
      <c r="N110" s="66">
        <f ca="1">SUMIF(採点!$DH$5:$DM$13,"*"&amp;M108&amp;"*",採点!DH121:DM121)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SUMIF(採点!$DB$5:$DG$13,"*"&amp;K109&amp;"*",採点!DB122:DM122)</f>
        <v>0</v>
      </c>
      <c r="L111" s="66">
        <f ca="1">SUMIF(採点!$DH$5:$DM$13,"*"&amp;K109&amp;"*",採点!DH122:DM122)</f>
        <v>0</v>
      </c>
      <c r="M111" s="66">
        <f ca="1">SUMIF(採点!$DB$5:$DG$13,"*"&amp;M109&amp;"*",採点!DB122:DM122)</f>
        <v>0</v>
      </c>
      <c r="N111" s="66">
        <f ca="1">SUMIF(採点!$DH$5:$DM$13,"*"&amp;M109&amp;"*",採点!DH122:DM122)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SUMIF(採点!$DB$5:$DG$13,"*"&amp;K110&amp;"*",採点!DB123:DM123)</f>
        <v>0</v>
      </c>
      <c r="L112" s="66">
        <f ca="1">SUMIF(採点!$DH$5:$DM$13,"*"&amp;K110&amp;"*",採点!DH123:DM123)</f>
        <v>0</v>
      </c>
      <c r="M112" s="66">
        <f ca="1">SUMIF(採点!$DB$5:$DG$13,"*"&amp;M110&amp;"*",採点!DB123:DM123)</f>
        <v>0</v>
      </c>
      <c r="N112" s="66">
        <f ca="1">SUMIF(採点!$DH$5:$DM$13,"*"&amp;M110&amp;"*",採点!DH123:DM123)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SUMIF(採点!$DB$5:$DG$13,"*"&amp;K111&amp;"*",採点!DB124:DM124)</f>
        <v>0</v>
      </c>
      <c r="L113" s="66">
        <f ca="1">SUMIF(採点!$DH$5:$DM$13,"*"&amp;K111&amp;"*",採点!DH124:DM124)</f>
        <v>0</v>
      </c>
      <c r="M113" s="66">
        <f ca="1">SUMIF(採点!$DB$5:$DG$13,"*"&amp;M111&amp;"*",採点!DB124:DM124)</f>
        <v>0</v>
      </c>
      <c r="N113" s="66">
        <f ca="1">SUMIF(採点!$DH$5:$DM$13,"*"&amp;M111&amp;"*",採点!DH124:DM124)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SUMIF(採点!$DB$5:$DG$13,"*"&amp;K112&amp;"*",採点!DB125:DM125)</f>
        <v>0</v>
      </c>
      <c r="L114" s="66">
        <f ca="1">SUMIF(採点!$DH$5:$DM$13,"*"&amp;K112&amp;"*",採点!DH125:DM125)</f>
        <v>0</v>
      </c>
      <c r="M114" s="66">
        <f ca="1">SUMIF(採点!$DB$5:$DG$13,"*"&amp;M112&amp;"*",採点!DB125:DM125)</f>
        <v>0</v>
      </c>
      <c r="N114" s="66">
        <f ca="1">SUMIF(採点!$DH$5:$DM$13,"*"&amp;M112&amp;"*",採点!DH125:DM125)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SUMIF(採点!$DB$5:$DG$13,"*"&amp;K113&amp;"*",採点!DB126:DM126)</f>
        <v>0</v>
      </c>
      <c r="L115" s="66">
        <f ca="1">SUMIF(採点!$DH$5:$DM$13,"*"&amp;K113&amp;"*",採点!DH126:DM126)</f>
        <v>0</v>
      </c>
      <c r="M115" s="66">
        <f ca="1">SUMIF(採点!$DB$5:$DG$13,"*"&amp;M113&amp;"*",採点!DB126:DM126)</f>
        <v>0</v>
      </c>
      <c r="N115" s="66">
        <f ca="1">SUMIF(採点!$DH$5:$DM$13,"*"&amp;M113&amp;"*",採点!DH126:DM126)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SUMIF(採点!$DB$5:$DG$13,"*"&amp;K114&amp;"*",採点!DB127:DM127)</f>
        <v>0</v>
      </c>
      <c r="L116" s="66">
        <f ca="1">SUMIF(採点!$DH$5:$DM$13,"*"&amp;K114&amp;"*",採点!DH127:DM127)</f>
        <v>0</v>
      </c>
      <c r="M116" s="66">
        <f ca="1">SUMIF(採点!$DB$5:$DG$13,"*"&amp;M114&amp;"*",採点!DB127:DM127)</f>
        <v>0</v>
      </c>
      <c r="N116" s="66">
        <f ca="1">SUMIF(採点!$DH$5:$DM$13,"*"&amp;M114&amp;"*",採点!DH127:DM127)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SUMIF(採点!$DB$5:$DG$13,"*"&amp;K115&amp;"*",採点!DB128:DM128)</f>
        <v>0</v>
      </c>
      <c r="L117" s="66">
        <f ca="1">SUMIF(採点!$DH$5:$DM$13,"*"&amp;K115&amp;"*",採点!DH128:DM128)</f>
        <v>0</v>
      </c>
      <c r="M117" s="66">
        <f ca="1">SUMIF(採点!$DB$5:$DG$13,"*"&amp;M115&amp;"*",採点!DB128:DM128)</f>
        <v>0</v>
      </c>
      <c r="N117" s="66">
        <f ca="1">SUMIF(採点!$DH$5:$DM$13,"*"&amp;M115&amp;"*",採点!DH128:DM128)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SUMIF(採点!$DB$5:$DG$13,"*"&amp;K116&amp;"*",採点!DB129:DM129)</f>
        <v>0</v>
      </c>
      <c r="L118" s="66">
        <f ca="1">SUMIF(採点!$DH$5:$DM$13,"*"&amp;K116&amp;"*",採点!DH129:DM129)</f>
        <v>0</v>
      </c>
      <c r="M118" s="66">
        <f ca="1">SUMIF(採点!$DB$5:$DG$13,"*"&amp;M116&amp;"*",採点!DB129:DM129)</f>
        <v>0</v>
      </c>
      <c r="N118" s="66">
        <f ca="1">SUMIF(採点!$DH$5:$DM$13,"*"&amp;M116&amp;"*",採点!DH129:DM129)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SUMIF(採点!$DB$5:$DG$13,"*"&amp;K117&amp;"*",採点!DB130:DM130)</f>
        <v>0</v>
      </c>
      <c r="L119" s="66">
        <f ca="1">SUMIF(採点!$DH$5:$DM$13,"*"&amp;K117&amp;"*",採点!DH130:DM130)</f>
        <v>0</v>
      </c>
      <c r="M119" s="66">
        <f ca="1">SUMIF(採点!$DB$5:$DG$13,"*"&amp;M117&amp;"*",採点!DB130:DM130)</f>
        <v>0</v>
      </c>
      <c r="N119" s="66">
        <f ca="1">SUMIF(採点!$DH$5:$DM$13,"*"&amp;M117&amp;"*",採点!DH130:DM130)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SUMIF(採点!$DB$5:$DG$13,"*"&amp;K118&amp;"*",採点!DB131:DM131)</f>
        <v>0</v>
      </c>
      <c r="L120" s="66">
        <f ca="1">SUMIF(採点!$DH$5:$DM$13,"*"&amp;K118&amp;"*",採点!DH131:DM131)</f>
        <v>0</v>
      </c>
      <c r="M120" s="66">
        <f ca="1">SUMIF(採点!$DB$5:$DG$13,"*"&amp;M118&amp;"*",採点!DB131:DM131)</f>
        <v>0</v>
      </c>
      <c r="N120" s="66">
        <f ca="1">SUMIF(採点!$DH$5:$DM$13,"*"&amp;M118&amp;"*",採点!DH131:DM131)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SUMIF(採点!$DB$5:$DG$13,"*"&amp;K119&amp;"*",採点!DB132:DM132)</f>
        <v>0</v>
      </c>
      <c r="L121" s="66">
        <f ca="1">SUMIF(採点!$DH$5:$DM$13,"*"&amp;K119&amp;"*",採点!DH132:DM132)</f>
        <v>0</v>
      </c>
      <c r="M121" s="66">
        <f ca="1">SUMIF(採点!$DB$5:$DG$13,"*"&amp;M119&amp;"*",採点!DB132:DM132)</f>
        <v>0</v>
      </c>
      <c r="N121" s="66">
        <f ca="1">SUMIF(採点!$DH$5:$DM$13,"*"&amp;M119&amp;"*",採点!DH132:DM132)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SUMIF(採点!$DB$5:$DG$13,"*"&amp;K120&amp;"*",採点!DB133:DM133)</f>
        <v>0</v>
      </c>
      <c r="L122" s="66">
        <f ca="1">SUMIF(採点!$DH$5:$DM$13,"*"&amp;K120&amp;"*",採点!DH133:DM133)</f>
        <v>0</v>
      </c>
      <c r="M122" s="66">
        <f ca="1">SUMIF(採点!$DB$5:$DG$13,"*"&amp;M120&amp;"*",採点!DB133:DM133)</f>
        <v>0</v>
      </c>
      <c r="N122" s="66">
        <f ca="1">SUMIF(採点!$DH$5:$DM$13,"*"&amp;M120&amp;"*",採点!DH133:DM133)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SUMIF(採点!$DB$5:$DG$13,"*"&amp;K121&amp;"*",採点!DB134:DM134)</f>
        <v>0</v>
      </c>
      <c r="L123" s="66">
        <f ca="1">SUMIF(採点!$DH$5:$DM$13,"*"&amp;K121&amp;"*",採点!DH134:DM134)</f>
        <v>0</v>
      </c>
      <c r="M123" s="66">
        <f ca="1">SUMIF(採点!$DB$5:$DG$13,"*"&amp;M121&amp;"*",採点!DB134:DM134)</f>
        <v>0</v>
      </c>
      <c r="N123" s="66">
        <f ca="1">SUMIF(採点!$DH$5:$DM$13,"*"&amp;M121&amp;"*",採点!DH134:DM134)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SUMIF(採点!$DB$5:$DG$13,"*"&amp;K122&amp;"*",採点!DB135:DM135)</f>
        <v>0</v>
      </c>
      <c r="L124" s="66">
        <f ca="1">SUMIF(採点!$DH$5:$DM$13,"*"&amp;K122&amp;"*",採点!DH135:DM135)</f>
        <v>0</v>
      </c>
      <c r="M124" s="66">
        <f ca="1">SUMIF(採点!$DB$5:$DG$13,"*"&amp;M122&amp;"*",採点!DB135:DM135)</f>
        <v>0</v>
      </c>
      <c r="N124" s="66">
        <f ca="1">SUMIF(採点!$DH$5:$DM$13,"*"&amp;M122&amp;"*",採点!DH135:DM135)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SUMIF(採点!$DB$5:$DG$13,"*"&amp;K123&amp;"*",採点!DB136:DM136)</f>
        <v>0</v>
      </c>
      <c r="L125" s="66">
        <f ca="1">SUMIF(採点!$DH$5:$DM$13,"*"&amp;K123&amp;"*",採点!DH136:DM136)</f>
        <v>0</v>
      </c>
      <c r="M125" s="66">
        <f ca="1">SUMIF(採点!$DB$5:$DG$13,"*"&amp;M123&amp;"*",採点!DB136:DM136)</f>
        <v>0</v>
      </c>
      <c r="N125" s="66">
        <f ca="1">SUMIF(採点!$DH$5:$DM$13,"*"&amp;M123&amp;"*",採点!DH136:DM136)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SUMIF(採点!$DB$5:$DG$13,"*"&amp;K124&amp;"*",採点!DB137:DM137)</f>
        <v>0</v>
      </c>
      <c r="L126" s="66">
        <f ca="1">SUMIF(採点!$DH$5:$DM$13,"*"&amp;K124&amp;"*",採点!DH137:DM137)</f>
        <v>0</v>
      </c>
      <c r="M126" s="66">
        <f ca="1">SUMIF(採点!$DB$5:$DG$13,"*"&amp;M124&amp;"*",採点!DB137:DM137)</f>
        <v>0</v>
      </c>
      <c r="N126" s="66">
        <f ca="1">SUMIF(採点!$DH$5:$DM$13,"*"&amp;M124&amp;"*",採点!DH137:DM137)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SUMIF(採点!$DB$5:$DG$13,"*"&amp;K125&amp;"*",採点!DB138:DM138)</f>
        <v>0</v>
      </c>
      <c r="L127" s="66">
        <f ca="1">SUMIF(採点!$DH$5:$DM$13,"*"&amp;K125&amp;"*",採点!DH138:DM138)</f>
        <v>0</v>
      </c>
      <c r="M127" s="66">
        <f ca="1">SUMIF(採点!$DB$5:$DG$13,"*"&amp;M125&amp;"*",採点!DB138:DM138)</f>
        <v>0</v>
      </c>
      <c r="N127" s="66">
        <f ca="1">SUMIF(採点!$DH$5:$DM$13,"*"&amp;M125&amp;"*",採点!DH138:DM138)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SUMIF(採点!$DB$5:$DG$13,"*"&amp;K126&amp;"*",採点!DB139:DM139)</f>
        <v>0</v>
      </c>
      <c r="L128" s="66">
        <f ca="1">SUMIF(採点!$DH$5:$DM$13,"*"&amp;K126&amp;"*",採点!DH139:DM139)</f>
        <v>0</v>
      </c>
      <c r="M128" s="66">
        <f ca="1">SUMIF(採点!$DB$5:$DG$13,"*"&amp;M126&amp;"*",採点!DB139:DM139)</f>
        <v>0</v>
      </c>
      <c r="N128" s="66">
        <f ca="1">SUMIF(採点!$DH$5:$DM$13,"*"&amp;M126&amp;"*",採点!DH139:DM139)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SUMIF(採点!$DB$5:$DG$13,"*"&amp;K127&amp;"*",採点!DB140:DM140)</f>
        <v>0</v>
      </c>
      <c r="L129" s="66">
        <f ca="1">SUMIF(採点!$DH$5:$DM$13,"*"&amp;K127&amp;"*",採点!DH140:DM140)</f>
        <v>0</v>
      </c>
      <c r="M129" s="66">
        <f ca="1">SUMIF(採点!$DB$5:$DG$13,"*"&amp;M127&amp;"*",採点!DB140:DM140)</f>
        <v>0</v>
      </c>
      <c r="N129" s="66">
        <f ca="1">SUMIF(採点!$DH$5:$DM$13,"*"&amp;M127&amp;"*",採点!DH140:DM140)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SUMIF(採点!$DB$5:$DG$13,"*"&amp;K128&amp;"*",採点!DB141:DM141)</f>
        <v>0</v>
      </c>
      <c r="L130" s="66">
        <f ca="1">SUMIF(採点!$DH$5:$DM$13,"*"&amp;K128&amp;"*",採点!DH141:DM141)</f>
        <v>0</v>
      </c>
      <c r="M130" s="66">
        <f ca="1">SUMIF(採点!$DB$5:$DG$13,"*"&amp;M128&amp;"*",採点!DB141:DM141)</f>
        <v>0</v>
      </c>
      <c r="N130" s="66">
        <f ca="1">SUMIF(採点!$DH$5:$DM$13,"*"&amp;M128&amp;"*",採点!DH141:DM141)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SUMIF(採点!$DB$5:$DG$13,"*"&amp;K129&amp;"*",採点!DB142:DM142)</f>
        <v>0</v>
      </c>
      <c r="L131" s="66">
        <f ca="1">SUMIF(採点!$DH$5:$DM$13,"*"&amp;K129&amp;"*",採点!DH142:DM142)</f>
        <v>0</v>
      </c>
      <c r="M131" s="66">
        <f ca="1">SUMIF(採点!$DB$5:$DG$13,"*"&amp;M129&amp;"*",採点!DB142:DM142)</f>
        <v>0</v>
      </c>
      <c r="N131" s="66">
        <f ca="1">SUMIF(採点!$DH$5:$DM$13,"*"&amp;M129&amp;"*",採点!DH142:DM142)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SUMIF(採点!$DB$5:$DG$13,"*"&amp;K130&amp;"*",採点!DB143:DM143)</f>
        <v>0</v>
      </c>
      <c r="L132" s="66">
        <f ca="1">SUMIF(採点!$DH$5:$DM$13,"*"&amp;K130&amp;"*",採点!DH143:DM143)</f>
        <v>0</v>
      </c>
      <c r="M132" s="66">
        <f ca="1">SUMIF(採点!$DB$5:$DG$13,"*"&amp;M130&amp;"*",採点!DB143:DM143)</f>
        <v>0</v>
      </c>
      <c r="N132" s="66">
        <f ca="1">SUMIF(採点!$DH$5:$DM$13,"*"&amp;M130&amp;"*",採点!DH143:DM143)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SUMIF(採点!$DB$5:$DG$13,"*"&amp;K131&amp;"*",採点!DB144:DM144)</f>
        <v>0</v>
      </c>
      <c r="L133" s="66">
        <f ca="1">SUMIF(採点!$DH$5:$DM$13,"*"&amp;K131&amp;"*",採点!DH144:DM144)</f>
        <v>0</v>
      </c>
      <c r="M133" s="66">
        <f ca="1">SUMIF(採点!$DB$5:$DG$13,"*"&amp;M131&amp;"*",採点!DB144:DM144)</f>
        <v>0</v>
      </c>
      <c r="N133" s="66">
        <f ca="1">SUMIF(採点!$DH$5:$DM$13,"*"&amp;M131&amp;"*",採点!DH144:DM144)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SUMIF(採点!$DB$5:$DG$13,"*"&amp;K132&amp;"*",採点!DB145:DM145)</f>
        <v>0</v>
      </c>
      <c r="L134" s="66">
        <f ca="1">SUMIF(採点!$DH$5:$DM$13,"*"&amp;K132&amp;"*",採点!DH145:DM145)</f>
        <v>0</v>
      </c>
      <c r="M134" s="66">
        <f ca="1">SUMIF(採点!$DB$5:$DG$13,"*"&amp;M132&amp;"*",採点!DB145:DM145)</f>
        <v>0</v>
      </c>
      <c r="N134" s="66">
        <f ca="1">SUMIF(採点!$DH$5:$DM$13,"*"&amp;M132&amp;"*",採点!DH145:DM145)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SUMIF(採点!$DB$5:$DG$13,"*"&amp;K133&amp;"*",採点!DB146:DM146)</f>
        <v>0</v>
      </c>
      <c r="L135" s="66">
        <f ca="1">SUMIF(採点!$DH$5:$DM$13,"*"&amp;K133&amp;"*",採点!DH146:DM146)</f>
        <v>0</v>
      </c>
      <c r="M135" s="66">
        <f ca="1">SUMIF(採点!$DB$5:$DG$13,"*"&amp;M133&amp;"*",採点!DB146:DM146)</f>
        <v>0</v>
      </c>
      <c r="N135" s="66">
        <f ca="1">SUMIF(採点!$DH$5:$DM$13,"*"&amp;M133&amp;"*",採点!DH146:DM146)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SUMIF(採点!$DB$5:$DG$13,"*"&amp;K134&amp;"*",採点!DB147:DM147)</f>
        <v>0</v>
      </c>
      <c r="L136" s="66">
        <f ca="1">SUMIF(採点!$DH$5:$DM$13,"*"&amp;K134&amp;"*",採点!DH147:DM147)</f>
        <v>0</v>
      </c>
      <c r="M136" s="66">
        <f ca="1">SUMIF(採点!$DB$5:$DG$13,"*"&amp;M134&amp;"*",採点!DB147:DM147)</f>
        <v>0</v>
      </c>
      <c r="N136" s="66">
        <f ca="1">SUMIF(採点!$DH$5:$DM$13,"*"&amp;M134&amp;"*",採点!DH147:DM147)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SUMIF(採点!$DB$5:$DG$13,"*"&amp;K135&amp;"*",採点!DB148:DM148)</f>
        <v>0</v>
      </c>
      <c r="L137" s="66">
        <f ca="1">SUMIF(採点!$DH$5:$DM$13,"*"&amp;K135&amp;"*",採点!DH148:DM148)</f>
        <v>0</v>
      </c>
      <c r="M137" s="66">
        <f ca="1">SUMIF(採点!$DB$5:$DG$13,"*"&amp;M135&amp;"*",採点!DB148:DM148)</f>
        <v>0</v>
      </c>
      <c r="N137" s="66">
        <f ca="1">SUMIF(採点!$DH$5:$DM$13,"*"&amp;M135&amp;"*",採点!DH148:DM148)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SUMIF(採点!$DB$5:$DG$13,"*"&amp;K136&amp;"*",採点!DB149:DM149)</f>
        <v>0</v>
      </c>
      <c r="L138" s="66">
        <f ca="1">SUMIF(採点!$DH$5:$DM$13,"*"&amp;K136&amp;"*",採点!DH149:DM149)</f>
        <v>0</v>
      </c>
      <c r="M138" s="66">
        <f ca="1">SUMIF(採点!$DB$5:$DG$13,"*"&amp;M136&amp;"*",採点!DB149:DM149)</f>
        <v>0</v>
      </c>
      <c r="N138" s="66">
        <f ca="1">SUMIF(採点!$DH$5:$DM$13,"*"&amp;M136&amp;"*",採点!DH149:DM149)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SUMIF(採点!$DB$5:$DG$13,"*"&amp;K137&amp;"*",採点!DB150:DM150)</f>
        <v>0</v>
      </c>
      <c r="L139" s="66">
        <f ca="1">SUMIF(採点!$DH$5:$DM$13,"*"&amp;K137&amp;"*",採点!DH150:DM150)</f>
        <v>0</v>
      </c>
      <c r="M139" s="66">
        <f ca="1">SUMIF(採点!$DB$5:$DG$13,"*"&amp;M137&amp;"*",採点!DB150:DM150)</f>
        <v>0</v>
      </c>
      <c r="N139" s="66">
        <f ca="1">SUMIF(採点!$DH$5:$DM$13,"*"&amp;M137&amp;"*",採点!DH150:DM150)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SUMIF(採点!$DB$5:$DG$13,"*"&amp;K138&amp;"*",採点!DB151:DM151)</f>
        <v>0</v>
      </c>
      <c r="L140" s="66">
        <f ca="1">SUMIF(採点!$DH$5:$DM$13,"*"&amp;K138&amp;"*",採点!DH151:DM151)</f>
        <v>0</v>
      </c>
      <c r="M140" s="66">
        <f ca="1">SUMIF(採点!$DB$5:$DG$13,"*"&amp;M138&amp;"*",採点!DB151:DM151)</f>
        <v>0</v>
      </c>
      <c r="N140" s="66">
        <f ca="1">SUMIF(採点!$DH$5:$DM$13,"*"&amp;M138&amp;"*",採点!DH151:DM151)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SUMIF(採点!$DB$5:$DG$13,"*"&amp;K139&amp;"*",採点!DB152:DM152)</f>
        <v>0</v>
      </c>
      <c r="L141" s="66">
        <f ca="1">SUMIF(採点!$DH$5:$DM$13,"*"&amp;K139&amp;"*",採点!DH152:DM152)</f>
        <v>0</v>
      </c>
      <c r="M141" s="66">
        <f ca="1">SUMIF(採点!$DB$5:$DG$13,"*"&amp;M139&amp;"*",採点!DB152:DM152)</f>
        <v>0</v>
      </c>
      <c r="N141" s="66">
        <f ca="1">SUMIF(採点!$DH$5:$DM$13,"*"&amp;M139&amp;"*",採点!DH152:DM152)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SUMIF(採点!$DB$5:$DG$13,"*"&amp;K140&amp;"*",採点!DB153:DM153)</f>
        <v>0</v>
      </c>
      <c r="L142" s="66">
        <f ca="1">SUMIF(採点!$DH$5:$DM$13,"*"&amp;K140&amp;"*",採点!DH153:DM153)</f>
        <v>0</v>
      </c>
      <c r="M142" s="66">
        <f ca="1">SUMIF(採点!$DB$5:$DG$13,"*"&amp;M140&amp;"*",採点!DB153:DM153)</f>
        <v>0</v>
      </c>
      <c r="N142" s="66">
        <f ca="1">SUMIF(採点!$DH$5:$DM$13,"*"&amp;M140&amp;"*",採点!DH153:DM153)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SUMIF(採点!$DB$5:$DG$13,"*"&amp;K141&amp;"*",採点!DB154:DM154)</f>
        <v>0</v>
      </c>
      <c r="L143" s="66">
        <f ca="1">SUMIF(採点!$DH$5:$DM$13,"*"&amp;K141&amp;"*",採点!DH154:DM154)</f>
        <v>0</v>
      </c>
      <c r="M143" s="66">
        <f ca="1">SUMIF(採点!$DB$5:$DG$13,"*"&amp;M141&amp;"*",採点!DB154:DM154)</f>
        <v>0</v>
      </c>
      <c r="N143" s="66">
        <f ca="1">SUMIF(採点!$DH$5:$DM$13,"*"&amp;M141&amp;"*",採点!DH154:DM154)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SUMIF(採点!$DB$5:$DG$13,"*"&amp;K142&amp;"*",採点!DB155:DM155)</f>
        <v>0</v>
      </c>
      <c r="L144" s="66">
        <f ca="1">SUMIF(採点!$DH$5:$DM$13,"*"&amp;K142&amp;"*",採点!DH155:DM155)</f>
        <v>0</v>
      </c>
      <c r="M144" s="66">
        <f ca="1">SUMIF(採点!$DB$5:$DG$13,"*"&amp;M142&amp;"*",採点!DB155:DM155)</f>
        <v>0</v>
      </c>
      <c r="N144" s="66">
        <f ca="1">SUMIF(採点!$DH$5:$DM$13,"*"&amp;M142&amp;"*",採点!DH155:DM155)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SUMIF(採点!$DB$5:$DG$13,"*"&amp;K143&amp;"*",採点!DB156:DM156)</f>
        <v>0</v>
      </c>
      <c r="L145" s="66">
        <f ca="1">SUMIF(採点!$DH$5:$DM$13,"*"&amp;K143&amp;"*",採点!DH156:DM156)</f>
        <v>0</v>
      </c>
      <c r="M145" s="66">
        <f ca="1">SUMIF(採点!$DB$5:$DG$13,"*"&amp;M143&amp;"*",採点!DB156:DM156)</f>
        <v>0</v>
      </c>
      <c r="N145" s="66">
        <f ca="1">SUMIF(採点!$DH$5:$DM$13,"*"&amp;M143&amp;"*",採点!DH156:DM156)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SUMIF(採点!$DB$5:$DG$13,"*"&amp;K144&amp;"*",採点!DB157:DM157)</f>
        <v>0</v>
      </c>
      <c r="L146" s="66">
        <f ca="1">SUMIF(採点!$DH$5:$DM$13,"*"&amp;K144&amp;"*",採点!DH157:DM157)</f>
        <v>0</v>
      </c>
      <c r="M146" s="66">
        <f ca="1">SUMIF(採点!$DB$5:$DG$13,"*"&amp;M144&amp;"*",採点!DB157:DM157)</f>
        <v>0</v>
      </c>
      <c r="N146" s="66">
        <f ca="1">SUMIF(採点!$DH$5:$DM$13,"*"&amp;M144&amp;"*",採点!DH157:DM157)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SUMIF(採点!$DB$5:$DG$13,"*"&amp;K145&amp;"*",採点!DB158:DM158)</f>
        <v>0</v>
      </c>
      <c r="L147" s="66">
        <f ca="1">SUMIF(採点!$DH$5:$DM$13,"*"&amp;K145&amp;"*",採点!DH158:DM158)</f>
        <v>0</v>
      </c>
      <c r="M147" s="66">
        <f ca="1">SUMIF(採点!$DB$5:$DG$13,"*"&amp;M145&amp;"*",採点!DB158:DM158)</f>
        <v>0</v>
      </c>
      <c r="N147" s="66">
        <f ca="1">SUMIF(採点!$DH$5:$DM$13,"*"&amp;M145&amp;"*",採点!DH158:DM158)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SUMIF(採点!$DB$5:$DG$13,"*"&amp;K146&amp;"*",採点!DB159:DM159)</f>
        <v>0</v>
      </c>
      <c r="L148" s="66">
        <f ca="1">SUMIF(採点!$DH$5:$DM$13,"*"&amp;K146&amp;"*",採点!DH159:DM159)</f>
        <v>0</v>
      </c>
      <c r="M148" s="66">
        <f ca="1">SUMIF(採点!$DB$5:$DG$13,"*"&amp;M146&amp;"*",採点!DB159:DM159)</f>
        <v>0</v>
      </c>
      <c r="N148" s="66">
        <f ca="1">SUMIF(採点!$DH$5:$DM$13,"*"&amp;M146&amp;"*",採点!DH159:DM159)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SUMIF(採点!$DB$5:$DG$13,"*"&amp;K147&amp;"*",採点!DB160:DM160)</f>
        <v>0</v>
      </c>
      <c r="L149" s="66">
        <f ca="1">SUMIF(採点!$DH$5:$DM$13,"*"&amp;K147&amp;"*",採点!DH160:DM160)</f>
        <v>0</v>
      </c>
      <c r="M149" s="66">
        <f ca="1">SUMIF(採点!$DB$5:$DG$13,"*"&amp;M147&amp;"*",採点!DB160:DM160)</f>
        <v>0</v>
      </c>
      <c r="N149" s="66">
        <f ca="1">SUMIF(採点!$DH$5:$DM$13,"*"&amp;M147&amp;"*",採点!DH160:DM160)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SUMIF(採点!$DB$5:$DG$13,"*"&amp;K148&amp;"*",採点!DB161:DM161)</f>
        <v>0</v>
      </c>
      <c r="L150" s="66">
        <f ca="1">SUMIF(採点!$DH$5:$DM$13,"*"&amp;K148&amp;"*",採点!DH161:DM161)</f>
        <v>0</v>
      </c>
      <c r="M150" s="66">
        <f ca="1">SUMIF(採点!$DB$5:$DG$13,"*"&amp;M148&amp;"*",採点!DB161:DM161)</f>
        <v>0</v>
      </c>
      <c r="N150" s="66">
        <f ca="1">SUMIF(採点!$DH$5:$DM$13,"*"&amp;M148&amp;"*",採点!DH161:DM161)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SUMIF(採点!$DB$5:$DG$13,"*"&amp;K149&amp;"*",採点!DB162:DM162)</f>
        <v>0</v>
      </c>
      <c r="L151" s="66">
        <f ca="1">SUMIF(採点!$DH$5:$DM$13,"*"&amp;K149&amp;"*",採点!DH162:DM162)</f>
        <v>0</v>
      </c>
      <c r="M151" s="66">
        <f ca="1">SUMIF(採点!$DB$5:$DG$13,"*"&amp;M149&amp;"*",採点!DB162:DM162)</f>
        <v>0</v>
      </c>
      <c r="N151" s="66">
        <f ca="1">SUMIF(採点!$DH$5:$DM$13,"*"&amp;M149&amp;"*",採点!DH162:DM162)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SUMIF(採点!$DB$5:$DG$13,"*"&amp;K150&amp;"*",採点!DB163:DM163)</f>
        <v>0</v>
      </c>
      <c r="L152" s="66">
        <f ca="1">SUMIF(採点!$DH$5:$DM$13,"*"&amp;K150&amp;"*",採点!DH163:DM163)</f>
        <v>0</v>
      </c>
      <c r="M152" s="66">
        <f ca="1">SUMIF(採点!$DB$5:$DG$13,"*"&amp;M150&amp;"*",採点!DB163:DM163)</f>
        <v>0</v>
      </c>
      <c r="N152" s="66">
        <f ca="1">SUMIF(採点!$DH$5:$DM$13,"*"&amp;M150&amp;"*",採点!DH163:DM163)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SUMIF(採点!$DB$5:$DG$13,"*"&amp;K151&amp;"*",採点!DB164:DM164)</f>
        <v>0</v>
      </c>
      <c r="L153" s="66">
        <f ca="1">SUMIF(採点!$DH$5:$DM$13,"*"&amp;K151&amp;"*",採点!DH164:DM164)</f>
        <v>0</v>
      </c>
      <c r="M153" s="66">
        <f ca="1">SUMIF(採点!$DB$5:$DG$13,"*"&amp;M151&amp;"*",採点!DB164:DM164)</f>
        <v>0</v>
      </c>
      <c r="N153" s="66">
        <f ca="1">SUMIF(採点!$DH$5:$DM$13,"*"&amp;M151&amp;"*",採点!DH164:DM164)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SUMIF(採点!$DB$5:$DG$13,"*"&amp;K152&amp;"*",採点!DB165:DM165)</f>
        <v>0</v>
      </c>
      <c r="L154" s="66">
        <f ca="1">SUMIF(採点!$DH$5:$DM$13,"*"&amp;K152&amp;"*",採点!DH165:DM165)</f>
        <v>0</v>
      </c>
      <c r="M154" s="66">
        <f ca="1">SUMIF(採点!$DB$5:$DG$13,"*"&amp;M152&amp;"*",採点!DB165:DM165)</f>
        <v>0</v>
      </c>
      <c r="N154" s="66">
        <f ca="1">SUMIF(採点!$DH$5:$DM$13,"*"&amp;M152&amp;"*",採点!DH165:DM165)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SUMIF(採点!$DB$5:$DG$13,"*"&amp;K153&amp;"*",採点!DB166:DM166)</f>
        <v>0</v>
      </c>
      <c r="L155" s="66">
        <f ca="1">SUMIF(採点!$DH$5:$DM$13,"*"&amp;K153&amp;"*",採点!DH166:DM166)</f>
        <v>0</v>
      </c>
      <c r="M155" s="66">
        <f ca="1">SUMIF(採点!$DB$5:$DG$13,"*"&amp;M153&amp;"*",採点!DB166:DM166)</f>
        <v>0</v>
      </c>
      <c r="N155" s="66">
        <f ca="1">SUMIF(採点!$DH$5:$DM$13,"*"&amp;M153&amp;"*",採点!DH166:DM166)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SUMIF(採点!$DB$5:$DG$13,"*"&amp;K154&amp;"*",採点!DB167:DM167)</f>
        <v>0</v>
      </c>
      <c r="L156" s="66">
        <f ca="1">SUMIF(採点!$DH$5:$DM$13,"*"&amp;K154&amp;"*",採点!DH167:DM167)</f>
        <v>0</v>
      </c>
      <c r="M156" s="66">
        <f ca="1">SUMIF(採点!$DB$5:$DG$13,"*"&amp;M154&amp;"*",採点!DB167:DM167)</f>
        <v>0</v>
      </c>
      <c r="N156" s="66">
        <f ca="1">SUMIF(採点!$DH$5:$DM$13,"*"&amp;M154&amp;"*",採点!DH167:DM167)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SUMIF(採点!$DB$5:$DG$13,"*"&amp;K155&amp;"*",採点!DB168:DM168)</f>
        <v>0</v>
      </c>
      <c r="L157" s="66">
        <f ca="1">SUMIF(採点!$DH$5:$DM$13,"*"&amp;K155&amp;"*",採点!DH168:DM168)</f>
        <v>0</v>
      </c>
      <c r="M157" s="66">
        <f ca="1">SUMIF(採点!$DB$5:$DG$13,"*"&amp;M155&amp;"*",採点!DB168:DM168)</f>
        <v>0</v>
      </c>
      <c r="N157" s="66">
        <f ca="1">SUMIF(採点!$DH$5:$DM$13,"*"&amp;M155&amp;"*",採点!DH168:DM168)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SUMIF(採点!$DB$5:$DG$13,"*"&amp;K156&amp;"*",採点!DB169:DM169)</f>
        <v>0</v>
      </c>
      <c r="L158" s="66">
        <f ca="1">SUMIF(採点!$DH$5:$DM$13,"*"&amp;K156&amp;"*",採点!DH169:DM169)</f>
        <v>0</v>
      </c>
      <c r="M158" s="66">
        <f ca="1">SUMIF(採点!$DB$5:$DG$13,"*"&amp;M156&amp;"*",採点!DB169:DM169)</f>
        <v>0</v>
      </c>
      <c r="N158" s="66">
        <f ca="1">SUMIF(採点!$DH$5:$DM$13,"*"&amp;M156&amp;"*",採点!DH169:DM169)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SUMIF(採点!$DB$5:$DG$13,"*"&amp;K157&amp;"*",採点!DB170:DM170)</f>
        <v>0</v>
      </c>
      <c r="L159" s="66">
        <f ca="1">SUMIF(採点!$DH$5:$DM$13,"*"&amp;K157&amp;"*",採点!DH170:DM170)</f>
        <v>0</v>
      </c>
      <c r="M159" s="66">
        <f ca="1">SUMIF(採点!$DB$5:$DG$13,"*"&amp;M157&amp;"*",採点!DB170:DM170)</f>
        <v>0</v>
      </c>
      <c r="N159" s="66">
        <f ca="1">SUMIF(採点!$DH$5:$DM$13,"*"&amp;M157&amp;"*",採点!DH170:DM170)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SUMIF(採点!$DB$5:$DG$13,"*"&amp;K158&amp;"*",採点!DB171:DM171)</f>
        <v>0</v>
      </c>
      <c r="L160" s="66">
        <f ca="1">SUMIF(採点!$DH$5:$DM$13,"*"&amp;K158&amp;"*",採点!DH171:DM171)</f>
        <v>0</v>
      </c>
      <c r="M160" s="66">
        <f ca="1">SUMIF(採点!$DB$5:$DG$13,"*"&amp;M158&amp;"*",採点!DB171:DM171)</f>
        <v>0</v>
      </c>
      <c r="N160" s="66">
        <f ca="1">SUMIF(採点!$DH$5:$DM$13,"*"&amp;M158&amp;"*",採点!DH171:DM171)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SUMIF(採点!$DB$5:$DG$13,"*"&amp;K159&amp;"*",採点!DB172:DM172)</f>
        <v>0</v>
      </c>
      <c r="L161" s="66">
        <f ca="1">SUMIF(採点!$DH$5:$DM$13,"*"&amp;K159&amp;"*",採点!DH172:DM172)</f>
        <v>0</v>
      </c>
      <c r="M161" s="66">
        <f ca="1">SUMIF(採点!$DB$5:$DG$13,"*"&amp;M159&amp;"*",採点!DB172:DM172)</f>
        <v>0</v>
      </c>
      <c r="N161" s="66">
        <f ca="1">SUMIF(採点!$DH$5:$DM$13,"*"&amp;M159&amp;"*",採点!DH172:DM172)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SUMIF(採点!$DB$5:$DG$13,"*"&amp;K160&amp;"*",採点!DB173:DM173)</f>
        <v>0</v>
      </c>
      <c r="L162" s="66">
        <f ca="1">SUMIF(採点!$DH$5:$DM$13,"*"&amp;K160&amp;"*",採点!DH173:DM173)</f>
        <v>0</v>
      </c>
      <c r="M162" s="66">
        <f ca="1">SUMIF(採点!$DB$5:$DG$13,"*"&amp;M160&amp;"*",採点!DB173:DM173)</f>
        <v>0</v>
      </c>
      <c r="N162" s="66">
        <f ca="1">SUMIF(採点!$DH$5:$DM$13,"*"&amp;M160&amp;"*",採点!DH173:DM173)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SUMIF(採点!$DB$5:$DG$13,"*"&amp;K161&amp;"*",採点!DB174:DM174)</f>
        <v>0</v>
      </c>
      <c r="L163" s="66">
        <f ca="1">SUMIF(採点!$DH$5:$DM$13,"*"&amp;K161&amp;"*",採点!DH174:DM174)</f>
        <v>0</v>
      </c>
      <c r="M163" s="66">
        <f ca="1">SUMIF(採点!$DB$5:$DG$13,"*"&amp;M161&amp;"*",採点!DB174:DM174)</f>
        <v>0</v>
      </c>
      <c r="N163" s="66">
        <f ca="1">SUMIF(採点!$DH$5:$DM$13,"*"&amp;M161&amp;"*",採点!DH174:DM174)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SUMIF(採点!$DB$5:$DG$13,"*"&amp;K162&amp;"*",採点!DB175:DM175)</f>
        <v>0</v>
      </c>
      <c r="L164" s="66">
        <f ca="1">SUMIF(採点!$DH$5:$DM$13,"*"&amp;K162&amp;"*",採点!DH175:DM175)</f>
        <v>0</v>
      </c>
      <c r="M164" s="66">
        <f ca="1">SUMIF(採点!$DB$5:$DG$13,"*"&amp;M162&amp;"*",採点!DB175:DM175)</f>
        <v>0</v>
      </c>
      <c r="N164" s="66">
        <f ca="1">SUMIF(採点!$DH$5:$DM$13,"*"&amp;M162&amp;"*",採点!DH175:DM175)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SUMIF(採点!$DB$5:$DG$13,"*"&amp;K163&amp;"*",採点!DB176:DM176)</f>
        <v>0</v>
      </c>
      <c r="L165" s="66">
        <f ca="1">SUMIF(採点!$DH$5:$DM$13,"*"&amp;K163&amp;"*",採点!DH176:DM176)</f>
        <v>0</v>
      </c>
      <c r="M165" s="66">
        <f ca="1">SUMIF(採点!$DB$5:$DG$13,"*"&amp;M163&amp;"*",採点!DB176:DM176)</f>
        <v>0</v>
      </c>
      <c r="N165" s="66">
        <f ca="1">SUMIF(採点!$DH$5:$DM$13,"*"&amp;M163&amp;"*",採点!DH176:DM176)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SUMIF(採点!$DB$5:$DG$13,"*"&amp;K164&amp;"*",採点!DB177:DM177)</f>
        <v>0</v>
      </c>
      <c r="L166" s="66">
        <f ca="1">SUMIF(採点!$DH$5:$DM$13,"*"&amp;K164&amp;"*",採点!DH177:DM177)</f>
        <v>0</v>
      </c>
      <c r="M166" s="66">
        <f ca="1">SUMIF(採点!$DB$5:$DG$13,"*"&amp;M164&amp;"*",採点!DB177:DM177)</f>
        <v>0</v>
      </c>
      <c r="N166" s="66">
        <f ca="1">SUMIF(採点!$DH$5:$DM$13,"*"&amp;M164&amp;"*",採点!DH177:DM177)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SUMIF(採点!$DB$5:$DG$13,"*"&amp;K165&amp;"*",採点!DB178:DM178)</f>
        <v>0</v>
      </c>
      <c r="L167" s="66">
        <f ca="1">SUMIF(採点!$DH$5:$DM$13,"*"&amp;K165&amp;"*",採点!DH178:DM178)</f>
        <v>0</v>
      </c>
      <c r="M167" s="66">
        <f ca="1">SUMIF(採点!$DB$5:$DG$13,"*"&amp;M165&amp;"*",採点!DB178:DM178)</f>
        <v>0</v>
      </c>
      <c r="N167" s="66">
        <f ca="1">SUMIF(採点!$DH$5:$DM$13,"*"&amp;M165&amp;"*",採点!DH178:DM178)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SUMIF(採点!$DB$5:$DG$13,"*"&amp;K166&amp;"*",採点!DB179:DM179)</f>
        <v>0</v>
      </c>
      <c r="L168" s="66">
        <f ca="1">SUMIF(採点!$DH$5:$DM$13,"*"&amp;K166&amp;"*",採点!DH179:DM179)</f>
        <v>0</v>
      </c>
      <c r="M168" s="66">
        <f ca="1">SUMIF(採点!$DB$5:$DG$13,"*"&amp;M166&amp;"*",採点!DB179:DM179)</f>
        <v>0</v>
      </c>
      <c r="N168" s="66">
        <f ca="1">SUMIF(採点!$DH$5:$DM$13,"*"&amp;M166&amp;"*",採点!DH179:DM179)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SUMIF(採点!$DB$5:$DG$13,"*"&amp;K167&amp;"*",採点!DB180:DM180)</f>
        <v>0</v>
      </c>
      <c r="L169" s="66">
        <f ca="1">SUMIF(採点!$DH$5:$DM$13,"*"&amp;K167&amp;"*",採点!DH180:DM180)</f>
        <v>0</v>
      </c>
      <c r="M169" s="66">
        <f ca="1">SUMIF(採点!$DB$5:$DG$13,"*"&amp;M167&amp;"*",採点!DB180:DM180)</f>
        <v>0</v>
      </c>
      <c r="N169" s="66">
        <f ca="1">SUMIF(採点!$DH$5:$DM$13,"*"&amp;M167&amp;"*",採点!DH180:DM180)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SUMIF(採点!$DB$5:$DG$13,"*"&amp;K168&amp;"*",採点!DB181:DM181)</f>
        <v>0</v>
      </c>
      <c r="L170" s="66">
        <f ca="1">SUMIF(採点!$DH$5:$DM$13,"*"&amp;K168&amp;"*",採点!DH181:DM181)</f>
        <v>0</v>
      </c>
      <c r="M170" s="66">
        <f ca="1">SUMIF(採点!$DB$5:$DG$13,"*"&amp;M168&amp;"*",採点!DB181:DM181)</f>
        <v>0</v>
      </c>
      <c r="N170" s="66">
        <f ca="1">SUMIF(採点!$DH$5:$DM$13,"*"&amp;M168&amp;"*",採点!DH181:DM181)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SUMIF(採点!$DB$5:$DG$13,"*"&amp;K169&amp;"*",採点!DB182:DM182)</f>
        <v>0</v>
      </c>
      <c r="L171" s="66">
        <f ca="1">SUMIF(採点!$DH$5:$DM$13,"*"&amp;K169&amp;"*",採点!DH182:DM182)</f>
        <v>0</v>
      </c>
      <c r="M171" s="66">
        <f ca="1">SUMIF(採点!$DB$5:$DG$13,"*"&amp;M169&amp;"*",採点!DB182:DM182)</f>
        <v>0</v>
      </c>
      <c r="N171" s="66">
        <f ca="1">SUMIF(採点!$DH$5:$DM$13,"*"&amp;M169&amp;"*",採点!DH182:DM182)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SUMIF(採点!$DB$5:$DG$13,"*"&amp;K170&amp;"*",採点!DB183:DM183)</f>
        <v>0</v>
      </c>
      <c r="L172" s="66">
        <f ca="1">SUMIF(採点!$DH$5:$DM$13,"*"&amp;K170&amp;"*",採点!DH183:DM183)</f>
        <v>0</v>
      </c>
      <c r="M172" s="66">
        <f ca="1">SUMIF(採点!$DB$5:$DG$13,"*"&amp;M170&amp;"*",採点!DB183:DM183)</f>
        <v>0</v>
      </c>
      <c r="N172" s="66">
        <f ca="1">SUMIF(採点!$DH$5:$DM$13,"*"&amp;M170&amp;"*",採点!DH183:DM183)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SUMIF(採点!$DB$5:$DG$13,"*"&amp;K171&amp;"*",採点!DB184:DM184)</f>
        <v>0</v>
      </c>
      <c r="L173" s="66">
        <f ca="1">SUMIF(採点!$DH$5:$DM$13,"*"&amp;K171&amp;"*",採点!DH184:DM184)</f>
        <v>0</v>
      </c>
      <c r="M173" s="66">
        <f ca="1">SUMIF(採点!$DB$5:$DG$13,"*"&amp;M171&amp;"*",採点!DB184:DM184)</f>
        <v>0</v>
      </c>
      <c r="N173" s="66">
        <f ca="1">SUMIF(採点!$DH$5:$DM$13,"*"&amp;M171&amp;"*",採点!DH184:DM184)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SUMIF(採点!$DB$5:$DG$13,"*"&amp;K172&amp;"*",採点!DB185:DM185)</f>
        <v>0</v>
      </c>
      <c r="L174" s="66">
        <f ca="1">SUMIF(採点!$DH$5:$DM$13,"*"&amp;K172&amp;"*",採点!DH185:DM185)</f>
        <v>0</v>
      </c>
      <c r="M174" s="66">
        <f ca="1">SUMIF(採点!$DB$5:$DG$13,"*"&amp;M172&amp;"*",採点!DB185:DM185)</f>
        <v>0</v>
      </c>
      <c r="N174" s="66">
        <f ca="1">SUMIF(採点!$DH$5:$DM$13,"*"&amp;M172&amp;"*",採点!DH185:DM185)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SUMIF(採点!$DB$5:$DG$13,"*"&amp;K173&amp;"*",採点!DB186:DM186)</f>
        <v>0</v>
      </c>
      <c r="L175" s="66">
        <f ca="1">SUMIF(採点!$DH$5:$DM$13,"*"&amp;K173&amp;"*",採点!DH186:DM186)</f>
        <v>0</v>
      </c>
      <c r="M175" s="66">
        <f ca="1">SUMIF(採点!$DB$5:$DG$13,"*"&amp;M173&amp;"*",採点!DB186:DM186)</f>
        <v>0</v>
      </c>
      <c r="N175" s="66">
        <f ca="1">SUMIF(採点!$DH$5:$DM$13,"*"&amp;M173&amp;"*",採点!DH186:DM186)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SUMIF(採点!$DB$5:$DG$13,"*"&amp;K174&amp;"*",採点!DB187:DM187)</f>
        <v>0</v>
      </c>
      <c r="L176" s="66">
        <f ca="1">SUMIF(採点!$DH$5:$DM$13,"*"&amp;K174&amp;"*",採点!DH187:DM187)</f>
        <v>0</v>
      </c>
      <c r="M176" s="66">
        <f ca="1">SUMIF(採点!$DB$5:$DG$13,"*"&amp;M174&amp;"*",採点!DB187:DM187)</f>
        <v>0</v>
      </c>
      <c r="N176" s="66">
        <f ca="1">SUMIF(採点!$DH$5:$DM$13,"*"&amp;M174&amp;"*",採点!DH187:DM187)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SUMIF(採点!$DB$5:$DG$13,"*"&amp;K175&amp;"*",採点!DB188:DM188)</f>
        <v>0</v>
      </c>
      <c r="L177" s="66">
        <f ca="1">SUMIF(採点!$DH$5:$DM$13,"*"&amp;K175&amp;"*",採点!DH188:DM188)</f>
        <v>0</v>
      </c>
      <c r="M177" s="66">
        <f ca="1">SUMIF(採点!$DB$5:$DG$13,"*"&amp;M175&amp;"*",採点!DB188:DM188)</f>
        <v>0</v>
      </c>
      <c r="N177" s="66">
        <f ca="1">SUMIF(採点!$DH$5:$DM$13,"*"&amp;M175&amp;"*",採点!DH188:DM188)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SUMIF(採点!$DB$5:$DG$13,"*"&amp;K176&amp;"*",採点!DB189:DM189)</f>
        <v>0</v>
      </c>
      <c r="L178" s="66">
        <f ca="1">SUMIF(採点!$DH$5:$DM$13,"*"&amp;K176&amp;"*",採点!DH189:DM189)</f>
        <v>0</v>
      </c>
      <c r="M178" s="66">
        <f ca="1">SUMIF(採点!$DB$5:$DG$13,"*"&amp;M176&amp;"*",採点!DB189:DM189)</f>
        <v>0</v>
      </c>
      <c r="N178" s="66">
        <f ca="1">SUMIF(採点!$DH$5:$DM$13,"*"&amp;M176&amp;"*",採点!DH189:DM189)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SUMIF(採点!$DB$5:$DG$13,"*"&amp;K177&amp;"*",採点!DB190:DM190)</f>
        <v>0</v>
      </c>
      <c r="L179" s="66">
        <f ca="1">SUMIF(採点!$DH$5:$DM$13,"*"&amp;K177&amp;"*",採点!DH190:DM190)</f>
        <v>0</v>
      </c>
      <c r="M179" s="66">
        <f ca="1">SUMIF(採点!$DB$5:$DG$13,"*"&amp;M177&amp;"*",採点!DB190:DM190)</f>
        <v>0</v>
      </c>
      <c r="N179" s="66">
        <f ca="1">SUMIF(採点!$DH$5:$DM$13,"*"&amp;M177&amp;"*",採点!DH190:DM190)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SUMIF(採点!$DB$5:$DG$13,"*"&amp;K178&amp;"*",採点!DB191:DM191)</f>
        <v>0</v>
      </c>
      <c r="L180" s="66">
        <f ca="1">SUMIF(採点!$DH$5:$DM$13,"*"&amp;K178&amp;"*",採点!DH191:DM191)</f>
        <v>0</v>
      </c>
      <c r="M180" s="66">
        <f ca="1">SUMIF(採点!$DB$5:$DG$13,"*"&amp;M178&amp;"*",採点!DB191:DM191)</f>
        <v>0</v>
      </c>
      <c r="N180" s="66">
        <f ca="1">SUMIF(採点!$DH$5:$DM$13,"*"&amp;M178&amp;"*",採点!DH191:DM191)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SUMIF(採点!$DB$5:$DG$13,"*"&amp;K179&amp;"*",採点!DB192:DM192)</f>
        <v>0</v>
      </c>
      <c r="L181" s="66">
        <f ca="1">SUMIF(採点!$DH$5:$DM$13,"*"&amp;K179&amp;"*",採点!DH192:DM192)</f>
        <v>0</v>
      </c>
      <c r="M181" s="66">
        <f ca="1">SUMIF(採点!$DB$5:$DG$13,"*"&amp;M179&amp;"*",採点!DB192:DM192)</f>
        <v>0</v>
      </c>
      <c r="N181" s="66">
        <f ca="1">SUMIF(採点!$DH$5:$DM$13,"*"&amp;M179&amp;"*",採点!DH192:DM192)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SUMIF(採点!$DB$5:$DG$13,"*"&amp;K180&amp;"*",採点!DB193:DM193)</f>
        <v>0</v>
      </c>
      <c r="L182" s="66">
        <f ca="1">SUMIF(採点!$DH$5:$DM$13,"*"&amp;K180&amp;"*",採点!DH193:DM193)</f>
        <v>0</v>
      </c>
      <c r="M182" s="66">
        <f ca="1">SUMIF(採点!$DB$5:$DG$13,"*"&amp;M180&amp;"*",採点!DB193:DM193)</f>
        <v>0</v>
      </c>
      <c r="N182" s="66">
        <f ca="1">SUMIF(採点!$DH$5:$DM$13,"*"&amp;M180&amp;"*",採点!DH193:DM193)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SUMIF(採点!$DB$5:$DG$13,"*"&amp;K181&amp;"*",採点!DB194:DM194)</f>
        <v>0</v>
      </c>
      <c r="L183" s="66">
        <f ca="1">SUMIF(採点!$DH$5:$DM$13,"*"&amp;K181&amp;"*",採点!DH194:DM194)</f>
        <v>0</v>
      </c>
      <c r="M183" s="66">
        <f ca="1">SUMIF(採点!$DB$5:$DG$13,"*"&amp;M181&amp;"*",採点!DB194:DM194)</f>
        <v>0</v>
      </c>
      <c r="N183" s="66">
        <f ca="1">SUMIF(採点!$DH$5:$DM$13,"*"&amp;M181&amp;"*",採点!DH194:DM194)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SUMIF(採点!$DB$5:$DG$13,"*"&amp;K182&amp;"*",採点!DB195:DM195)</f>
        <v>0</v>
      </c>
      <c r="L184" s="66">
        <f ca="1">SUMIF(採点!$DH$5:$DM$13,"*"&amp;K182&amp;"*",採点!DH195:DM195)</f>
        <v>0</v>
      </c>
      <c r="M184" s="66">
        <f ca="1">SUMIF(採点!$DB$5:$DG$13,"*"&amp;M182&amp;"*",採点!DB195:DM195)</f>
        <v>0</v>
      </c>
      <c r="N184" s="66">
        <f ca="1">SUMIF(採点!$DH$5:$DM$13,"*"&amp;M182&amp;"*",採点!DH195:DM195)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SUMIF(採点!$DB$5:$DG$13,"*"&amp;K183&amp;"*",採点!DB196:DM196)</f>
        <v>0</v>
      </c>
      <c r="L185" s="66">
        <f ca="1">SUMIF(採点!$DH$5:$DM$13,"*"&amp;K183&amp;"*",採点!DH196:DM196)</f>
        <v>0</v>
      </c>
      <c r="M185" s="66">
        <f ca="1">SUMIF(採点!$DB$5:$DG$13,"*"&amp;M183&amp;"*",採点!DB196:DM196)</f>
        <v>0</v>
      </c>
      <c r="N185" s="66">
        <f ca="1">SUMIF(採点!$DH$5:$DM$13,"*"&amp;M183&amp;"*",採点!DH196:DM196)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SUMIF(採点!$DB$5:$DG$13,"*"&amp;K184&amp;"*",採点!DB197:DM197)</f>
        <v>0</v>
      </c>
      <c r="L186" s="66">
        <f ca="1">SUMIF(採点!$DH$5:$DM$13,"*"&amp;K184&amp;"*",採点!DH197:DM197)</f>
        <v>0</v>
      </c>
      <c r="M186" s="66">
        <f ca="1">SUMIF(採点!$DB$5:$DG$13,"*"&amp;M184&amp;"*",採点!DB197:DM197)</f>
        <v>0</v>
      </c>
      <c r="N186" s="66">
        <f ca="1">SUMIF(採点!$DH$5:$DM$13,"*"&amp;M184&amp;"*",採点!DH197:DM197)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SUMIF(採点!$DB$5:$DG$13,"*"&amp;K185&amp;"*",採点!DB198:DM198)</f>
        <v>0</v>
      </c>
      <c r="L187" s="66">
        <f ca="1">SUMIF(採点!$DH$5:$DM$13,"*"&amp;K185&amp;"*",採点!DH198:DM198)</f>
        <v>0</v>
      </c>
      <c r="M187" s="66">
        <f ca="1">SUMIF(採点!$DB$5:$DG$13,"*"&amp;M185&amp;"*",採点!DB198:DM198)</f>
        <v>0</v>
      </c>
      <c r="N187" s="66">
        <f ca="1">SUMIF(採点!$DH$5:$DM$13,"*"&amp;M185&amp;"*",採点!DH198:DM198)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SUMIF(採点!$DB$5:$DG$13,"*"&amp;K186&amp;"*",採点!DB199:DM199)</f>
        <v>0</v>
      </c>
      <c r="L188" s="66">
        <f ca="1">SUMIF(採点!$DH$5:$DM$13,"*"&amp;K186&amp;"*",採点!DH199:DM199)</f>
        <v>0</v>
      </c>
      <c r="M188" s="66">
        <f ca="1">SUMIF(採点!$DB$5:$DG$13,"*"&amp;M186&amp;"*",採点!DB199:DM199)</f>
        <v>0</v>
      </c>
      <c r="N188" s="66">
        <f ca="1">SUMIF(採点!$DH$5:$DM$13,"*"&amp;M186&amp;"*",採点!DH199:DM199)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SUMIF(採点!$DB$5:$DG$13,"*"&amp;K187&amp;"*",採点!DB200:DM200)</f>
        <v>0</v>
      </c>
      <c r="L189" s="66">
        <f ca="1">SUMIF(採点!$DH$5:$DM$13,"*"&amp;K187&amp;"*",採点!DH200:DM200)</f>
        <v>0</v>
      </c>
      <c r="M189" s="66">
        <f ca="1">SUMIF(採点!$DB$5:$DG$13,"*"&amp;M187&amp;"*",採点!DB200:DM200)</f>
        <v>0</v>
      </c>
      <c r="N189" s="66">
        <f ca="1">SUMIF(採点!$DH$5:$DM$13,"*"&amp;M187&amp;"*",採点!DH200:DM200)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SUMIF(採点!$DB$5:$DG$13,"*"&amp;K188&amp;"*",採点!DB201:DM201)</f>
        <v>0</v>
      </c>
      <c r="L190" s="66">
        <f ca="1">SUMIF(採点!$DH$5:$DM$13,"*"&amp;K188&amp;"*",採点!DH201:DM201)</f>
        <v>0</v>
      </c>
      <c r="M190" s="66">
        <f ca="1">SUMIF(採点!$DB$5:$DG$13,"*"&amp;M188&amp;"*",採点!DB201:DM201)</f>
        <v>0</v>
      </c>
      <c r="N190" s="66">
        <f ca="1">SUMIF(採点!$DH$5:$DM$13,"*"&amp;M188&amp;"*",採点!DH201:DM201)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SUMIF(採点!$DB$5:$DG$13,"*"&amp;K189&amp;"*",採点!DB202:DM202)</f>
        <v>0</v>
      </c>
      <c r="L191" s="66">
        <f ca="1">SUMIF(採点!$DH$5:$DM$13,"*"&amp;K189&amp;"*",採点!DH202:DM202)</f>
        <v>0</v>
      </c>
      <c r="M191" s="66">
        <f ca="1">SUMIF(採点!$DB$5:$DG$13,"*"&amp;M189&amp;"*",採点!DB202:DM202)</f>
        <v>0</v>
      </c>
      <c r="N191" s="66">
        <f ca="1">SUMIF(採点!$DH$5:$DM$13,"*"&amp;M189&amp;"*",採点!DH202:DM202)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SUMIF(採点!$DB$5:$DG$13,"*"&amp;K190&amp;"*",採点!DB203:DM203)</f>
        <v>0</v>
      </c>
      <c r="L192" s="66">
        <f ca="1">SUMIF(採点!$DH$5:$DM$13,"*"&amp;K190&amp;"*",採点!DH203:DM203)</f>
        <v>0</v>
      </c>
      <c r="M192" s="66">
        <f ca="1">SUMIF(採点!$DB$5:$DG$13,"*"&amp;M190&amp;"*",採点!DB203:DM203)</f>
        <v>0</v>
      </c>
      <c r="N192" s="66">
        <f ca="1">SUMIF(採点!$DH$5:$DM$13,"*"&amp;M190&amp;"*",採点!DH203:DM203)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SUMIF(採点!$DB$5:$DG$13,"*"&amp;K191&amp;"*",採点!DB204:DM204)</f>
        <v>0</v>
      </c>
      <c r="L193" s="66">
        <f ca="1">SUMIF(採点!$DH$5:$DM$13,"*"&amp;K191&amp;"*",採点!DH204:DM204)</f>
        <v>0</v>
      </c>
      <c r="M193" s="66">
        <f ca="1">SUMIF(採点!$DB$5:$DG$13,"*"&amp;M191&amp;"*",採点!DB204:DM204)</f>
        <v>0</v>
      </c>
      <c r="N193" s="66">
        <f ca="1">SUMIF(採点!$DH$5:$DM$13,"*"&amp;M191&amp;"*",採点!DH204:DM204)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SUMIF(採点!$DB$5:$DG$13,"*"&amp;K192&amp;"*",採点!DB205:DM205)</f>
        <v>0</v>
      </c>
      <c r="L194" s="66">
        <f ca="1">SUMIF(採点!$DH$5:$DM$13,"*"&amp;K192&amp;"*",採点!DH205:DM205)</f>
        <v>0</v>
      </c>
      <c r="M194" s="66">
        <f ca="1">SUMIF(採点!$DB$5:$DG$13,"*"&amp;M192&amp;"*",採点!DB205:DM205)</f>
        <v>0</v>
      </c>
      <c r="N194" s="66">
        <f ca="1">SUMIF(採点!$DH$5:$DM$13,"*"&amp;M192&amp;"*",採点!DH205:DM205)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SUMIF(採点!$DB$5:$DG$13,"*"&amp;K193&amp;"*",採点!DB206:DM206)</f>
        <v>0</v>
      </c>
      <c r="L195" s="66">
        <f ca="1">SUMIF(採点!$DH$5:$DM$13,"*"&amp;K193&amp;"*",採点!DH206:DM206)</f>
        <v>0</v>
      </c>
      <c r="M195" s="66">
        <f ca="1">SUMIF(採点!$DB$5:$DG$13,"*"&amp;M193&amp;"*",採点!DB206:DM206)</f>
        <v>0</v>
      </c>
      <c r="N195" s="66">
        <f ca="1">SUMIF(採点!$DH$5:$DM$13,"*"&amp;M193&amp;"*",採点!DH206:DM206)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SUMIF(採点!$DB$5:$DG$13,"*"&amp;K194&amp;"*",採点!DB207:DM207)</f>
        <v>0</v>
      </c>
      <c r="L196" s="66">
        <f ca="1">SUMIF(採点!$DH$5:$DM$13,"*"&amp;K194&amp;"*",採点!DH207:DM207)</f>
        <v>0</v>
      </c>
      <c r="M196" s="66">
        <f ca="1">SUMIF(採点!$DB$5:$DG$13,"*"&amp;M194&amp;"*",採点!DB207:DM207)</f>
        <v>0</v>
      </c>
      <c r="N196" s="66">
        <f ca="1">SUMIF(採点!$DH$5:$DM$13,"*"&amp;M194&amp;"*",採点!DH207:DM207)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SUMIF(採点!$DB$5:$DG$13,"*"&amp;K195&amp;"*",採点!DB208:DM208)</f>
        <v>0</v>
      </c>
      <c r="L197" s="66">
        <f ca="1">SUMIF(採点!$DH$5:$DM$13,"*"&amp;K195&amp;"*",採点!DH208:DM208)</f>
        <v>0</v>
      </c>
      <c r="M197" s="66">
        <f ca="1">SUMIF(採点!$DB$5:$DG$13,"*"&amp;M195&amp;"*",採点!DB208:DM208)</f>
        <v>0</v>
      </c>
      <c r="N197" s="66">
        <f ca="1">SUMIF(採点!$DH$5:$DM$13,"*"&amp;M195&amp;"*",採点!DH208:DM208)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SUMIF(採点!$DB$5:$DG$13,"*"&amp;K196&amp;"*",採点!DB209:DM209)</f>
        <v>0</v>
      </c>
      <c r="L198" s="66">
        <f ca="1">SUMIF(採点!$DH$5:$DM$13,"*"&amp;K196&amp;"*",採点!DH209:DM209)</f>
        <v>0</v>
      </c>
      <c r="M198" s="66">
        <f ca="1">SUMIF(採点!$DB$5:$DG$13,"*"&amp;M196&amp;"*",採点!DB209:DM209)</f>
        <v>0</v>
      </c>
      <c r="N198" s="66">
        <f ca="1">SUMIF(採点!$DH$5:$DM$13,"*"&amp;M196&amp;"*",採点!DH209:DM209)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SUMIF(採点!$DB$5:$DG$13,"*"&amp;K197&amp;"*",採点!DB210:DM210)</f>
        <v>0</v>
      </c>
      <c r="L199" s="66">
        <f ca="1">SUMIF(採点!$DH$5:$DM$13,"*"&amp;K197&amp;"*",採点!DH210:DM210)</f>
        <v>0</v>
      </c>
      <c r="M199" s="66">
        <f ca="1">SUMIF(採点!$DB$5:$DG$13,"*"&amp;M197&amp;"*",採点!DB210:DM210)</f>
        <v>0</v>
      </c>
      <c r="N199" s="66">
        <f ca="1">SUMIF(採点!$DH$5:$DM$13,"*"&amp;M197&amp;"*",採点!DH210:DM210)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SUMIF(採点!$DB$5:$DG$13,"*"&amp;K198&amp;"*",採点!DB211:DM211)</f>
        <v>0</v>
      </c>
      <c r="L200" s="66">
        <f ca="1">SUMIF(採点!$DH$5:$DM$13,"*"&amp;K198&amp;"*",採点!DH211:DM211)</f>
        <v>0</v>
      </c>
      <c r="M200" s="66">
        <f ca="1">SUMIF(採点!$DB$5:$DG$13,"*"&amp;M198&amp;"*",採点!DB211:DM211)</f>
        <v>0</v>
      </c>
      <c r="N200" s="66">
        <f ca="1">SUMIF(採点!$DH$5:$DM$13,"*"&amp;M198&amp;"*",採点!DH211:DM211)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SUMIF(採点!$DB$5:$DG$13,"*"&amp;K199&amp;"*",採点!DB212:DM212)</f>
        <v>0</v>
      </c>
      <c r="L201" s="66">
        <f ca="1">SUMIF(採点!$DH$5:$DM$13,"*"&amp;K199&amp;"*",採点!DH212:DM212)</f>
        <v>0</v>
      </c>
      <c r="M201" s="66">
        <f ca="1">SUMIF(採点!$DB$5:$DG$13,"*"&amp;M199&amp;"*",採点!DB212:DM212)</f>
        <v>0</v>
      </c>
      <c r="N201" s="66">
        <f ca="1">SUMIF(採点!$DH$5:$DM$13,"*"&amp;M199&amp;"*",採点!DH212:DM212)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SUMIF(採点!$DB$5:$DG$13,"*"&amp;K200&amp;"*",採点!DB213:DM213)</f>
        <v>0</v>
      </c>
      <c r="L202" s="66">
        <f ca="1">SUMIF(採点!$DH$5:$DM$13,"*"&amp;K200&amp;"*",採点!DH213:DM213)</f>
        <v>0</v>
      </c>
      <c r="M202" s="66">
        <f ca="1">SUMIF(採点!$DB$5:$DG$13,"*"&amp;M200&amp;"*",採点!DB213:DM213)</f>
        <v>0</v>
      </c>
      <c r="N202" s="66">
        <f ca="1">SUMIF(採点!$DH$5:$DM$13,"*"&amp;M200&amp;"*",採点!DH213:DM213)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SUMIF(採点!$DB$5:$DG$13,"*"&amp;K201&amp;"*",採点!DB214:DM214)</f>
        <v>0</v>
      </c>
      <c r="L203" s="66">
        <f ca="1">SUMIF(採点!$DH$5:$DM$13,"*"&amp;K201&amp;"*",採点!DH214:DM214)</f>
        <v>0</v>
      </c>
      <c r="M203" s="66">
        <f ca="1">SUMIF(採点!$DB$5:$DG$13,"*"&amp;M201&amp;"*",採点!DB214:DM214)</f>
        <v>0</v>
      </c>
      <c r="N203" s="66">
        <f ca="1">SUMIF(採点!$DH$5:$DM$13,"*"&amp;M201&amp;"*",採点!DH214:DM214)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SUMIF(採点!$DB$5:$DG$13,"*"&amp;K202&amp;"*",採点!DB215:DM215)</f>
        <v>0</v>
      </c>
      <c r="L204" s="66">
        <f ca="1">SUMIF(採点!$DH$5:$DM$13,"*"&amp;K202&amp;"*",採点!DH215:DM215)</f>
        <v>0</v>
      </c>
      <c r="M204" s="66">
        <f ca="1">SUMIF(採点!$DB$5:$DG$13,"*"&amp;M202&amp;"*",採点!DB215:DM215)</f>
        <v>0</v>
      </c>
      <c r="N204" s="66">
        <f ca="1">SUMIF(採点!$DH$5:$DM$13,"*"&amp;M202&amp;"*",採点!DH215:DM215)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SUMIF(採点!$DB$5:$DG$13,"*"&amp;K203&amp;"*",採点!DB216:DM216)</f>
        <v>0</v>
      </c>
      <c r="L205" s="66">
        <f ca="1">SUMIF(採点!$DH$5:$DM$13,"*"&amp;K203&amp;"*",採点!DH216:DM216)</f>
        <v>0</v>
      </c>
      <c r="M205" s="66">
        <f ca="1">SUMIF(採点!$DB$5:$DG$13,"*"&amp;M203&amp;"*",採点!DB216:DM216)</f>
        <v>0</v>
      </c>
      <c r="N205" s="66">
        <f ca="1">SUMIF(採点!$DH$5:$DM$13,"*"&amp;M203&amp;"*",採点!DH216:DM216)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SUMIF(採点!$DB$5:$DG$13,"*"&amp;K204&amp;"*",採点!DB217:DM217)</f>
        <v>0</v>
      </c>
      <c r="L206" s="66">
        <f ca="1">SUMIF(採点!$DH$5:$DM$13,"*"&amp;K204&amp;"*",採点!DH217:DM217)</f>
        <v>0</v>
      </c>
      <c r="M206" s="66">
        <f ca="1">SUMIF(採点!$DB$5:$DG$13,"*"&amp;M204&amp;"*",採点!DB217:DM217)</f>
        <v>0</v>
      </c>
      <c r="N206" s="66">
        <f ca="1">SUMIF(採点!$DH$5:$DM$13,"*"&amp;M204&amp;"*",採点!DH217:DM217)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SUMIF(採点!$DB$5:$DG$13,"*"&amp;K205&amp;"*",採点!DB218:DM218)</f>
        <v>0</v>
      </c>
      <c r="L207" s="66">
        <f ca="1">SUMIF(採点!$DH$5:$DM$13,"*"&amp;K205&amp;"*",採点!DH218:DM218)</f>
        <v>0</v>
      </c>
      <c r="M207" s="66">
        <f ca="1">SUMIF(採点!$DB$5:$DG$13,"*"&amp;M205&amp;"*",採点!DB218:DM218)</f>
        <v>0</v>
      </c>
      <c r="N207" s="66">
        <f ca="1">SUMIF(採点!$DH$5:$DM$13,"*"&amp;M205&amp;"*",採点!DH218:DM218)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SUMIF(採点!$DB$5:$DG$13,"*"&amp;K206&amp;"*",採点!DB219:DM219)</f>
        <v>0</v>
      </c>
      <c r="L208" s="66">
        <f ca="1">SUMIF(採点!$DH$5:$DM$13,"*"&amp;K206&amp;"*",採点!DH219:DM219)</f>
        <v>0</v>
      </c>
      <c r="M208" s="66">
        <f ca="1">SUMIF(採点!$DB$5:$DG$13,"*"&amp;M206&amp;"*",採点!DB219:DM219)</f>
        <v>0</v>
      </c>
      <c r="N208" s="66">
        <f ca="1">SUMIF(採点!$DH$5:$DM$13,"*"&amp;M206&amp;"*",採点!DH219:DM219)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SUMIF(採点!$DB$5:$DG$13,"*"&amp;K207&amp;"*",採点!DB220:DM220)</f>
        <v>0</v>
      </c>
      <c r="L209" s="66">
        <f ca="1">SUMIF(採点!$DH$5:$DM$13,"*"&amp;K207&amp;"*",採点!DH220:DM220)</f>
        <v>0</v>
      </c>
      <c r="M209" s="66">
        <f ca="1">SUMIF(採点!$DB$5:$DG$13,"*"&amp;M207&amp;"*",採点!DB220:DM220)</f>
        <v>0</v>
      </c>
      <c r="N209" s="66">
        <f ca="1">SUMIF(採点!$DH$5:$DM$13,"*"&amp;M207&amp;"*",採点!DH220:DM220)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SUMIF(採点!$DB$5:$DG$13,"*"&amp;K208&amp;"*",採点!DB221:DM221)</f>
        <v>0</v>
      </c>
      <c r="L210" s="66">
        <f ca="1">SUMIF(採点!$DH$5:$DM$13,"*"&amp;K208&amp;"*",採点!DH221:DM221)</f>
        <v>0</v>
      </c>
      <c r="M210" s="66">
        <f ca="1">SUMIF(採点!$DB$5:$DG$13,"*"&amp;M208&amp;"*",採点!DB221:DM221)</f>
        <v>0</v>
      </c>
      <c r="N210" s="66">
        <f ca="1">SUMIF(採点!$DH$5:$DM$13,"*"&amp;M208&amp;"*",採点!DH221:DM221)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SUMIF(採点!$DB$5:$DG$13,"*"&amp;K209&amp;"*",採点!DB222:DM222)</f>
        <v>0</v>
      </c>
      <c r="L211" s="66">
        <f ca="1">SUMIF(採点!$DH$5:$DM$13,"*"&amp;K209&amp;"*",採点!DH222:DM222)</f>
        <v>0</v>
      </c>
      <c r="M211" s="66">
        <f ca="1">SUMIF(採点!$DB$5:$DG$13,"*"&amp;M209&amp;"*",採点!DB222:DM222)</f>
        <v>0</v>
      </c>
      <c r="N211" s="66">
        <f ca="1">SUMIF(採点!$DH$5:$DM$13,"*"&amp;M209&amp;"*",採点!DH222:DM222)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SUMIF(採点!$DB$5:$DG$13,"*"&amp;K210&amp;"*",採点!DB223:DM223)</f>
        <v>0</v>
      </c>
      <c r="L212" s="66">
        <f ca="1">SUMIF(採点!$DH$5:$DM$13,"*"&amp;K210&amp;"*",採点!DH223:DM223)</f>
        <v>0</v>
      </c>
      <c r="M212" s="66">
        <f ca="1">SUMIF(採点!$DB$5:$DG$13,"*"&amp;M210&amp;"*",採点!DB223:DM223)</f>
        <v>0</v>
      </c>
      <c r="N212" s="66">
        <f ca="1">SUMIF(採点!$DH$5:$DM$13,"*"&amp;M210&amp;"*",採点!DH223:DM223)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SUMIF(採点!$DB$5:$DG$13,"*"&amp;K211&amp;"*",採点!DB224:DM224)</f>
        <v>0</v>
      </c>
      <c r="L213" s="66">
        <f ca="1">SUMIF(採点!$DH$5:$DM$13,"*"&amp;K211&amp;"*",採点!DH224:DM224)</f>
        <v>0</v>
      </c>
      <c r="M213" s="66">
        <f ca="1">SUMIF(採点!$DB$5:$DG$13,"*"&amp;M211&amp;"*",採点!DB224:DM224)</f>
        <v>0</v>
      </c>
      <c r="N213" s="66">
        <f ca="1">SUMIF(採点!$DH$5:$DM$13,"*"&amp;M211&amp;"*",採点!DH224:DM224)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SUMIF(採点!$DB$5:$DG$13,"*"&amp;K212&amp;"*",採点!DB225:DM225)</f>
        <v>0</v>
      </c>
      <c r="L214" s="66">
        <f ca="1">SUMIF(採点!$DH$5:$DM$13,"*"&amp;K212&amp;"*",採点!DH225:DM225)</f>
        <v>0</v>
      </c>
      <c r="M214" s="66">
        <f ca="1">SUMIF(採点!$DB$5:$DG$13,"*"&amp;M212&amp;"*",採点!DB225:DM225)</f>
        <v>0</v>
      </c>
      <c r="N214" s="66">
        <f ca="1">SUMIF(採点!$DH$5:$DM$13,"*"&amp;M212&amp;"*",採点!DH225:DM225)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SUMIF(採点!$DB$5:$DG$13,"*"&amp;K213&amp;"*",採点!DB226:DM226)</f>
        <v>0</v>
      </c>
      <c r="L215" s="66">
        <f ca="1">SUMIF(採点!$DH$5:$DM$13,"*"&amp;K213&amp;"*",採点!DH226:DM226)</f>
        <v>0</v>
      </c>
      <c r="M215" s="66">
        <f ca="1">SUMIF(採点!$DB$5:$DG$13,"*"&amp;M213&amp;"*",採点!DB226:DM226)</f>
        <v>0</v>
      </c>
      <c r="N215" s="66">
        <f ca="1">SUMIF(採点!$DH$5:$DM$13,"*"&amp;M213&amp;"*",採点!DH226:DM226)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SUMIF(採点!$DB$5:$DG$13,"*"&amp;K214&amp;"*",採点!DB227:DM227)</f>
        <v>0</v>
      </c>
      <c r="L216" s="66">
        <f ca="1">SUMIF(採点!$DH$5:$DM$13,"*"&amp;K214&amp;"*",採点!DH227:DM227)</f>
        <v>0</v>
      </c>
      <c r="M216" s="66">
        <f ca="1">SUMIF(採点!$DB$5:$DG$13,"*"&amp;M214&amp;"*",採点!DB227:DM227)</f>
        <v>0</v>
      </c>
      <c r="N216" s="66">
        <f ca="1">SUMIF(採点!$DH$5:$DM$13,"*"&amp;M214&amp;"*",採点!DH227:DM227)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SUMIF(採点!$DB$5:$DG$13,"*"&amp;K215&amp;"*",採点!DB228:DM228)</f>
        <v>0</v>
      </c>
      <c r="L217" s="66">
        <f ca="1">SUMIF(採点!$DH$5:$DM$13,"*"&amp;K215&amp;"*",採点!DH228:DM228)</f>
        <v>0</v>
      </c>
      <c r="M217" s="66">
        <f ca="1">SUMIF(採点!$DB$5:$DG$13,"*"&amp;M215&amp;"*",採点!DB228:DM228)</f>
        <v>0</v>
      </c>
      <c r="N217" s="66">
        <f ca="1">SUMIF(採点!$DH$5:$DM$13,"*"&amp;M215&amp;"*",採点!DH228:DM228)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SUMIF(採点!$DB$5:$DG$13,"*"&amp;K216&amp;"*",採点!DB229:DM229)</f>
        <v>0</v>
      </c>
      <c r="L218" s="66">
        <f ca="1">SUMIF(採点!$DH$5:$DM$13,"*"&amp;K216&amp;"*",採点!DH229:DM229)</f>
        <v>0</v>
      </c>
      <c r="M218" s="66">
        <f ca="1">SUMIF(採点!$DB$5:$DG$13,"*"&amp;M216&amp;"*",採点!DB229:DM229)</f>
        <v>0</v>
      </c>
      <c r="N218" s="66">
        <f ca="1">SUMIF(採点!$DH$5:$DM$13,"*"&amp;M216&amp;"*",採点!DH229:DM229)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SUMIF(採点!$DB$5:$DG$13,"*"&amp;K217&amp;"*",採点!DB230:DM230)</f>
        <v>0</v>
      </c>
      <c r="L219" s="66">
        <f ca="1">SUMIF(採点!$DH$5:$DM$13,"*"&amp;K217&amp;"*",採点!DH230:DM230)</f>
        <v>0</v>
      </c>
      <c r="M219" s="66">
        <f ca="1">SUMIF(採点!$DB$5:$DG$13,"*"&amp;M217&amp;"*",採点!DB230:DM230)</f>
        <v>0</v>
      </c>
      <c r="N219" s="66">
        <f ca="1">SUMIF(採点!$DH$5:$DM$13,"*"&amp;M217&amp;"*",採点!DH230:DM230)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SUMIF(採点!$DB$5:$DG$13,"*"&amp;K218&amp;"*",採点!DB231:DM231)</f>
        <v>0</v>
      </c>
      <c r="L220" s="66">
        <f ca="1">SUMIF(採点!$DH$5:$DM$13,"*"&amp;K218&amp;"*",採点!DH231:DM231)</f>
        <v>0</v>
      </c>
      <c r="M220" s="66">
        <f ca="1">SUMIF(採点!$DB$5:$DG$13,"*"&amp;M218&amp;"*",採点!DB231:DM231)</f>
        <v>0</v>
      </c>
      <c r="N220" s="66">
        <f ca="1">SUMIF(採点!$DH$5:$DM$13,"*"&amp;M218&amp;"*",採点!DH231:DM231)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SUMIF(採点!$DB$5:$DG$13,"*"&amp;K219&amp;"*",採点!DB232:DM232)</f>
        <v>0</v>
      </c>
      <c r="L221" s="66">
        <f ca="1">SUMIF(採点!$DH$5:$DM$13,"*"&amp;K219&amp;"*",採点!DH232:DM232)</f>
        <v>0</v>
      </c>
      <c r="M221" s="66">
        <f ca="1">SUMIF(採点!$DB$5:$DG$13,"*"&amp;M219&amp;"*",採点!DB232:DM232)</f>
        <v>0</v>
      </c>
      <c r="N221" s="66">
        <f ca="1">SUMIF(採点!$DH$5:$DM$13,"*"&amp;M219&amp;"*",採点!DH232:DM232)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SUMIF(採点!$DB$5:$DG$13,"*"&amp;K220&amp;"*",採点!DB233:DM233)</f>
        <v>0</v>
      </c>
      <c r="L222" s="66">
        <f ca="1">SUMIF(採点!$DH$5:$DM$13,"*"&amp;K220&amp;"*",採点!DH233:DM233)</f>
        <v>0</v>
      </c>
      <c r="M222" s="66">
        <f ca="1">SUMIF(採点!$DB$5:$DG$13,"*"&amp;M220&amp;"*",採点!DB233:DM233)</f>
        <v>0</v>
      </c>
      <c r="N222" s="66">
        <f ca="1">SUMIF(採点!$DH$5:$DM$13,"*"&amp;M220&amp;"*",採点!DH233:DM233)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SUMIF(採点!$DB$5:$DG$13,"*"&amp;K221&amp;"*",採点!DB234:DM234)</f>
        <v>0</v>
      </c>
      <c r="L223" s="66">
        <f ca="1">SUMIF(採点!$DH$5:$DM$13,"*"&amp;K221&amp;"*",採点!DH234:DM234)</f>
        <v>0</v>
      </c>
      <c r="M223" s="66">
        <f ca="1">SUMIF(採点!$DB$5:$DG$13,"*"&amp;M221&amp;"*",採点!DB234:DM234)</f>
        <v>0</v>
      </c>
      <c r="N223" s="66">
        <f ca="1">SUMIF(採点!$DH$5:$DM$13,"*"&amp;M221&amp;"*",採点!DH234:DM234)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SUMIF(採点!$DB$5:$DG$13,"*"&amp;K222&amp;"*",採点!DB235:DM235)</f>
        <v>0</v>
      </c>
      <c r="L224" s="66">
        <f ca="1">SUMIF(採点!$DH$5:$DM$13,"*"&amp;K222&amp;"*",採点!DH235:DM235)</f>
        <v>0</v>
      </c>
      <c r="M224" s="66">
        <f ca="1">SUMIF(採点!$DB$5:$DG$13,"*"&amp;M222&amp;"*",採点!DB235:DM235)</f>
        <v>0</v>
      </c>
      <c r="N224" s="66">
        <f ca="1">SUMIF(採点!$DH$5:$DM$13,"*"&amp;M222&amp;"*",採点!DH235:DM235)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SUMIF(採点!$DB$5:$DG$13,"*"&amp;K223&amp;"*",採点!DB236:DM236)</f>
        <v>0</v>
      </c>
      <c r="L225" s="66">
        <f ca="1">SUMIF(採点!$DH$5:$DM$13,"*"&amp;K223&amp;"*",採点!DH236:DM236)</f>
        <v>0</v>
      </c>
      <c r="M225" s="66">
        <f ca="1">SUMIF(採点!$DB$5:$DG$13,"*"&amp;M223&amp;"*",採点!DB236:DM236)</f>
        <v>0</v>
      </c>
      <c r="N225" s="66">
        <f ca="1">SUMIF(採点!$DH$5:$DM$13,"*"&amp;M223&amp;"*",採点!DH236:DM236)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SUMIF(採点!$DB$5:$DG$13,"*"&amp;K224&amp;"*",採点!DB237:DM237)</f>
        <v>0</v>
      </c>
      <c r="L226" s="66">
        <f ca="1">SUMIF(採点!$DH$5:$DM$13,"*"&amp;K224&amp;"*",採点!DH237:DM237)</f>
        <v>0</v>
      </c>
      <c r="M226" s="66">
        <f ca="1">SUMIF(採点!$DB$5:$DG$13,"*"&amp;M224&amp;"*",採点!DB237:DM237)</f>
        <v>0</v>
      </c>
      <c r="N226" s="66">
        <f ca="1">SUMIF(採点!$DH$5:$DM$13,"*"&amp;M224&amp;"*",採点!DH237:DM237)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SUMIF(採点!$DB$5:$DG$13,"*"&amp;K225&amp;"*",採点!DB238:DM238)</f>
        <v>0</v>
      </c>
      <c r="L227" s="66">
        <f ca="1">SUMIF(採点!$DH$5:$DM$13,"*"&amp;K225&amp;"*",採点!DH238:DM238)</f>
        <v>0</v>
      </c>
      <c r="M227" s="66">
        <f ca="1">SUMIF(採点!$DB$5:$DG$13,"*"&amp;M225&amp;"*",採点!DB238:DM238)</f>
        <v>0</v>
      </c>
      <c r="N227" s="66">
        <f ca="1">SUMIF(採点!$DH$5:$DM$13,"*"&amp;M225&amp;"*",採点!DH238:DM238)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SUMIF(採点!$DB$5:$DG$13,"*"&amp;K226&amp;"*",採点!DB239:DM239)</f>
        <v>0</v>
      </c>
      <c r="L228" s="66">
        <f ca="1">SUMIF(採点!$DH$5:$DM$13,"*"&amp;K226&amp;"*",採点!DH239:DM239)</f>
        <v>0</v>
      </c>
      <c r="M228" s="66">
        <f ca="1">SUMIF(採点!$DB$5:$DG$13,"*"&amp;M226&amp;"*",採点!DB239:DM239)</f>
        <v>0</v>
      </c>
      <c r="N228" s="66">
        <f ca="1">SUMIF(採点!$DH$5:$DM$13,"*"&amp;M226&amp;"*",採点!DH239:DM239)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SUMIF(採点!$DB$5:$DG$13,"*"&amp;K227&amp;"*",採点!DB240:DM240)</f>
        <v>0</v>
      </c>
      <c r="L229" s="66">
        <f ca="1">SUMIF(採点!$DH$5:$DM$13,"*"&amp;K227&amp;"*",採点!DH240:DM240)</f>
        <v>0</v>
      </c>
      <c r="M229" s="66">
        <f ca="1">SUMIF(採点!$DB$5:$DG$13,"*"&amp;M227&amp;"*",採点!DB240:DM240)</f>
        <v>0</v>
      </c>
      <c r="N229" s="66">
        <f ca="1">SUMIF(採点!$DH$5:$DM$13,"*"&amp;M227&amp;"*",採点!DH240:DM240)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SUMIF(採点!$DB$5:$DG$13,"*"&amp;K228&amp;"*",採点!DB241:DM241)</f>
        <v>0</v>
      </c>
      <c r="L230" s="66">
        <f ca="1">SUMIF(採点!$DH$5:$DM$13,"*"&amp;K228&amp;"*",採点!DH241:DM241)</f>
        <v>0</v>
      </c>
      <c r="M230" s="66">
        <f ca="1">SUMIF(採点!$DB$5:$DG$13,"*"&amp;M228&amp;"*",採点!DB241:DM241)</f>
        <v>0</v>
      </c>
      <c r="N230" s="66">
        <f ca="1">SUMIF(採点!$DH$5:$DM$13,"*"&amp;M228&amp;"*",採点!DH241:DM241)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SUMIF(採点!$DB$5:$DG$13,"*"&amp;K229&amp;"*",採点!DB242:DM242)</f>
        <v>0</v>
      </c>
      <c r="L231" s="66">
        <f ca="1">SUMIF(採点!$DH$5:$DM$13,"*"&amp;K229&amp;"*",採点!DH242:DM242)</f>
        <v>0</v>
      </c>
      <c r="M231" s="66">
        <f ca="1">SUMIF(採点!$DB$5:$DG$13,"*"&amp;M229&amp;"*",採点!DB242:DM242)</f>
        <v>0</v>
      </c>
      <c r="N231" s="66">
        <f ca="1">SUMIF(採点!$DH$5:$DM$13,"*"&amp;M229&amp;"*",採点!DH242:DM242)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SUMIF(採点!$DB$5:$DG$13,"*"&amp;K230&amp;"*",採点!DB243:DM243)</f>
        <v>0</v>
      </c>
      <c r="L232" s="66">
        <f ca="1">SUMIF(採点!$DH$5:$DM$13,"*"&amp;K230&amp;"*",採点!DH243:DM243)</f>
        <v>0</v>
      </c>
      <c r="M232" s="66">
        <f ca="1">SUMIF(採点!$DB$5:$DG$13,"*"&amp;M230&amp;"*",採点!DB243:DM243)</f>
        <v>0</v>
      </c>
      <c r="N232" s="66">
        <f ca="1">SUMIF(採点!$DH$5:$DM$13,"*"&amp;M230&amp;"*",採点!DH243:DM243)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SUMIF(採点!$DB$5:$DG$13,"*"&amp;K231&amp;"*",採点!DB244:DM244)</f>
        <v>0</v>
      </c>
      <c r="L233" s="66">
        <f ca="1">SUMIF(採点!$DH$5:$DM$13,"*"&amp;K231&amp;"*",採点!DH244:DM244)</f>
        <v>0</v>
      </c>
      <c r="M233" s="66">
        <f ca="1">SUMIF(採点!$DB$5:$DG$13,"*"&amp;M231&amp;"*",採点!DB244:DM244)</f>
        <v>0</v>
      </c>
      <c r="N233" s="66">
        <f ca="1">SUMIF(採点!$DH$5:$DM$13,"*"&amp;M231&amp;"*",採点!DH244:DM244)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SUMIF(採点!$DB$5:$DG$13,"*"&amp;K232&amp;"*",採点!DB245:DM245)</f>
        <v>0</v>
      </c>
      <c r="L234" s="66">
        <f ca="1">SUMIF(採点!$DH$5:$DM$13,"*"&amp;K232&amp;"*",採点!DH245:DM245)</f>
        <v>0</v>
      </c>
      <c r="M234" s="66">
        <f ca="1">SUMIF(採点!$DB$5:$DG$13,"*"&amp;M232&amp;"*",採点!DB245:DM245)</f>
        <v>0</v>
      </c>
      <c r="N234" s="66">
        <f ca="1">SUMIF(採点!$DH$5:$DM$13,"*"&amp;M232&amp;"*",採点!DH245:DM245)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SUMIF(採点!$DB$5:$DG$13,"*"&amp;K233&amp;"*",採点!DB246:DM246)</f>
        <v>0</v>
      </c>
      <c r="L235" s="66">
        <f ca="1">SUMIF(採点!$DH$5:$DM$13,"*"&amp;K233&amp;"*",採点!DH246:DM246)</f>
        <v>0</v>
      </c>
      <c r="M235" s="66">
        <f ca="1">SUMIF(採点!$DB$5:$DG$13,"*"&amp;M233&amp;"*",採点!DB246:DM246)</f>
        <v>0</v>
      </c>
      <c r="N235" s="66">
        <f ca="1">SUMIF(採点!$DH$5:$DM$13,"*"&amp;M233&amp;"*",採点!DH246:DM246)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SUMIF(採点!$DB$5:$DG$13,"*"&amp;K234&amp;"*",採点!DB247:DM247)</f>
        <v>0</v>
      </c>
      <c r="L236" s="66">
        <f ca="1">SUMIF(採点!$DH$5:$DM$13,"*"&amp;K234&amp;"*",採点!DH247:DM247)</f>
        <v>0</v>
      </c>
      <c r="M236" s="66">
        <f ca="1">SUMIF(採点!$DB$5:$DG$13,"*"&amp;M234&amp;"*",採点!DB247:DM247)</f>
        <v>0</v>
      </c>
      <c r="N236" s="66">
        <f ca="1">SUMIF(採点!$DH$5:$DM$13,"*"&amp;M234&amp;"*",採点!DH247:DM247)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SUMIF(採点!$DB$5:$DG$13,"*"&amp;K235&amp;"*",採点!DB248:DM248)</f>
        <v>0</v>
      </c>
      <c r="L237" s="66">
        <f ca="1">SUMIF(採点!$DH$5:$DM$13,"*"&amp;K235&amp;"*",採点!DH248:DM248)</f>
        <v>0</v>
      </c>
      <c r="M237" s="66">
        <f ca="1">SUMIF(採点!$DB$5:$DG$13,"*"&amp;M235&amp;"*",採点!DB248:DM248)</f>
        <v>0</v>
      </c>
      <c r="N237" s="66">
        <f ca="1">SUMIF(採点!$DH$5:$DM$13,"*"&amp;M235&amp;"*",採点!DH248:DM248)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SUMIF(採点!$DB$5:$DG$13,"*"&amp;K236&amp;"*",採点!DB249:DM249)</f>
        <v>0</v>
      </c>
      <c r="L238" s="66">
        <f ca="1">SUMIF(採点!$DH$5:$DM$13,"*"&amp;K236&amp;"*",採点!DH249:DM249)</f>
        <v>0</v>
      </c>
      <c r="M238" s="66">
        <f ca="1">SUMIF(採点!$DB$5:$DG$13,"*"&amp;M236&amp;"*",採点!DB249:DM249)</f>
        <v>0</v>
      </c>
      <c r="N238" s="66">
        <f ca="1">SUMIF(採点!$DH$5:$DM$13,"*"&amp;M236&amp;"*",採点!DH249:DM249)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SUMIF(採点!$DB$5:$DG$13,"*"&amp;K237&amp;"*",採点!DB250:DM250)</f>
        <v>0</v>
      </c>
      <c r="L239" s="66">
        <f ca="1">SUMIF(採点!$DH$5:$DM$13,"*"&amp;K237&amp;"*",採点!DH250:DM250)</f>
        <v>0</v>
      </c>
      <c r="M239" s="66">
        <f ca="1">SUMIF(採点!$DB$5:$DG$13,"*"&amp;M237&amp;"*",採点!DB250:DM250)</f>
        <v>0</v>
      </c>
      <c r="N239" s="66">
        <f ca="1">SUMIF(採点!$DH$5:$DM$13,"*"&amp;M237&amp;"*",採点!DH250:DM250)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SUMIF(採点!$DB$5:$DG$13,"*"&amp;K238&amp;"*",採点!DB251:DM251)</f>
        <v>0</v>
      </c>
      <c r="L240" s="66">
        <f ca="1">SUMIF(採点!$DH$5:$DM$13,"*"&amp;K238&amp;"*",採点!DH251:DM251)</f>
        <v>0</v>
      </c>
      <c r="M240" s="66">
        <f ca="1">SUMIF(採点!$DB$5:$DG$13,"*"&amp;M238&amp;"*",採点!DB251:DM251)</f>
        <v>0</v>
      </c>
      <c r="N240" s="66">
        <f ca="1">SUMIF(採点!$DH$5:$DM$13,"*"&amp;M238&amp;"*",採点!DH251:DM251)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SUMIF(採点!$DB$5:$DG$13,"*"&amp;K239&amp;"*",採点!DB252:DM252)</f>
        <v>0</v>
      </c>
      <c r="L241" s="66">
        <f ca="1">SUMIF(採点!$DH$5:$DM$13,"*"&amp;K239&amp;"*",採点!DH252:DM252)</f>
        <v>0</v>
      </c>
      <c r="M241" s="66">
        <f ca="1">SUMIF(採点!$DB$5:$DG$13,"*"&amp;M239&amp;"*",採点!DB252:DM252)</f>
        <v>0</v>
      </c>
      <c r="N241" s="66">
        <f ca="1">SUMIF(採点!$DH$5:$DM$13,"*"&amp;M239&amp;"*",採点!DH252:DM252)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SUMIF(採点!$DB$5:$DG$13,"*"&amp;K240&amp;"*",採点!DB253:DM253)</f>
        <v>0</v>
      </c>
      <c r="L242" s="66">
        <f ca="1">SUMIF(採点!$DH$5:$DM$13,"*"&amp;K240&amp;"*",採点!DH253:DM253)</f>
        <v>0</v>
      </c>
      <c r="M242" s="66">
        <f ca="1">SUMIF(採点!$DB$5:$DG$13,"*"&amp;M240&amp;"*",採点!DB253:DM253)</f>
        <v>0</v>
      </c>
      <c r="N242" s="66">
        <f ca="1">SUMIF(採点!$DH$5:$DM$13,"*"&amp;M240&amp;"*",採点!DH253:DM253)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SUMIF(採点!$DB$5:$DG$13,"*"&amp;K241&amp;"*",採点!DB254:DM254)</f>
        <v>0</v>
      </c>
      <c r="L243" s="66">
        <f ca="1">SUMIF(採点!$DH$5:$DM$13,"*"&amp;K241&amp;"*",採点!DH254:DM254)</f>
        <v>0</v>
      </c>
      <c r="M243" s="66">
        <f ca="1">SUMIF(採点!$DB$5:$DG$13,"*"&amp;M241&amp;"*",採点!DB254:DM254)</f>
        <v>0</v>
      </c>
      <c r="N243" s="66">
        <f ca="1">SUMIF(採点!$DH$5:$DM$13,"*"&amp;M241&amp;"*",採点!DH254:DM254)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SUMIF(採点!$DB$5:$DG$13,"*"&amp;K242&amp;"*",採点!DB255:DM255)</f>
        <v>0</v>
      </c>
      <c r="L244" s="66">
        <f ca="1">SUMIF(採点!$DH$5:$DM$13,"*"&amp;K242&amp;"*",採点!DH255:DM255)</f>
        <v>0</v>
      </c>
      <c r="M244" s="66">
        <f ca="1">SUMIF(採点!$DB$5:$DG$13,"*"&amp;M242&amp;"*",採点!DB255:DM255)</f>
        <v>0</v>
      </c>
      <c r="N244" s="66">
        <f ca="1">SUMIF(採点!$DH$5:$DM$13,"*"&amp;M242&amp;"*",採点!DH255:DM255)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SUMIF(採点!$DB$5:$DG$13,"*"&amp;K243&amp;"*",採点!DB256:DM256)</f>
        <v>0</v>
      </c>
      <c r="L245" s="66">
        <f ca="1">SUMIF(採点!$DH$5:$DM$13,"*"&amp;K243&amp;"*",採点!DH256:DM256)</f>
        <v>0</v>
      </c>
      <c r="M245" s="66">
        <f ca="1">SUMIF(採点!$DB$5:$DG$13,"*"&amp;M243&amp;"*",採点!DB256:DM256)</f>
        <v>0</v>
      </c>
      <c r="N245" s="66">
        <f ca="1">SUMIF(採点!$DH$5:$DM$13,"*"&amp;M243&amp;"*",採点!DH256:DM256)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SUMIF(採点!$DB$5:$DG$13,"*"&amp;K244&amp;"*",採点!DB257:DM257)</f>
        <v>0</v>
      </c>
      <c r="L246" s="66">
        <f ca="1">SUMIF(採点!$DH$5:$DM$13,"*"&amp;K244&amp;"*",採点!DH257:DM257)</f>
        <v>0</v>
      </c>
      <c r="M246" s="66">
        <f ca="1">SUMIF(採点!$DB$5:$DG$13,"*"&amp;M244&amp;"*",採点!DB257:DM257)</f>
        <v>0</v>
      </c>
      <c r="N246" s="66">
        <f ca="1">SUMIF(採点!$DH$5:$DM$13,"*"&amp;M244&amp;"*",採点!DH257:DM257)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SUMIF(採点!$DB$5:$DG$13,"*"&amp;K245&amp;"*",採点!DB258:DM258)</f>
        <v>0</v>
      </c>
      <c r="L247" s="66">
        <f ca="1">SUMIF(採点!$DH$5:$DM$13,"*"&amp;K245&amp;"*",採点!DH258:DM258)</f>
        <v>0</v>
      </c>
      <c r="M247" s="66">
        <f ca="1">SUMIF(採点!$DB$5:$DG$13,"*"&amp;M245&amp;"*",採点!DB258:DM258)</f>
        <v>0</v>
      </c>
      <c r="N247" s="66">
        <f ca="1">SUMIF(採点!$DH$5:$DM$13,"*"&amp;M245&amp;"*",採点!DH258:DM258)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SUMIF(採点!$DB$5:$DG$13,"*"&amp;K246&amp;"*",採点!DB259:DM259)</f>
        <v>0</v>
      </c>
      <c r="L248" s="66">
        <f ca="1">SUMIF(採点!$DH$5:$DM$13,"*"&amp;K246&amp;"*",採点!DH259:DM259)</f>
        <v>0</v>
      </c>
      <c r="M248" s="66">
        <f ca="1">SUMIF(採点!$DB$5:$DG$13,"*"&amp;M246&amp;"*",採点!DB259:DM259)</f>
        <v>0</v>
      </c>
      <c r="N248" s="66">
        <f ca="1">SUMIF(採点!$DH$5:$DM$13,"*"&amp;M246&amp;"*",採点!DH259:DM259)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SUMIF(採点!$DB$5:$DG$13,"*"&amp;K247&amp;"*",採点!DB260:DM260)</f>
        <v>0</v>
      </c>
      <c r="L249" s="66">
        <f ca="1">SUMIF(採点!$DH$5:$DM$13,"*"&amp;K247&amp;"*",採点!DH260:DM260)</f>
        <v>0</v>
      </c>
      <c r="M249" s="66">
        <f ca="1">SUMIF(採点!$DB$5:$DG$13,"*"&amp;M247&amp;"*",採点!DB260:DM260)</f>
        <v>0</v>
      </c>
      <c r="N249" s="66">
        <f ca="1">SUMIF(採点!$DH$5:$DM$13,"*"&amp;M247&amp;"*",採点!DH260:DM260)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SUMIF(採点!$DB$5:$DG$13,"*"&amp;K248&amp;"*",採点!DB261:DM261)</f>
        <v>0</v>
      </c>
      <c r="L250" s="66">
        <f ca="1">SUMIF(採点!$DH$5:$DM$13,"*"&amp;K248&amp;"*",採点!DH261:DM261)</f>
        <v>0</v>
      </c>
      <c r="M250" s="66">
        <f ca="1">SUMIF(採点!$DB$5:$DG$13,"*"&amp;M248&amp;"*",採点!DB261:DM261)</f>
        <v>0</v>
      </c>
      <c r="N250" s="66">
        <f ca="1">SUMIF(採点!$DH$5:$DM$13,"*"&amp;M248&amp;"*",採点!DH261:DM261)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SUMIF(採点!$DB$5:$DG$13,"*"&amp;K249&amp;"*",採点!DB262:DM262)</f>
        <v>0</v>
      </c>
      <c r="L251" s="66">
        <f ca="1">SUMIF(採点!$DH$5:$DM$13,"*"&amp;K249&amp;"*",採点!DH262:DM262)</f>
        <v>0</v>
      </c>
      <c r="M251" s="66">
        <f ca="1">SUMIF(採点!$DB$5:$DG$13,"*"&amp;M249&amp;"*",採点!DB262:DM262)</f>
        <v>0</v>
      </c>
      <c r="N251" s="66">
        <f ca="1">SUMIF(採点!$DH$5:$DM$13,"*"&amp;M249&amp;"*",採点!DH262:DM262)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SUMIF(採点!$DB$5:$DG$13,"*"&amp;K250&amp;"*",採点!DB263:DM263)</f>
        <v>0</v>
      </c>
      <c r="L252" s="66">
        <f ca="1">SUMIF(採点!$DH$5:$DM$13,"*"&amp;K250&amp;"*",採点!DH263:DM263)</f>
        <v>0</v>
      </c>
      <c r="M252" s="66">
        <f ca="1">SUMIF(採点!$DB$5:$DG$13,"*"&amp;M250&amp;"*",採点!DB263:DM263)</f>
        <v>0</v>
      </c>
      <c r="N252" s="66">
        <f ca="1">SUMIF(採点!$DH$5:$DM$13,"*"&amp;M250&amp;"*",採点!DH263:DM263)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SUMIF(採点!$DB$5:$DG$13,"*"&amp;K251&amp;"*",採点!DB264:DM264)</f>
        <v>0</v>
      </c>
      <c r="L253" s="66">
        <f ca="1">SUMIF(採点!$DH$5:$DM$13,"*"&amp;K251&amp;"*",採点!DH264:DM264)</f>
        <v>0</v>
      </c>
      <c r="M253" s="66">
        <f ca="1">SUMIF(採点!$DB$5:$DG$13,"*"&amp;M251&amp;"*",採点!DB264:DM264)</f>
        <v>0</v>
      </c>
      <c r="N253" s="66">
        <f ca="1">SUMIF(採点!$DH$5:$DM$13,"*"&amp;M251&amp;"*",採点!DH264:DM264)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SUMIF(採点!$DB$5:$DG$13,"*"&amp;K252&amp;"*",採点!DB265:DM265)</f>
        <v>0</v>
      </c>
      <c r="L254" s="66">
        <f ca="1">SUMIF(採点!$DH$5:$DM$13,"*"&amp;K252&amp;"*",採点!DH265:DM265)</f>
        <v>0</v>
      </c>
      <c r="M254" s="66">
        <f ca="1">SUMIF(採点!$DB$5:$DG$13,"*"&amp;M252&amp;"*",採点!DB265:DM265)</f>
        <v>0</v>
      </c>
      <c r="N254" s="66">
        <f ca="1">SUMIF(採点!$DH$5:$DM$13,"*"&amp;M252&amp;"*",採点!DH265:DM265)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SUMIF(採点!$DB$5:$DG$13,"*"&amp;K253&amp;"*",採点!DB266:DM266)</f>
        <v>0</v>
      </c>
      <c r="L255" s="66">
        <f ca="1">SUMIF(採点!$DH$5:$DM$13,"*"&amp;K253&amp;"*",採点!DH266:DM266)</f>
        <v>0</v>
      </c>
      <c r="M255" s="66">
        <f ca="1">SUMIF(採点!$DB$5:$DG$13,"*"&amp;M253&amp;"*",採点!DB266:DM266)</f>
        <v>0</v>
      </c>
      <c r="N255" s="66">
        <f ca="1">SUMIF(採点!$DH$5:$DM$13,"*"&amp;M253&amp;"*",採点!DH266:DM266)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SUMIF(採点!$DB$5:$DG$13,"*"&amp;K254&amp;"*",採点!DB267:DM267)</f>
        <v>0</v>
      </c>
      <c r="L256" s="66">
        <f ca="1">SUMIF(採点!$DH$5:$DM$13,"*"&amp;K254&amp;"*",採点!DH267:DM267)</f>
        <v>0</v>
      </c>
      <c r="M256" s="66">
        <f ca="1">SUMIF(採点!$DB$5:$DG$13,"*"&amp;M254&amp;"*",採点!DB267:DM267)</f>
        <v>0</v>
      </c>
      <c r="N256" s="66">
        <f ca="1">SUMIF(採点!$DH$5:$DM$13,"*"&amp;M254&amp;"*",採点!DH267:DM267)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SUMIF(採点!$DB$5:$DG$13,"*"&amp;K255&amp;"*",採点!DB268:DM268)</f>
        <v>0</v>
      </c>
      <c r="L257" s="66">
        <f ca="1">SUMIF(採点!$DH$5:$DM$13,"*"&amp;K255&amp;"*",採点!DH268:DM268)</f>
        <v>0</v>
      </c>
      <c r="M257" s="66">
        <f ca="1">SUMIF(採点!$DB$5:$DG$13,"*"&amp;M255&amp;"*",採点!DB268:DM268)</f>
        <v>0</v>
      </c>
      <c r="N257" s="66">
        <f ca="1">SUMIF(採点!$DH$5:$DM$13,"*"&amp;M255&amp;"*",採点!DH268:DM268)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SUMIF(採点!$DB$5:$DG$13,"*"&amp;K256&amp;"*",採点!DB269:DM269)</f>
        <v>0</v>
      </c>
      <c r="L258" s="66">
        <f ca="1">SUMIF(採点!$DH$5:$DM$13,"*"&amp;K256&amp;"*",採点!DH269:DM269)</f>
        <v>0</v>
      </c>
      <c r="M258" s="66">
        <f ca="1">SUMIF(採点!$DB$5:$DG$13,"*"&amp;M256&amp;"*",採点!DB269:DM269)</f>
        <v>0</v>
      </c>
      <c r="N258" s="66">
        <f ca="1">SUMIF(採点!$DH$5:$DM$13,"*"&amp;M256&amp;"*",採点!DH269:DM269)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SUMIF(採点!$DB$5:$DG$13,"*"&amp;K257&amp;"*",採点!DB270:DM270)</f>
        <v>0</v>
      </c>
      <c r="L259" s="66">
        <f ca="1">SUMIF(採点!$DH$5:$DM$13,"*"&amp;K257&amp;"*",採点!DH270:DM270)</f>
        <v>0</v>
      </c>
      <c r="M259" s="66">
        <f ca="1">SUMIF(採点!$DB$5:$DG$13,"*"&amp;M257&amp;"*",採点!DB270:DM270)</f>
        <v>0</v>
      </c>
      <c r="N259" s="66">
        <f ca="1">SUMIF(採点!$DH$5:$DM$13,"*"&amp;M257&amp;"*",採点!DH270:DM270)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SUMIF(採点!$DB$5:$DG$13,"*"&amp;K258&amp;"*",採点!DB271:DM271)</f>
        <v>0</v>
      </c>
      <c r="L260" s="66">
        <f ca="1">SUMIF(採点!$DH$5:$DM$13,"*"&amp;K258&amp;"*",採点!DH271:DM271)</f>
        <v>0</v>
      </c>
      <c r="M260" s="66">
        <f ca="1">SUMIF(採点!$DB$5:$DG$13,"*"&amp;M258&amp;"*",採点!DB271:DM271)</f>
        <v>0</v>
      </c>
      <c r="N260" s="66">
        <f ca="1">SUMIF(採点!$DH$5:$DM$13,"*"&amp;M258&amp;"*",採点!DH271:DM271)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SUMIF(採点!$DB$5:$DG$13,"*"&amp;K259&amp;"*",採点!DB272:DM272)</f>
        <v>0</v>
      </c>
      <c r="L261" s="66">
        <f ca="1">SUMIF(採点!$DH$5:$DM$13,"*"&amp;K259&amp;"*",採点!DH272:DM272)</f>
        <v>0</v>
      </c>
      <c r="M261" s="66">
        <f ca="1">SUMIF(採点!$DB$5:$DG$13,"*"&amp;M259&amp;"*",採点!DB272:DM272)</f>
        <v>0</v>
      </c>
      <c r="N261" s="66">
        <f ca="1">SUMIF(採点!$DH$5:$DM$13,"*"&amp;M259&amp;"*",採点!DH272:DM272)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SUMIF(採点!$DB$5:$DG$13,"*"&amp;K260&amp;"*",採点!DB273:DM273)</f>
        <v>0</v>
      </c>
      <c r="L262" s="66">
        <f ca="1">SUMIF(採点!$DH$5:$DM$13,"*"&amp;K260&amp;"*",採点!DH273:DM273)</f>
        <v>0</v>
      </c>
      <c r="M262" s="66">
        <f ca="1">SUMIF(採点!$DB$5:$DG$13,"*"&amp;M260&amp;"*",採点!DB273:DM273)</f>
        <v>0</v>
      </c>
      <c r="N262" s="66">
        <f ca="1">SUMIF(採点!$DH$5:$DM$13,"*"&amp;M260&amp;"*",採点!DH273:DM273)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SUMIF(採点!$DB$5:$DG$13,"*"&amp;K261&amp;"*",採点!DB274:DM274)</f>
        <v>0</v>
      </c>
      <c r="L263" s="66">
        <f ca="1">SUMIF(採点!$DH$5:$DM$13,"*"&amp;K261&amp;"*",採点!DH274:DM274)</f>
        <v>0</v>
      </c>
      <c r="M263" s="66">
        <f ca="1">SUMIF(採点!$DB$5:$DG$13,"*"&amp;M261&amp;"*",採点!DB274:DM274)</f>
        <v>0</v>
      </c>
      <c r="N263" s="66">
        <f ca="1">SUMIF(採点!$DH$5:$DM$13,"*"&amp;M261&amp;"*",採点!DH274:DM274)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SUMIF(採点!$DB$5:$DG$13,"*"&amp;K262&amp;"*",採点!DB275:DM275)</f>
        <v>0</v>
      </c>
      <c r="L264" s="66">
        <f ca="1">SUMIF(採点!$DH$5:$DM$13,"*"&amp;K262&amp;"*",採点!DH275:DM275)</f>
        <v>0</v>
      </c>
      <c r="M264" s="66">
        <f ca="1">SUMIF(採点!$DB$5:$DG$13,"*"&amp;M262&amp;"*",採点!DB275:DM275)</f>
        <v>0</v>
      </c>
      <c r="N264" s="66">
        <f ca="1">SUMIF(採点!$DH$5:$DM$13,"*"&amp;M262&amp;"*",採点!DH275:DM275)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SUMIF(採点!$DB$5:$DG$13,"*"&amp;K263&amp;"*",採点!DB276:DM276)</f>
        <v>0</v>
      </c>
      <c r="L265" s="66">
        <f ca="1">SUMIF(採点!$DH$5:$DM$13,"*"&amp;K263&amp;"*",採点!DH276:DM276)</f>
        <v>0</v>
      </c>
      <c r="M265" s="66">
        <f ca="1">SUMIF(採点!$DB$5:$DG$13,"*"&amp;M263&amp;"*",採点!DB276:DM276)</f>
        <v>0</v>
      </c>
      <c r="N265" s="66">
        <f ca="1">SUMIF(採点!$DH$5:$DM$13,"*"&amp;M263&amp;"*",採点!DH276:DM276)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SUMIF(採点!$DB$5:$DG$13,"*"&amp;K264&amp;"*",採点!DB277:DM277)</f>
        <v>0</v>
      </c>
      <c r="L266" s="66">
        <f ca="1">SUMIF(採点!$DH$5:$DM$13,"*"&amp;K264&amp;"*",採点!DH277:DM277)</f>
        <v>0</v>
      </c>
      <c r="M266" s="66">
        <f ca="1">SUMIF(採点!$DB$5:$DG$13,"*"&amp;M264&amp;"*",採点!DB277:DM277)</f>
        <v>0</v>
      </c>
      <c r="N266" s="66">
        <f ca="1">SUMIF(採点!$DH$5:$DM$13,"*"&amp;M264&amp;"*",採点!DH277:DM277)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SUMIF(採点!$DB$5:$DG$13,"*"&amp;K265&amp;"*",採点!DB278:DM278)</f>
        <v>0</v>
      </c>
      <c r="L267" s="66">
        <f ca="1">SUMIF(採点!$DH$5:$DM$13,"*"&amp;K265&amp;"*",採点!DH278:DM278)</f>
        <v>0</v>
      </c>
      <c r="M267" s="66">
        <f ca="1">SUMIF(採点!$DB$5:$DG$13,"*"&amp;M265&amp;"*",採点!DB278:DM278)</f>
        <v>0</v>
      </c>
      <c r="N267" s="66">
        <f ca="1">SUMIF(採点!$DH$5:$DM$13,"*"&amp;M265&amp;"*",採点!DH278:DM278)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SUMIF(採点!$DB$5:$DG$13,"*"&amp;K266&amp;"*",採点!DB279:DM279)</f>
        <v>0</v>
      </c>
      <c r="L268" s="66">
        <f ca="1">SUMIF(採点!$DH$5:$DM$13,"*"&amp;K266&amp;"*",採点!DH279:DM279)</f>
        <v>0</v>
      </c>
      <c r="M268" s="66">
        <f ca="1">SUMIF(採点!$DB$5:$DG$13,"*"&amp;M266&amp;"*",採点!DB279:DM279)</f>
        <v>0</v>
      </c>
      <c r="N268" s="66">
        <f ca="1">SUMIF(採点!$DH$5:$DM$13,"*"&amp;M266&amp;"*",採点!DH279:DM279)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SUMIF(採点!$DB$5:$DG$13,"*"&amp;K267&amp;"*",採点!DB280:DM280)</f>
        <v>0</v>
      </c>
      <c r="L269" s="66">
        <f ca="1">SUMIF(採点!$DH$5:$DM$13,"*"&amp;K267&amp;"*",採点!DH280:DM280)</f>
        <v>0</v>
      </c>
      <c r="M269" s="66">
        <f ca="1">SUMIF(採点!$DB$5:$DG$13,"*"&amp;M267&amp;"*",採点!DB280:DM280)</f>
        <v>0</v>
      </c>
      <c r="N269" s="66">
        <f ca="1">SUMIF(採点!$DH$5:$DM$13,"*"&amp;M267&amp;"*",採点!DH280:DM280)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SUMIF(採点!$DB$5:$DG$13,"*"&amp;K268&amp;"*",採点!DB281:DM281)</f>
        <v>0</v>
      </c>
      <c r="L270" s="66">
        <f ca="1">SUMIF(採点!$DH$5:$DM$13,"*"&amp;K268&amp;"*",採点!DH281:DM281)</f>
        <v>0</v>
      </c>
      <c r="M270" s="66">
        <f ca="1">SUMIF(採点!$DB$5:$DG$13,"*"&amp;M268&amp;"*",採点!DB281:DM281)</f>
        <v>0</v>
      </c>
      <c r="N270" s="66">
        <f ca="1">SUMIF(採点!$DH$5:$DM$13,"*"&amp;M268&amp;"*",採点!DH281:DM281)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SUMIF(採点!$DB$5:$DG$13,"*"&amp;K269&amp;"*",採点!DB282:DM282)</f>
        <v>0</v>
      </c>
      <c r="L271" s="66">
        <f ca="1">SUMIF(採点!$DH$5:$DM$13,"*"&amp;K269&amp;"*",採点!DH282:DM282)</f>
        <v>0</v>
      </c>
      <c r="M271" s="66">
        <f ca="1">SUMIF(採点!$DB$5:$DG$13,"*"&amp;M269&amp;"*",採点!DB282:DM282)</f>
        <v>0</v>
      </c>
      <c r="N271" s="66">
        <f ca="1">SUMIF(採点!$DH$5:$DM$13,"*"&amp;M269&amp;"*",採点!DH282:DM282)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SUMIF(採点!$DB$5:$DG$13,"*"&amp;K270&amp;"*",採点!DB283:DM283)</f>
        <v>0</v>
      </c>
      <c r="L272" s="66">
        <f ca="1">SUMIF(採点!$DH$5:$DM$13,"*"&amp;K270&amp;"*",採点!DH283:DM283)</f>
        <v>0</v>
      </c>
      <c r="M272" s="66">
        <f ca="1">SUMIF(採点!$DB$5:$DG$13,"*"&amp;M270&amp;"*",採点!DB283:DM283)</f>
        <v>0</v>
      </c>
      <c r="N272" s="66">
        <f ca="1">SUMIF(採点!$DH$5:$DM$13,"*"&amp;M270&amp;"*",採点!DH283:DM283)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SUMIF(採点!$DB$5:$DG$13,"*"&amp;K271&amp;"*",採点!DB284:DM284)</f>
        <v>0</v>
      </c>
      <c r="L273" s="66">
        <f ca="1">SUMIF(採点!$DH$5:$DM$13,"*"&amp;K271&amp;"*",採点!DH284:DM284)</f>
        <v>0</v>
      </c>
      <c r="M273" s="66">
        <f ca="1">SUMIF(採点!$DB$5:$DG$13,"*"&amp;M271&amp;"*",採点!DB284:DM284)</f>
        <v>0</v>
      </c>
      <c r="N273" s="66">
        <f ca="1">SUMIF(採点!$DH$5:$DM$13,"*"&amp;M271&amp;"*",採点!DH284:DM284)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SUMIF(採点!$DB$5:$DG$13,"*"&amp;K272&amp;"*",採点!DB285:DM285)</f>
        <v>0</v>
      </c>
      <c r="L274" s="66">
        <f ca="1">SUMIF(採点!$DH$5:$DM$13,"*"&amp;K272&amp;"*",採点!DH285:DM285)</f>
        <v>0</v>
      </c>
      <c r="M274" s="66">
        <f ca="1">SUMIF(採点!$DB$5:$DG$13,"*"&amp;M272&amp;"*",採点!DB285:DM285)</f>
        <v>0</v>
      </c>
      <c r="N274" s="66">
        <f ca="1">SUMIF(採点!$DH$5:$DM$13,"*"&amp;M272&amp;"*",採点!DH285:DM285)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SUMIF(採点!$DB$5:$DG$13,"*"&amp;K273&amp;"*",採点!DB286:DM286)</f>
        <v>0</v>
      </c>
      <c r="L275" s="66">
        <f ca="1">SUMIF(採点!$DH$5:$DM$13,"*"&amp;K273&amp;"*",採点!DH286:DM286)</f>
        <v>0</v>
      </c>
      <c r="M275" s="66">
        <f ca="1">SUMIF(採点!$DB$5:$DG$13,"*"&amp;M273&amp;"*",採点!DB286:DM286)</f>
        <v>0</v>
      </c>
      <c r="N275" s="66">
        <f ca="1">SUMIF(採点!$DH$5:$DM$13,"*"&amp;M273&amp;"*",採点!DH286:DM286)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SUMIF(採点!$DB$5:$DG$13,"*"&amp;K274&amp;"*",採点!DB287:DM287)</f>
        <v>0</v>
      </c>
      <c r="L276" s="66">
        <f ca="1">SUMIF(採点!$DH$5:$DM$13,"*"&amp;K274&amp;"*",採点!DH287:DM287)</f>
        <v>0</v>
      </c>
      <c r="M276" s="66">
        <f ca="1">SUMIF(採点!$DB$5:$DG$13,"*"&amp;M274&amp;"*",採点!DB287:DM287)</f>
        <v>0</v>
      </c>
      <c r="N276" s="66">
        <f ca="1">SUMIF(採点!$DH$5:$DM$13,"*"&amp;M274&amp;"*",採点!DH287:DM287)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SUMIF(採点!$DB$5:$DG$13,"*"&amp;K275&amp;"*",採点!DB288:DM288)</f>
        <v>0</v>
      </c>
      <c r="L277" s="66">
        <f ca="1">SUMIF(採点!$DH$5:$DM$13,"*"&amp;K275&amp;"*",採点!DH288:DM288)</f>
        <v>0</v>
      </c>
      <c r="M277" s="66">
        <f ca="1">SUMIF(採点!$DB$5:$DG$13,"*"&amp;M275&amp;"*",採点!DB288:DM288)</f>
        <v>0</v>
      </c>
      <c r="N277" s="66">
        <f ca="1">SUMIF(採点!$DH$5:$DM$13,"*"&amp;M275&amp;"*",採点!DH288:DM288)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SUMIF(採点!$DB$5:$DG$13,"*"&amp;K276&amp;"*",採点!DB289:DM289)</f>
        <v>0</v>
      </c>
      <c r="L278" s="66">
        <f ca="1">SUMIF(採点!$DH$5:$DM$13,"*"&amp;K276&amp;"*",採点!DH289:DM289)</f>
        <v>0</v>
      </c>
      <c r="M278" s="66">
        <f ca="1">SUMIF(採点!$DB$5:$DG$13,"*"&amp;M276&amp;"*",採点!DB289:DM289)</f>
        <v>0</v>
      </c>
      <c r="N278" s="66">
        <f ca="1">SUMIF(採点!$DH$5:$DM$13,"*"&amp;M276&amp;"*",採点!DH289:DM289)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SUMIF(採点!$DB$5:$DG$13,"*"&amp;K277&amp;"*",採点!DB290:DM290)</f>
        <v>0</v>
      </c>
      <c r="L279" s="66">
        <f ca="1">SUMIF(採点!$DH$5:$DM$13,"*"&amp;K277&amp;"*",採点!DH290:DM290)</f>
        <v>0</v>
      </c>
      <c r="M279" s="66">
        <f ca="1">SUMIF(採点!$DB$5:$DG$13,"*"&amp;M277&amp;"*",採点!DB290:DM290)</f>
        <v>0</v>
      </c>
      <c r="N279" s="66">
        <f ca="1">SUMIF(採点!$DH$5:$DM$13,"*"&amp;M277&amp;"*",採点!DH290:DM290)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SUMIF(採点!$DB$5:$DG$13,"*"&amp;K278&amp;"*",採点!DB291:DM291)</f>
        <v>0</v>
      </c>
      <c r="L280" s="66">
        <f ca="1">SUMIF(採点!$DH$5:$DM$13,"*"&amp;K278&amp;"*",採点!DH291:DM291)</f>
        <v>0</v>
      </c>
      <c r="M280" s="66">
        <f ca="1">SUMIF(採点!$DB$5:$DG$13,"*"&amp;M278&amp;"*",採点!DB291:DM291)</f>
        <v>0</v>
      </c>
      <c r="N280" s="66">
        <f ca="1">SUMIF(採点!$DH$5:$DM$13,"*"&amp;M278&amp;"*",採点!DH291:DM291)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SUMIF(採点!$DB$5:$DG$13,"*"&amp;K279&amp;"*",採点!DB292:DM292)</f>
        <v>0</v>
      </c>
      <c r="L281" s="66">
        <f ca="1">SUMIF(採点!$DH$5:$DM$13,"*"&amp;K279&amp;"*",採点!DH292:DM292)</f>
        <v>0</v>
      </c>
      <c r="M281" s="66">
        <f ca="1">SUMIF(採点!$DB$5:$DG$13,"*"&amp;M279&amp;"*",採点!DB292:DM292)</f>
        <v>0</v>
      </c>
      <c r="N281" s="66">
        <f ca="1">SUMIF(採点!$DH$5:$DM$13,"*"&amp;M279&amp;"*",採点!DH292:DM292)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SUMIF(採点!$DB$5:$DG$13,"*"&amp;K280&amp;"*",採点!DB293:DM293)</f>
        <v>0</v>
      </c>
      <c r="L282" s="66">
        <f ca="1">SUMIF(採点!$DH$5:$DM$13,"*"&amp;K280&amp;"*",採点!DH293:DM293)</f>
        <v>0</v>
      </c>
      <c r="M282" s="66">
        <f ca="1">SUMIF(採点!$DB$5:$DG$13,"*"&amp;M280&amp;"*",採点!DB293:DM293)</f>
        <v>0</v>
      </c>
      <c r="N282" s="66">
        <f ca="1">SUMIF(採点!$DH$5:$DM$13,"*"&amp;M280&amp;"*",採点!DH293:DM293)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SUMIF(採点!$DB$5:$DG$13,"*"&amp;K281&amp;"*",採点!DB294:DM294)</f>
        <v>0</v>
      </c>
      <c r="L283" s="66">
        <f ca="1">SUMIF(採点!$DH$5:$DM$13,"*"&amp;K281&amp;"*",採点!DH294:DM294)</f>
        <v>0</v>
      </c>
      <c r="M283" s="66">
        <f ca="1">SUMIF(採点!$DB$5:$DG$13,"*"&amp;M281&amp;"*",採点!DB294:DM294)</f>
        <v>0</v>
      </c>
      <c r="N283" s="66">
        <f ca="1">SUMIF(採点!$DH$5:$DM$13,"*"&amp;M281&amp;"*",採点!DH294:DM294)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SUMIF(採点!$DB$5:$DG$13,"*"&amp;K282&amp;"*",採点!DB295:DM295)</f>
        <v>0</v>
      </c>
      <c r="L284" s="66">
        <f ca="1">SUMIF(採点!$DH$5:$DM$13,"*"&amp;K282&amp;"*",採点!DH295:DM295)</f>
        <v>0</v>
      </c>
      <c r="M284" s="66">
        <f ca="1">SUMIF(採点!$DB$5:$DG$13,"*"&amp;M282&amp;"*",採点!DB295:DM295)</f>
        <v>0</v>
      </c>
      <c r="N284" s="66">
        <f ca="1">SUMIF(採点!$DH$5:$DM$13,"*"&amp;M282&amp;"*",採点!DH295:DM295)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SUMIF(採点!$DB$5:$DG$13,"*"&amp;K283&amp;"*",採点!DB296:DM296)</f>
        <v>0</v>
      </c>
      <c r="L285" s="66">
        <f ca="1">SUMIF(採点!$DH$5:$DM$13,"*"&amp;K283&amp;"*",採点!DH296:DM296)</f>
        <v>0</v>
      </c>
      <c r="M285" s="66">
        <f ca="1">SUMIF(採点!$DB$5:$DG$13,"*"&amp;M283&amp;"*",採点!DB296:DM296)</f>
        <v>0</v>
      </c>
      <c r="N285" s="66">
        <f ca="1">SUMIF(採点!$DH$5:$DM$13,"*"&amp;M283&amp;"*",採点!DH296:DM296)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SUMIF(採点!$DB$5:$DG$13,"*"&amp;K284&amp;"*",採点!DB297:DM297)</f>
        <v>0</v>
      </c>
      <c r="L286" s="66">
        <f ca="1">SUMIF(採点!$DH$5:$DM$13,"*"&amp;K284&amp;"*",採点!DH297:DM297)</f>
        <v>0</v>
      </c>
      <c r="M286" s="66">
        <f ca="1">SUMIF(採点!$DB$5:$DG$13,"*"&amp;M284&amp;"*",採点!DB297:DM297)</f>
        <v>0</v>
      </c>
      <c r="N286" s="66">
        <f ca="1">SUMIF(採点!$DH$5:$DM$13,"*"&amp;M284&amp;"*",採点!DH297:DM297)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SUMIF(採点!$DB$5:$DG$13,"*"&amp;K285&amp;"*",採点!DB298:DM298)</f>
        <v>0</v>
      </c>
      <c r="L287" s="66">
        <f ca="1">SUMIF(採点!$DH$5:$DM$13,"*"&amp;K285&amp;"*",採点!DH298:DM298)</f>
        <v>0</v>
      </c>
      <c r="M287" s="66">
        <f ca="1">SUMIF(採点!$DB$5:$DG$13,"*"&amp;M285&amp;"*",採点!DB298:DM298)</f>
        <v>0</v>
      </c>
      <c r="N287" s="66">
        <f ca="1">SUMIF(採点!$DH$5:$DM$13,"*"&amp;M285&amp;"*",採点!DH298:DM298)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SUMIF(採点!$DB$5:$DG$13,"*"&amp;K286&amp;"*",採点!DB299:DM299)</f>
        <v>0</v>
      </c>
      <c r="L288" s="66">
        <f ca="1">SUMIF(採点!$DH$5:$DM$13,"*"&amp;K286&amp;"*",採点!DH299:DM299)</f>
        <v>0</v>
      </c>
      <c r="M288" s="66">
        <f ca="1">SUMIF(採点!$DB$5:$DG$13,"*"&amp;M286&amp;"*",採点!DB299:DM299)</f>
        <v>0</v>
      </c>
      <c r="N288" s="66">
        <f ca="1">SUMIF(採点!$DH$5:$DM$13,"*"&amp;M286&amp;"*",採点!DH299:DM299)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SUMIF(採点!$DB$5:$DG$13,"*"&amp;K287&amp;"*",採点!DB300:DM300)</f>
        <v>0</v>
      </c>
      <c r="L289" s="66">
        <f ca="1">SUMIF(採点!$DH$5:$DM$13,"*"&amp;K287&amp;"*",採点!DH300:DM300)</f>
        <v>0</v>
      </c>
      <c r="M289" s="66">
        <f ca="1">SUMIF(採点!$DB$5:$DG$13,"*"&amp;M287&amp;"*",採点!DB300:DM300)</f>
        <v>0</v>
      </c>
      <c r="N289" s="66">
        <f ca="1">SUMIF(採点!$DH$5:$DM$13,"*"&amp;M287&amp;"*",採点!DH300:DM300)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SUMIF(採点!$DB$5:$DG$13,"*"&amp;K288&amp;"*",採点!DB301:DM301)</f>
        <v>0</v>
      </c>
      <c r="L290" s="66">
        <f ca="1">SUMIF(採点!$DH$5:$DM$13,"*"&amp;K288&amp;"*",採点!DH301:DM301)</f>
        <v>0</v>
      </c>
      <c r="M290" s="66">
        <f ca="1">SUMIF(採点!$DB$5:$DG$13,"*"&amp;M288&amp;"*",採点!DB301:DM301)</f>
        <v>0</v>
      </c>
      <c r="N290" s="66">
        <f ca="1">SUMIF(採点!$DH$5:$DM$13,"*"&amp;M288&amp;"*",採点!DH301:DM301)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SUMIF(採点!$DB$5:$DG$13,"*"&amp;K289&amp;"*",採点!DB302:DM302)</f>
        <v>0</v>
      </c>
      <c r="L291" s="66">
        <f ca="1">SUMIF(採点!$DH$5:$DM$13,"*"&amp;K289&amp;"*",採点!DH302:DM302)</f>
        <v>0</v>
      </c>
      <c r="M291" s="66">
        <f ca="1">SUMIF(採点!$DB$5:$DG$13,"*"&amp;M289&amp;"*",採点!DB302:DM302)</f>
        <v>0</v>
      </c>
      <c r="N291" s="66">
        <f ca="1">SUMIF(採点!$DH$5:$DM$13,"*"&amp;M289&amp;"*",採点!DH302:DM302)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SUMIF(採点!$DB$5:$DG$13,"*"&amp;K290&amp;"*",採点!DB303:DM303)</f>
        <v>0</v>
      </c>
      <c r="L292" s="66">
        <f ca="1">SUMIF(採点!$DH$5:$DM$13,"*"&amp;K290&amp;"*",採点!DH303:DM303)</f>
        <v>0</v>
      </c>
      <c r="M292" s="66">
        <f ca="1">SUMIF(採点!$DB$5:$DG$13,"*"&amp;M290&amp;"*",採点!DB303:DM303)</f>
        <v>0</v>
      </c>
      <c r="N292" s="66">
        <f ca="1">SUMIF(採点!$DH$5:$DM$13,"*"&amp;M290&amp;"*",採点!DH303:DM303)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SUMIF(採点!$DB$5:$DG$13,"*"&amp;K291&amp;"*",採点!DB304:DM304)</f>
        <v>0</v>
      </c>
      <c r="L293" s="66">
        <f ca="1">SUMIF(採点!$DH$5:$DM$13,"*"&amp;K291&amp;"*",採点!DH304:DM304)</f>
        <v>0</v>
      </c>
      <c r="M293" s="66">
        <f ca="1">SUMIF(採点!$DB$5:$DG$13,"*"&amp;M291&amp;"*",採点!DB304:DM304)</f>
        <v>0</v>
      </c>
      <c r="N293" s="66">
        <f ca="1">SUMIF(採点!$DH$5:$DM$13,"*"&amp;M291&amp;"*",採点!DH304:DM304)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SUMIF(採点!$DB$5:$DG$13,"*"&amp;K292&amp;"*",採点!DB305:DM305)</f>
        <v>0</v>
      </c>
      <c r="L294" s="66">
        <f ca="1">SUMIF(採点!$DH$5:$DM$13,"*"&amp;K292&amp;"*",採点!DH305:DM305)</f>
        <v>0</v>
      </c>
      <c r="M294" s="66">
        <f ca="1">SUMIF(採点!$DB$5:$DG$13,"*"&amp;M292&amp;"*",採点!DB305:DM305)</f>
        <v>0</v>
      </c>
      <c r="N294" s="66">
        <f ca="1">SUMIF(採点!$DH$5:$DM$13,"*"&amp;M292&amp;"*",採点!DH305:DM305)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SUMIF(採点!$DB$5:$DG$13,"*"&amp;K293&amp;"*",採点!DB306:DM306)</f>
        <v>0</v>
      </c>
      <c r="L295" s="66">
        <f ca="1">SUMIF(採点!$DH$5:$DM$13,"*"&amp;K293&amp;"*",採点!DH306:DM306)</f>
        <v>0</v>
      </c>
      <c r="M295" s="66">
        <f ca="1">SUMIF(採点!$DB$5:$DG$13,"*"&amp;M293&amp;"*",採点!DB306:DM306)</f>
        <v>0</v>
      </c>
      <c r="N295" s="66">
        <f ca="1">SUMIF(採点!$DH$5:$DM$13,"*"&amp;M293&amp;"*",採点!DH306:DM306)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SUMIF(採点!$DB$5:$DG$13,"*"&amp;K294&amp;"*",採点!DB307:DM307)</f>
        <v>0</v>
      </c>
      <c r="L296" s="66">
        <f ca="1">SUMIF(採点!$DH$5:$DM$13,"*"&amp;K294&amp;"*",採点!DH307:DM307)</f>
        <v>0</v>
      </c>
      <c r="M296" s="66">
        <f ca="1">SUMIF(採点!$DB$5:$DG$13,"*"&amp;M294&amp;"*",採点!DB307:DM307)</f>
        <v>0</v>
      </c>
      <c r="N296" s="66">
        <f ca="1">SUMIF(採点!$DH$5:$DM$13,"*"&amp;M294&amp;"*",採点!DH307:DM307)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SUMIF(採点!$DB$5:$DG$13,"*"&amp;K295&amp;"*",採点!DB308:DM308)</f>
        <v>0</v>
      </c>
      <c r="L297" s="66">
        <f ca="1">SUMIF(採点!$DH$5:$DM$13,"*"&amp;K295&amp;"*",採点!DH308:DM308)</f>
        <v>0</v>
      </c>
      <c r="M297" s="66">
        <f ca="1">SUMIF(採点!$DB$5:$DG$13,"*"&amp;M295&amp;"*",採点!DB308:DM308)</f>
        <v>0</v>
      </c>
      <c r="N297" s="66">
        <f ca="1">SUMIF(採点!$DH$5:$DM$13,"*"&amp;M295&amp;"*",採点!DH308:DM308)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SUMIF(採点!$DB$5:$DG$13,"*"&amp;K296&amp;"*",採点!DB309:DM309)</f>
        <v>0</v>
      </c>
      <c r="L298" s="66">
        <f ca="1">SUMIF(採点!$DH$5:$DM$13,"*"&amp;K296&amp;"*",採点!DH309:DM309)</f>
        <v>0</v>
      </c>
      <c r="M298" s="66">
        <f ca="1">SUMIF(採点!$DB$5:$DG$13,"*"&amp;M296&amp;"*",採点!DB309:DM309)</f>
        <v>0</v>
      </c>
      <c r="N298" s="66">
        <f ca="1">SUMIF(採点!$DH$5:$DM$13,"*"&amp;M296&amp;"*",採点!DH309:DM309)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SUMIF(採点!$DB$5:$DG$13,"*"&amp;K297&amp;"*",採点!DB310:DM310)</f>
        <v>0</v>
      </c>
      <c r="L299" s="66">
        <f ca="1">SUMIF(採点!$DH$5:$DM$13,"*"&amp;K297&amp;"*",採点!DH310:DM310)</f>
        <v>0</v>
      </c>
      <c r="M299" s="66">
        <f ca="1">SUMIF(採点!$DB$5:$DG$13,"*"&amp;M297&amp;"*",採点!DB310:DM310)</f>
        <v>0</v>
      </c>
      <c r="N299" s="66">
        <f ca="1">SUMIF(採点!$DH$5:$DM$13,"*"&amp;M297&amp;"*",採点!DH310:DM310)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SUMIF(採点!$DB$5:$DG$13,"*"&amp;K298&amp;"*",採点!DB311:DM311)</f>
        <v>0</v>
      </c>
      <c r="L300" s="66">
        <f ca="1">SUMIF(採点!$DH$5:$DM$13,"*"&amp;K298&amp;"*",採点!DH311:DM311)</f>
        <v>0</v>
      </c>
      <c r="M300" s="66">
        <f ca="1">SUMIF(採点!$DB$5:$DG$13,"*"&amp;M298&amp;"*",採点!DB311:DM311)</f>
        <v>0</v>
      </c>
      <c r="N300" s="66">
        <f ca="1">SUMIF(採点!$DH$5:$DM$13,"*"&amp;M298&amp;"*",採点!DH311:DM311)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SUMIF(採点!$DB$5:$DG$13,"*"&amp;K299&amp;"*",採点!DB312:DM312)</f>
        <v>0</v>
      </c>
      <c r="L301" s="66">
        <f ca="1">SUMIF(採点!$DH$5:$DM$13,"*"&amp;K299&amp;"*",採点!DH312:DM312)</f>
        <v>0</v>
      </c>
      <c r="M301" s="66">
        <f ca="1">SUMIF(採点!$DB$5:$DG$13,"*"&amp;M299&amp;"*",採点!DB312:DM312)</f>
        <v>0</v>
      </c>
      <c r="N301" s="66">
        <f ca="1">SUMIF(採点!$DH$5:$DM$13,"*"&amp;M299&amp;"*",採点!DH312:DM312)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SUMIF(採点!$DB$5:$DG$13,"*"&amp;K300&amp;"*",採点!DB313:DM313)</f>
        <v>0</v>
      </c>
      <c r="L302" s="66">
        <f ca="1">SUMIF(採点!$DH$5:$DM$13,"*"&amp;K300&amp;"*",採点!DH313:DM313)</f>
        <v>0</v>
      </c>
      <c r="M302" s="66">
        <f ca="1">SUMIF(採点!$DB$5:$DG$13,"*"&amp;M300&amp;"*",採点!DB313:DM313)</f>
        <v>0</v>
      </c>
      <c r="N302" s="66">
        <f ca="1">SUMIF(採点!$DH$5:$DM$13,"*"&amp;M300&amp;"*",採点!DH313:DM313)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SUMIF(採点!$DB$5:$DG$13,"*"&amp;K301&amp;"*",採点!DB314:DM314)</f>
        <v>0</v>
      </c>
      <c r="L303" s="66">
        <f ca="1">SUMIF(採点!$DH$5:$DM$13,"*"&amp;K301&amp;"*",採点!DH314:DM314)</f>
        <v>0</v>
      </c>
      <c r="M303" s="66">
        <f ca="1">SUMIF(採点!$DB$5:$DG$13,"*"&amp;M301&amp;"*",採点!DB314:DM314)</f>
        <v>0</v>
      </c>
      <c r="N303" s="66">
        <f ca="1">SUMIF(採点!$DH$5:$DM$13,"*"&amp;M301&amp;"*",採点!DH314:DM314)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SUMIF(採点!$DB$5:$DG$13,"*"&amp;K302&amp;"*",採点!DB315:DM315)</f>
        <v>0</v>
      </c>
      <c r="L304" s="66">
        <f ca="1">SUMIF(採点!$DH$5:$DM$13,"*"&amp;K302&amp;"*",採点!DH315:DM315)</f>
        <v>0</v>
      </c>
      <c r="M304" s="66">
        <f ca="1">SUMIF(採点!$DB$5:$DG$13,"*"&amp;M302&amp;"*",採点!DB315:DM315)</f>
        <v>0</v>
      </c>
      <c r="N304" s="66">
        <f ca="1">SUMIF(採点!$DH$5:$DM$13,"*"&amp;M302&amp;"*",採点!DH315:DM315)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SUMIF(採点!$DB$5:$DG$13,"*"&amp;K303&amp;"*",採点!DB316:DM316)</f>
        <v>0</v>
      </c>
      <c r="L305" s="66">
        <f ca="1">SUMIF(採点!$DH$5:$DM$13,"*"&amp;K303&amp;"*",採点!DH316:DM316)</f>
        <v>0</v>
      </c>
      <c r="M305" s="66">
        <f ca="1">SUMIF(採点!$DB$5:$DG$13,"*"&amp;M303&amp;"*",採点!DB316:DM316)</f>
        <v>0</v>
      </c>
      <c r="N305" s="66">
        <f ca="1">SUMIF(採点!$DH$5:$DM$13,"*"&amp;M303&amp;"*",採点!DH316:DM316)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SUMIF(採点!$DB$5:$DG$13,"*"&amp;K304&amp;"*",採点!DB317:DM317)</f>
        <v>0</v>
      </c>
      <c r="L306" s="66">
        <f ca="1">SUMIF(採点!$DH$5:$DM$13,"*"&amp;K304&amp;"*",採点!DH317:DM317)</f>
        <v>0</v>
      </c>
      <c r="M306" s="66">
        <f ca="1">SUMIF(採点!$DB$5:$DG$13,"*"&amp;M304&amp;"*",採点!DB317:DM317)</f>
        <v>0</v>
      </c>
      <c r="N306" s="66">
        <f ca="1">SUMIF(採点!$DH$5:$DM$13,"*"&amp;M304&amp;"*",採点!DH317:DM317)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SUMIF(採点!$DB$5:$DG$13,"*"&amp;K305&amp;"*",採点!DB318:DM318)</f>
        <v>0</v>
      </c>
      <c r="L307" s="66">
        <f ca="1">SUMIF(採点!$DH$5:$DM$13,"*"&amp;K305&amp;"*",採点!DH318:DM318)</f>
        <v>0</v>
      </c>
      <c r="M307" s="66">
        <f ca="1">SUMIF(採点!$DB$5:$DG$13,"*"&amp;M305&amp;"*",採点!DB318:DM318)</f>
        <v>0</v>
      </c>
      <c r="N307" s="66">
        <f ca="1">SUMIF(採点!$DH$5:$DM$13,"*"&amp;M305&amp;"*",採点!DH318:DM318)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SUMIF(採点!$DB$5:$DG$13,"*"&amp;K306&amp;"*",採点!DB319:DM319)</f>
        <v>0</v>
      </c>
      <c r="L308" s="66">
        <f ca="1">SUMIF(採点!$DH$5:$DM$13,"*"&amp;K306&amp;"*",採点!DH319:DM319)</f>
        <v>0</v>
      </c>
      <c r="M308" s="66">
        <f ca="1">SUMIF(採点!$DB$5:$DG$13,"*"&amp;M306&amp;"*",採点!DB319:DM319)</f>
        <v>0</v>
      </c>
      <c r="N308" s="66">
        <f ca="1">SUMIF(採点!$DH$5:$DM$13,"*"&amp;M306&amp;"*",採点!DH319:DM319)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SUMIF(採点!$DB$5:$DG$13,"*"&amp;K307&amp;"*",採点!DB320:DM320)</f>
        <v>0</v>
      </c>
      <c r="L309" s="66">
        <f ca="1">SUMIF(採点!$DH$5:$DM$13,"*"&amp;K307&amp;"*",採点!DH320:DM320)</f>
        <v>0</v>
      </c>
      <c r="M309" s="66">
        <f ca="1">SUMIF(採点!$DB$5:$DG$13,"*"&amp;M307&amp;"*",採点!DB320:DM320)</f>
        <v>0</v>
      </c>
      <c r="N309" s="66">
        <f ca="1">SUMIF(採点!$DH$5:$DM$13,"*"&amp;M307&amp;"*",採点!DH320:DM320)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SUMIF(採点!$DB$5:$DG$13,"*"&amp;K308&amp;"*",採点!DB321:DM321)</f>
        <v>0</v>
      </c>
      <c r="L310" s="66">
        <f ca="1">SUMIF(採点!$DH$5:$DM$13,"*"&amp;K308&amp;"*",採点!DH321:DM321)</f>
        <v>0</v>
      </c>
      <c r="M310" s="66">
        <f ca="1">SUMIF(採点!$DB$5:$DG$13,"*"&amp;M308&amp;"*",採点!DB321:DM321)</f>
        <v>0</v>
      </c>
      <c r="N310" s="66">
        <f ca="1">SUMIF(採点!$DH$5:$DM$13,"*"&amp;M308&amp;"*",採点!DH321:DM321)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SUMIF(採点!$DB$5:$DG$13,"*"&amp;K309&amp;"*",採点!DB322:DM322)</f>
        <v>0</v>
      </c>
      <c r="L311" s="66">
        <f ca="1">SUMIF(採点!$DH$5:$DM$13,"*"&amp;K309&amp;"*",採点!DH322:DM322)</f>
        <v>0</v>
      </c>
      <c r="M311" s="66">
        <f ca="1">SUMIF(採点!$DB$5:$DG$13,"*"&amp;M309&amp;"*",採点!DB322:DM322)</f>
        <v>0</v>
      </c>
      <c r="N311" s="66">
        <f ca="1">SUMIF(採点!$DH$5:$DM$13,"*"&amp;M309&amp;"*",採点!DH322:DM322)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SUMIF(採点!$DB$5:$DG$13,"*"&amp;K310&amp;"*",採点!DB323:DM323)</f>
        <v>0</v>
      </c>
      <c r="L312" s="66">
        <f ca="1">SUMIF(採点!$DH$5:$DM$13,"*"&amp;K310&amp;"*",採点!DH323:DM323)</f>
        <v>0</v>
      </c>
      <c r="M312" s="66">
        <f ca="1">SUMIF(採点!$DB$5:$DG$13,"*"&amp;M310&amp;"*",採点!DB323:DM323)</f>
        <v>0</v>
      </c>
      <c r="N312" s="66">
        <f ca="1">SUMIF(採点!$DH$5:$DM$13,"*"&amp;M310&amp;"*",採点!DH323:DM323)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SUMIF(採点!$DB$5:$DG$13,"*"&amp;K311&amp;"*",採点!DB324:DM324)</f>
        <v>0</v>
      </c>
      <c r="L313" s="66">
        <f ca="1">SUMIF(採点!$DH$5:$DM$13,"*"&amp;K311&amp;"*",採点!DH324:DM324)</f>
        <v>0</v>
      </c>
      <c r="M313" s="66">
        <f ca="1">SUMIF(採点!$DB$5:$DG$13,"*"&amp;M311&amp;"*",採点!DB324:DM324)</f>
        <v>0</v>
      </c>
      <c r="N313" s="66">
        <f ca="1">SUMIF(採点!$DH$5:$DM$13,"*"&amp;M311&amp;"*",採点!DH324:DM324)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SUMIF(採点!$DB$5:$DG$13,"*"&amp;K312&amp;"*",採点!DB325:DM325)</f>
        <v>0</v>
      </c>
      <c r="L314" s="66">
        <f ca="1">SUMIF(採点!$DH$5:$DM$13,"*"&amp;K312&amp;"*",採点!DH325:DM325)</f>
        <v>0</v>
      </c>
      <c r="M314" s="66">
        <f ca="1">SUMIF(採点!$DB$5:$DG$13,"*"&amp;M312&amp;"*",採点!DB325:DM325)</f>
        <v>0</v>
      </c>
      <c r="N314" s="66">
        <f ca="1">SUMIF(採点!$DH$5:$DM$13,"*"&amp;M312&amp;"*",採点!DH325:DM325)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SUMIF(採点!$DB$5:$DG$13,"*"&amp;K313&amp;"*",採点!DB326:DM326)</f>
        <v>0</v>
      </c>
      <c r="L315" s="66">
        <f ca="1">SUMIF(採点!$DH$5:$DM$13,"*"&amp;K313&amp;"*",採点!DH326:DM326)</f>
        <v>0</v>
      </c>
      <c r="M315" s="66">
        <f ca="1">SUMIF(採点!$DB$5:$DG$13,"*"&amp;M313&amp;"*",採点!DB326:DM326)</f>
        <v>0</v>
      </c>
      <c r="N315" s="66">
        <f ca="1">SUMIF(採点!$DH$5:$DM$13,"*"&amp;M313&amp;"*",採点!DH326:DM326)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SUMIF(採点!$DB$5:$DG$13,"*"&amp;K314&amp;"*",採点!DB327:DM327)</f>
        <v>0</v>
      </c>
      <c r="L316" s="66">
        <f ca="1">SUMIF(採点!$DH$5:$DM$13,"*"&amp;K314&amp;"*",採点!DH327:DM327)</f>
        <v>0</v>
      </c>
      <c r="M316" s="66">
        <f ca="1">SUMIF(採点!$DB$5:$DG$13,"*"&amp;M314&amp;"*",採点!DB327:DM327)</f>
        <v>0</v>
      </c>
      <c r="N316" s="66">
        <f ca="1">SUMIF(採点!$DH$5:$DM$13,"*"&amp;M314&amp;"*",採点!DH327:DM327)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SUMIF(採点!$DB$5:$DG$13,"*"&amp;K315&amp;"*",採点!DB328:DM328)</f>
        <v>0</v>
      </c>
      <c r="L317" s="66">
        <f ca="1">SUMIF(採点!$DH$5:$DM$13,"*"&amp;K315&amp;"*",採点!DH328:DM328)</f>
        <v>0</v>
      </c>
      <c r="M317" s="66">
        <f ca="1">SUMIF(採点!$DB$5:$DG$13,"*"&amp;M315&amp;"*",採点!DB328:DM328)</f>
        <v>0</v>
      </c>
      <c r="N317" s="66">
        <f ca="1">SUMIF(採点!$DH$5:$DM$13,"*"&amp;M315&amp;"*",採点!DH328:DM328)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SUMIF(採点!$DB$5:$DG$13,"*"&amp;K316&amp;"*",採点!DB329:DM329)</f>
        <v>0</v>
      </c>
      <c r="L318" s="66">
        <f ca="1">SUMIF(採点!$DH$5:$DM$13,"*"&amp;K316&amp;"*",採点!DH329:DM329)</f>
        <v>0</v>
      </c>
      <c r="M318" s="66">
        <f ca="1">SUMIF(採点!$DB$5:$DG$13,"*"&amp;M316&amp;"*",採点!DB329:DM329)</f>
        <v>0</v>
      </c>
      <c r="N318" s="66">
        <f ca="1">SUMIF(採点!$DH$5:$DM$13,"*"&amp;M316&amp;"*",採点!DH329:DM329)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SUMIF(採点!$DB$5:$DG$13,"*"&amp;K317&amp;"*",採点!DB330:DM330)</f>
        <v>0</v>
      </c>
      <c r="L319" s="66">
        <f ca="1">SUMIF(採点!$DH$5:$DM$13,"*"&amp;K317&amp;"*",採点!DH330:DM330)</f>
        <v>0</v>
      </c>
      <c r="M319" s="66">
        <f ca="1">SUMIF(採点!$DB$5:$DG$13,"*"&amp;M317&amp;"*",採点!DB330:DM330)</f>
        <v>0</v>
      </c>
      <c r="N319" s="66">
        <f ca="1">SUMIF(採点!$DH$5:$DM$13,"*"&amp;M317&amp;"*",採点!DH330:DM330)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SUMIF(採点!$DB$5:$DG$13,"*"&amp;K318&amp;"*",採点!DB331:DM331)</f>
        <v>0</v>
      </c>
      <c r="L320" s="66">
        <f ca="1">SUMIF(採点!$DH$5:$DM$13,"*"&amp;K318&amp;"*",採点!DH331:DM331)</f>
        <v>0</v>
      </c>
      <c r="M320" s="66">
        <f ca="1">SUMIF(採点!$DB$5:$DG$13,"*"&amp;M318&amp;"*",採点!DB331:DM331)</f>
        <v>0</v>
      </c>
      <c r="N320" s="66">
        <f ca="1">SUMIF(採点!$DH$5:$DM$13,"*"&amp;M318&amp;"*",採点!DH331:DM331)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SUMIF(採点!$DB$5:$DG$13,"*"&amp;K319&amp;"*",採点!DB332:DM332)</f>
        <v>0</v>
      </c>
      <c r="L321" s="66">
        <f ca="1">SUMIF(採点!$DH$5:$DM$13,"*"&amp;K319&amp;"*",採点!DH332:DM332)</f>
        <v>0</v>
      </c>
      <c r="M321" s="66">
        <f ca="1">SUMIF(採点!$DB$5:$DG$13,"*"&amp;M319&amp;"*",採点!DB332:DM332)</f>
        <v>0</v>
      </c>
      <c r="N321" s="66">
        <f ca="1">SUMIF(採点!$DH$5:$DM$13,"*"&amp;M319&amp;"*",採点!DH332:DM332)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SUMIF(採点!$DB$5:$DG$13,"*"&amp;K320&amp;"*",採点!DB333:DM333)</f>
        <v>0</v>
      </c>
      <c r="L322" s="66">
        <f ca="1">SUMIF(採点!$DH$5:$DM$13,"*"&amp;K320&amp;"*",採点!DH333:DM333)</f>
        <v>0</v>
      </c>
      <c r="M322" s="66">
        <f ca="1">SUMIF(採点!$DB$5:$DG$13,"*"&amp;M320&amp;"*",採点!DB333:DM333)</f>
        <v>0</v>
      </c>
      <c r="N322" s="66">
        <f ca="1">SUMIF(採点!$DH$5:$DM$13,"*"&amp;M320&amp;"*",採点!DH333:DM333)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SUMIF(採点!$DB$5:$DG$13,"*"&amp;K321&amp;"*",採点!DB334:DM334)</f>
        <v>0</v>
      </c>
      <c r="L323" s="66">
        <f ca="1">SUMIF(採点!$DH$5:$DM$13,"*"&amp;K321&amp;"*",採点!DH334:DM334)</f>
        <v>0</v>
      </c>
      <c r="M323" s="66">
        <f ca="1">SUMIF(採点!$DB$5:$DG$13,"*"&amp;M321&amp;"*",採点!DB334:DM334)</f>
        <v>0</v>
      </c>
      <c r="N323" s="66">
        <f ca="1">SUMIF(採点!$DH$5:$DM$13,"*"&amp;M321&amp;"*",採点!DH334:DM334)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SUMIF(採点!$DB$5:$DG$13,"*"&amp;K322&amp;"*",採点!DB335:DM335)</f>
        <v>0</v>
      </c>
      <c r="L324" s="66">
        <f ca="1">SUMIF(採点!$DH$5:$DM$13,"*"&amp;K322&amp;"*",採点!DH335:DM335)</f>
        <v>0</v>
      </c>
      <c r="M324" s="66">
        <f ca="1">SUMIF(採点!$DB$5:$DG$13,"*"&amp;M322&amp;"*",採点!DB335:DM335)</f>
        <v>0</v>
      </c>
      <c r="N324" s="66">
        <f ca="1">SUMIF(採点!$DH$5:$DM$13,"*"&amp;M322&amp;"*",採点!DH335:DM335)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SUMIF(採点!$DB$5:$DG$13,"*"&amp;K323&amp;"*",採点!DB336:DM336)</f>
        <v>0</v>
      </c>
      <c r="L325" s="66">
        <f ca="1">SUMIF(採点!$DH$5:$DM$13,"*"&amp;K323&amp;"*",採点!DH336:DM336)</f>
        <v>0</v>
      </c>
      <c r="M325" s="66">
        <f ca="1">SUMIF(採点!$DB$5:$DG$13,"*"&amp;M323&amp;"*",採点!DB336:DM336)</f>
        <v>0</v>
      </c>
      <c r="N325" s="66">
        <f ca="1">SUMIF(採点!$DH$5:$DM$13,"*"&amp;M323&amp;"*",採点!DH336:DM336)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SUMIF(採点!$DB$5:$DG$13,"*"&amp;K324&amp;"*",採点!DB337:DM337)</f>
        <v>0</v>
      </c>
      <c r="L326" s="66">
        <f ca="1">SUMIF(採点!$DH$5:$DM$13,"*"&amp;K324&amp;"*",採点!DH337:DM337)</f>
        <v>0</v>
      </c>
      <c r="M326" s="66">
        <f ca="1">SUMIF(採点!$DB$5:$DG$13,"*"&amp;M324&amp;"*",採点!DB337:DM337)</f>
        <v>0</v>
      </c>
      <c r="N326" s="66">
        <f ca="1">SUMIF(採点!$DH$5:$DM$13,"*"&amp;M324&amp;"*",採点!DH337:DM337)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SUMIF(採点!$DB$5:$DG$13,"*"&amp;K325&amp;"*",採点!DB338:DM338)</f>
        <v>0</v>
      </c>
      <c r="L327" s="66">
        <f ca="1">SUMIF(採点!$DH$5:$DM$13,"*"&amp;K325&amp;"*",採点!DH338:DM338)</f>
        <v>0</v>
      </c>
      <c r="M327" s="66">
        <f ca="1">SUMIF(採点!$DB$5:$DG$13,"*"&amp;M325&amp;"*",採点!DB338:DM338)</f>
        <v>0</v>
      </c>
      <c r="N327" s="66">
        <f ca="1">SUMIF(採点!$DH$5:$DM$13,"*"&amp;M325&amp;"*",採点!DH338:DM338)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SUMIF(採点!$DB$5:$DG$13,"*"&amp;K326&amp;"*",採点!DB339:DM339)</f>
        <v>0</v>
      </c>
      <c r="L328" s="66">
        <f ca="1">SUMIF(採点!$DH$5:$DM$13,"*"&amp;K326&amp;"*",採点!DH339:DM339)</f>
        <v>0</v>
      </c>
      <c r="M328" s="66">
        <f ca="1">SUMIF(採点!$DB$5:$DG$13,"*"&amp;M326&amp;"*",採点!DB339:DM339)</f>
        <v>0</v>
      </c>
      <c r="N328" s="66">
        <f ca="1">SUMIF(採点!$DH$5:$DM$13,"*"&amp;M326&amp;"*",採点!DH339:DM339)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SUMIF(採点!$DB$5:$DG$13,"*"&amp;K327&amp;"*",採点!DB340:DM340)</f>
        <v>0</v>
      </c>
      <c r="L329" s="66">
        <f ca="1">SUMIF(採点!$DH$5:$DM$13,"*"&amp;K327&amp;"*",採点!DH340:DM340)</f>
        <v>0</v>
      </c>
      <c r="M329" s="66">
        <f ca="1">SUMIF(採点!$DB$5:$DG$13,"*"&amp;M327&amp;"*",採点!DB340:DM340)</f>
        <v>0</v>
      </c>
      <c r="N329" s="66">
        <f ca="1">SUMIF(採点!$DH$5:$DM$13,"*"&amp;M327&amp;"*",採点!DH340:DM340)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SUMIF(採点!$DB$5:$DG$13,"*"&amp;K328&amp;"*",採点!DB341:DM341)</f>
        <v>0</v>
      </c>
      <c r="L330" s="66">
        <f ca="1">SUMIF(採点!$DH$5:$DM$13,"*"&amp;K328&amp;"*",採点!DH341:DM341)</f>
        <v>0</v>
      </c>
      <c r="M330" s="66">
        <f ca="1">SUMIF(採点!$DB$5:$DG$13,"*"&amp;M328&amp;"*",採点!DB341:DM341)</f>
        <v>0</v>
      </c>
      <c r="N330" s="66">
        <f ca="1">SUMIF(採点!$DH$5:$DM$13,"*"&amp;M328&amp;"*",採点!DH341:DM341)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SUMIF(採点!$DB$5:$DG$13,"*"&amp;K329&amp;"*",採点!DB342:DM342)</f>
        <v>0</v>
      </c>
      <c r="L331" s="66">
        <f ca="1">SUMIF(採点!$DH$5:$DM$13,"*"&amp;K329&amp;"*",採点!DH342:DM342)</f>
        <v>0</v>
      </c>
      <c r="M331" s="66">
        <f ca="1">SUMIF(採点!$DB$5:$DG$13,"*"&amp;M329&amp;"*",採点!DB342:DM342)</f>
        <v>0</v>
      </c>
      <c r="N331" s="66">
        <f ca="1">SUMIF(採点!$DH$5:$DM$13,"*"&amp;M329&amp;"*",採点!DH342:DM342)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SUMIF(採点!$DB$5:$DG$13,"*"&amp;K330&amp;"*",採点!DB343:DM343)</f>
        <v>0</v>
      </c>
      <c r="L332" s="66">
        <f ca="1">SUMIF(採点!$DH$5:$DM$13,"*"&amp;K330&amp;"*",採点!DH343:DM343)</f>
        <v>0</v>
      </c>
      <c r="M332" s="66">
        <f ca="1">SUMIF(採点!$DB$5:$DG$13,"*"&amp;M330&amp;"*",採点!DB343:DM343)</f>
        <v>0</v>
      </c>
      <c r="N332" s="66">
        <f ca="1">SUMIF(採点!$DH$5:$DM$13,"*"&amp;M330&amp;"*",採点!DH343:DM343)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SUMIF(採点!$DB$5:$DG$13,"*"&amp;K331&amp;"*",採点!DB344:DM344)</f>
        <v>0</v>
      </c>
      <c r="L333" s="66">
        <f ca="1">SUMIF(採点!$DH$5:$DM$13,"*"&amp;K331&amp;"*",採点!DH344:DM344)</f>
        <v>0</v>
      </c>
      <c r="M333" s="66">
        <f ca="1">SUMIF(採点!$DB$5:$DG$13,"*"&amp;M331&amp;"*",採点!DB344:DM344)</f>
        <v>0</v>
      </c>
      <c r="N333" s="66">
        <f ca="1">SUMIF(採点!$DH$5:$DM$13,"*"&amp;M331&amp;"*",採点!DH344:DM344)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SUMIF(採点!$DB$5:$DG$13,"*"&amp;K332&amp;"*",採点!DB345:DM345)</f>
        <v>0</v>
      </c>
      <c r="L334" s="66">
        <f ca="1">SUMIF(採点!$DH$5:$DM$13,"*"&amp;K332&amp;"*",採点!DH345:DM345)</f>
        <v>0</v>
      </c>
      <c r="M334" s="66">
        <f ca="1">SUMIF(採点!$DB$5:$DG$13,"*"&amp;M332&amp;"*",採点!DB345:DM345)</f>
        <v>0</v>
      </c>
      <c r="N334" s="66">
        <f ca="1">SUMIF(採点!$DH$5:$DM$13,"*"&amp;M332&amp;"*",採点!DH345:DM345)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SUMIF(採点!$DB$5:$DG$13,"*"&amp;K333&amp;"*",採点!DB346:DM346)</f>
        <v>0</v>
      </c>
      <c r="L335" s="66">
        <f ca="1">SUMIF(採点!$DH$5:$DM$13,"*"&amp;K333&amp;"*",採点!DH346:DM346)</f>
        <v>0</v>
      </c>
      <c r="M335" s="66">
        <f ca="1">SUMIF(採点!$DB$5:$DG$13,"*"&amp;M333&amp;"*",採点!DB346:DM346)</f>
        <v>0</v>
      </c>
      <c r="N335" s="66">
        <f ca="1">SUMIF(採点!$DH$5:$DM$13,"*"&amp;M333&amp;"*",採点!DH346:DM346)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SUMIF(採点!$DB$5:$DG$13,"*"&amp;K334&amp;"*",採点!DB347:DM347)</f>
        <v>0</v>
      </c>
      <c r="L336" s="66">
        <f ca="1">SUMIF(採点!$DH$5:$DM$13,"*"&amp;K334&amp;"*",採点!DH347:DM347)</f>
        <v>0</v>
      </c>
      <c r="M336" s="66">
        <f ca="1">SUMIF(採点!$DB$5:$DG$13,"*"&amp;M334&amp;"*",採点!DB347:DM347)</f>
        <v>0</v>
      </c>
      <c r="N336" s="66">
        <f ca="1">SUMIF(採点!$DH$5:$DM$13,"*"&amp;M334&amp;"*",採点!DH347:DM347)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SUMIF(採点!$DB$5:$DG$13,"*"&amp;K335&amp;"*",採点!DB348:DM348)</f>
        <v>0</v>
      </c>
      <c r="L337" s="66">
        <f ca="1">SUMIF(採点!$DH$5:$DM$13,"*"&amp;K335&amp;"*",採点!DH348:DM348)</f>
        <v>0</v>
      </c>
      <c r="M337" s="66">
        <f ca="1">SUMIF(採点!$DB$5:$DG$13,"*"&amp;M335&amp;"*",採点!DB348:DM348)</f>
        <v>0</v>
      </c>
      <c r="N337" s="66">
        <f ca="1">SUMIF(採点!$DH$5:$DM$13,"*"&amp;M335&amp;"*",採点!DH348:DM348)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SUMIF(採点!$DB$5:$DG$13,"*"&amp;K336&amp;"*",採点!DB349:DM349)</f>
        <v>0</v>
      </c>
      <c r="L338" s="66">
        <f ca="1">SUMIF(採点!$DH$5:$DM$13,"*"&amp;K336&amp;"*",採点!DH349:DM349)</f>
        <v>0</v>
      </c>
      <c r="M338" s="66">
        <f ca="1">SUMIF(採点!$DB$5:$DG$13,"*"&amp;M336&amp;"*",採点!DB349:DM349)</f>
        <v>0</v>
      </c>
      <c r="N338" s="66">
        <f ca="1">SUMIF(採点!$DH$5:$DM$13,"*"&amp;M336&amp;"*",採点!DH349:DM349)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SUMIF(採点!$DB$5:$DG$13,"*"&amp;K337&amp;"*",採点!DB350:DM350)</f>
        <v>0</v>
      </c>
      <c r="L339" s="66">
        <f ca="1">SUMIF(採点!$DH$5:$DM$13,"*"&amp;K337&amp;"*",採点!DH350:DM350)</f>
        <v>0</v>
      </c>
      <c r="M339" s="66">
        <f ca="1">SUMIF(採点!$DB$5:$DG$13,"*"&amp;M337&amp;"*",採点!DB350:DM350)</f>
        <v>0</v>
      </c>
      <c r="N339" s="66">
        <f ca="1">SUMIF(採点!$DH$5:$DM$13,"*"&amp;M337&amp;"*",採点!DH350:DM350)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SUMIF(採点!$DB$5:$DG$13,"*"&amp;K338&amp;"*",採点!DB351:DM351)</f>
        <v>0</v>
      </c>
      <c r="L340" s="66">
        <f ca="1">SUMIF(採点!$DH$5:$DM$13,"*"&amp;K338&amp;"*",採点!DH351:DM351)</f>
        <v>0</v>
      </c>
      <c r="M340" s="66">
        <f ca="1">SUMIF(採点!$DB$5:$DG$13,"*"&amp;M338&amp;"*",採点!DB351:DM351)</f>
        <v>0</v>
      </c>
      <c r="N340" s="66">
        <f ca="1">SUMIF(採点!$DH$5:$DM$13,"*"&amp;M338&amp;"*",採点!DH351:DM351)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SUMIF(採点!$DB$5:$DG$13,"*"&amp;K339&amp;"*",採点!DB352:DM352)</f>
        <v>0</v>
      </c>
      <c r="L341" s="66">
        <f ca="1">SUMIF(採点!$DH$5:$DM$13,"*"&amp;K339&amp;"*",採点!DH352:DM352)</f>
        <v>0</v>
      </c>
      <c r="M341" s="66">
        <f ca="1">SUMIF(採点!$DB$5:$DG$13,"*"&amp;M339&amp;"*",採点!DB352:DM352)</f>
        <v>0</v>
      </c>
      <c r="N341" s="66">
        <f ca="1">SUMIF(採点!$DH$5:$DM$13,"*"&amp;M339&amp;"*",採点!DH352:DM352)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SUMIF(採点!$DB$5:$DG$13,"*"&amp;K340&amp;"*",採点!DB353:DM353)</f>
        <v>0</v>
      </c>
      <c r="L342" s="66">
        <f ca="1">SUMIF(採点!$DH$5:$DM$13,"*"&amp;K340&amp;"*",採点!DH353:DM353)</f>
        <v>0</v>
      </c>
      <c r="M342" s="66">
        <f ca="1">SUMIF(採点!$DB$5:$DG$13,"*"&amp;M340&amp;"*",採点!DB353:DM353)</f>
        <v>0</v>
      </c>
      <c r="N342" s="66">
        <f ca="1">SUMIF(採点!$DH$5:$DM$13,"*"&amp;M340&amp;"*",採点!DH353:DM353)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SUMIF(採点!$DB$5:$DG$13,"*"&amp;K341&amp;"*",採点!DB354:DM354)</f>
        <v>0</v>
      </c>
      <c r="L343" s="66">
        <f ca="1">SUMIF(採点!$DH$5:$DM$13,"*"&amp;K341&amp;"*",採点!DH354:DM354)</f>
        <v>0</v>
      </c>
      <c r="M343" s="66">
        <f ca="1">SUMIF(採点!$DB$5:$DG$13,"*"&amp;M341&amp;"*",採点!DB354:DM354)</f>
        <v>0</v>
      </c>
      <c r="N343" s="66">
        <f ca="1">SUMIF(採点!$DH$5:$DM$13,"*"&amp;M341&amp;"*",採点!DH354:DM354)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SUMIF(採点!$DB$5:$DG$13,"*"&amp;K342&amp;"*",採点!DB355:DM355)</f>
        <v>0</v>
      </c>
      <c r="L344" s="66">
        <f ca="1">SUMIF(採点!$DH$5:$DM$13,"*"&amp;K342&amp;"*",採点!DH355:DM355)</f>
        <v>0</v>
      </c>
      <c r="M344" s="66">
        <f ca="1">SUMIF(採点!$DB$5:$DG$13,"*"&amp;M342&amp;"*",採点!DB355:DM355)</f>
        <v>0</v>
      </c>
      <c r="N344" s="66">
        <f ca="1">SUMIF(採点!$DH$5:$DM$13,"*"&amp;M342&amp;"*",採点!DH355:DM355)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SUMIF(採点!$DB$5:$DG$13,"*"&amp;K343&amp;"*",採点!DB356:DM356)</f>
        <v>0</v>
      </c>
      <c r="L345" s="66">
        <f ca="1">SUMIF(採点!$DH$5:$DM$13,"*"&amp;K343&amp;"*",採点!DH356:DM356)</f>
        <v>0</v>
      </c>
      <c r="M345" s="66">
        <f ca="1">SUMIF(採点!$DB$5:$DG$13,"*"&amp;M343&amp;"*",採点!DB356:DM356)</f>
        <v>0</v>
      </c>
      <c r="N345" s="66">
        <f ca="1">SUMIF(採点!$DH$5:$DM$13,"*"&amp;M343&amp;"*",採点!DH356:DM356)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SUMIF(採点!$DB$5:$DG$13,"*"&amp;K344&amp;"*",採点!DB357:DM357)</f>
        <v>0</v>
      </c>
      <c r="L346" s="66">
        <f ca="1">SUMIF(採点!$DH$5:$DM$13,"*"&amp;K344&amp;"*",採点!DH357:DM357)</f>
        <v>0</v>
      </c>
      <c r="M346" s="66">
        <f ca="1">SUMIF(採点!$DB$5:$DG$13,"*"&amp;M344&amp;"*",採点!DB357:DM357)</f>
        <v>0</v>
      </c>
      <c r="N346" s="66">
        <f ca="1">SUMIF(採点!$DH$5:$DM$13,"*"&amp;M344&amp;"*",採点!DH357:DM357)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SUMIF(採点!$DB$5:$DG$13,"*"&amp;K345&amp;"*",採点!DB358:DM358)</f>
        <v>0</v>
      </c>
      <c r="L347" s="66">
        <f ca="1">SUMIF(採点!$DH$5:$DM$13,"*"&amp;K345&amp;"*",採点!DH358:DM358)</f>
        <v>0</v>
      </c>
      <c r="M347" s="66">
        <f ca="1">SUMIF(採点!$DB$5:$DG$13,"*"&amp;M345&amp;"*",採点!DB358:DM358)</f>
        <v>0</v>
      </c>
      <c r="N347" s="66">
        <f ca="1">SUMIF(採点!$DH$5:$DM$13,"*"&amp;M345&amp;"*",採点!DH358:DM358)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SUMIF(採点!$DB$5:$DG$13,"*"&amp;K346&amp;"*",採点!DB359:DM359)</f>
        <v>0</v>
      </c>
      <c r="L348" s="66">
        <f ca="1">SUMIF(採点!$DH$5:$DM$13,"*"&amp;K346&amp;"*",採点!DH359:DM359)</f>
        <v>0</v>
      </c>
      <c r="M348" s="66">
        <f ca="1">SUMIF(採点!$DB$5:$DG$13,"*"&amp;M346&amp;"*",採点!DB359:DM359)</f>
        <v>0</v>
      </c>
      <c r="N348" s="66">
        <f ca="1">SUMIF(採点!$DH$5:$DM$13,"*"&amp;M346&amp;"*",採点!DH359:DM359)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SUMIF(採点!$DB$5:$DG$13,"*"&amp;K347&amp;"*",採点!DB360:DM360)</f>
        <v>0</v>
      </c>
      <c r="L349" s="66">
        <f ca="1">SUMIF(採点!$DH$5:$DM$13,"*"&amp;K347&amp;"*",採点!DH360:DM360)</f>
        <v>0</v>
      </c>
      <c r="M349" s="66">
        <f ca="1">SUMIF(採点!$DB$5:$DG$13,"*"&amp;M347&amp;"*",採点!DB360:DM360)</f>
        <v>0</v>
      </c>
      <c r="N349" s="66">
        <f ca="1">SUMIF(採点!$DH$5:$DM$13,"*"&amp;M347&amp;"*",採点!DH360:DM360)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SUMIF(採点!$DB$5:$DG$13,"*"&amp;K348&amp;"*",採点!DB361:DM361)</f>
        <v>0</v>
      </c>
      <c r="L350" s="66">
        <f ca="1">SUMIF(採点!$DH$5:$DM$13,"*"&amp;K348&amp;"*",採点!DH361:DM361)</f>
        <v>0</v>
      </c>
      <c r="M350" s="66">
        <f ca="1">SUMIF(採点!$DB$5:$DG$13,"*"&amp;M348&amp;"*",採点!DB361:DM361)</f>
        <v>0</v>
      </c>
      <c r="N350" s="66">
        <f ca="1">SUMIF(採点!$DH$5:$DM$13,"*"&amp;M348&amp;"*",採点!DH361:DM361)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SUMIF(採点!$DB$5:$DG$13,"*"&amp;K349&amp;"*",採点!DB362:DM362)</f>
        <v>0</v>
      </c>
      <c r="L351" s="66">
        <f ca="1">SUMIF(採点!$DH$5:$DM$13,"*"&amp;K349&amp;"*",採点!DH362:DM362)</f>
        <v>0</v>
      </c>
      <c r="M351" s="66">
        <f ca="1">SUMIF(採点!$DB$5:$DG$13,"*"&amp;M349&amp;"*",採点!DB362:DM362)</f>
        <v>0</v>
      </c>
      <c r="N351" s="66">
        <f ca="1">SUMIF(採点!$DH$5:$DM$13,"*"&amp;M349&amp;"*",採点!DH362:DM362)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SUMIF(採点!$DB$5:$DG$13,"*"&amp;K350&amp;"*",採点!DB363:DM363)</f>
        <v>0</v>
      </c>
      <c r="L352" s="66">
        <f ca="1">SUMIF(採点!$DH$5:$DM$13,"*"&amp;K350&amp;"*",採点!DH363:DM363)</f>
        <v>0</v>
      </c>
      <c r="M352" s="66">
        <f ca="1">SUMIF(採点!$DB$5:$DG$13,"*"&amp;M350&amp;"*",採点!DB363:DM363)</f>
        <v>0</v>
      </c>
      <c r="N352" s="66">
        <f ca="1">SUMIF(採点!$DH$5:$DM$13,"*"&amp;M350&amp;"*",採点!DH363:DM363)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SUMIF(採点!$DB$5:$DG$13,"*"&amp;K351&amp;"*",採点!DB364:DM364)</f>
        <v>0</v>
      </c>
      <c r="L353" s="66">
        <f ca="1">SUMIF(採点!$DH$5:$DM$13,"*"&amp;K351&amp;"*",採点!DH364:DM364)</f>
        <v>0</v>
      </c>
      <c r="M353" s="66">
        <f ca="1">SUMIF(採点!$DB$5:$DG$13,"*"&amp;M351&amp;"*",採点!DB364:DM364)</f>
        <v>0</v>
      </c>
      <c r="N353" s="66">
        <f ca="1">SUMIF(採点!$DH$5:$DM$13,"*"&amp;M351&amp;"*",採点!DH364:DM364)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SUMIF(採点!$DB$5:$DG$13,"*"&amp;K352&amp;"*",採点!DB365:DM365)</f>
        <v>0</v>
      </c>
      <c r="L354" s="66">
        <f ca="1">SUMIF(採点!$DH$5:$DM$13,"*"&amp;K352&amp;"*",採点!DH365:DM365)</f>
        <v>0</v>
      </c>
      <c r="M354" s="66">
        <f ca="1">SUMIF(採点!$DB$5:$DG$13,"*"&amp;M352&amp;"*",採点!DB365:DM365)</f>
        <v>0</v>
      </c>
      <c r="N354" s="66">
        <f ca="1">SUMIF(採点!$DH$5:$DM$13,"*"&amp;M352&amp;"*",採点!DH365:DM365)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SUMIF(採点!$DB$5:$DG$13,"*"&amp;K353&amp;"*",採点!DB366:DM366)</f>
        <v>0</v>
      </c>
      <c r="L355" s="66">
        <f ca="1">SUMIF(採点!$DH$5:$DM$13,"*"&amp;K353&amp;"*",採点!DH366:DM366)</f>
        <v>0</v>
      </c>
      <c r="M355" s="66">
        <f ca="1">SUMIF(採点!$DB$5:$DG$13,"*"&amp;M353&amp;"*",採点!DB366:DM366)</f>
        <v>0</v>
      </c>
      <c r="N355" s="66">
        <f ca="1">SUMIF(採点!$DH$5:$DM$13,"*"&amp;M353&amp;"*",採点!DH366:DM366)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SUMIF(採点!$DB$5:$DG$13,"*"&amp;K354&amp;"*",採点!DB367:DM367)</f>
        <v>0</v>
      </c>
      <c r="L356" s="66">
        <f ca="1">SUMIF(採点!$DH$5:$DM$13,"*"&amp;K354&amp;"*",採点!DH367:DM367)</f>
        <v>0</v>
      </c>
      <c r="M356" s="66">
        <f ca="1">SUMIF(採点!$DB$5:$DG$13,"*"&amp;M354&amp;"*",採点!DB367:DM367)</f>
        <v>0</v>
      </c>
      <c r="N356" s="66">
        <f ca="1">SUMIF(採点!$DH$5:$DM$13,"*"&amp;M354&amp;"*",採点!DH367:DM367)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SUMIF(採点!$DB$5:$DG$13,"*"&amp;K355&amp;"*",採点!DB368:DM368)</f>
        <v>0</v>
      </c>
      <c r="L357" s="66">
        <f ca="1">SUMIF(採点!$DH$5:$DM$13,"*"&amp;K355&amp;"*",採点!DH368:DM368)</f>
        <v>0</v>
      </c>
      <c r="M357" s="66">
        <f ca="1">SUMIF(採点!$DB$5:$DG$13,"*"&amp;M355&amp;"*",採点!DB368:DM368)</f>
        <v>0</v>
      </c>
      <c r="N357" s="66">
        <f ca="1">SUMIF(採点!$DH$5:$DM$13,"*"&amp;M355&amp;"*",採点!DH368:DM368)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SUMIF(採点!$DB$5:$DG$13,"*"&amp;K356&amp;"*",採点!DB369:DM369)</f>
        <v>0</v>
      </c>
      <c r="L358" s="66">
        <f ca="1">SUMIF(採点!$DH$5:$DM$13,"*"&amp;K356&amp;"*",採点!DH369:DM369)</f>
        <v>0</v>
      </c>
      <c r="M358" s="66">
        <f ca="1">SUMIF(採点!$DB$5:$DG$13,"*"&amp;M356&amp;"*",採点!DB369:DM369)</f>
        <v>0</v>
      </c>
      <c r="N358" s="66">
        <f ca="1">SUMIF(採点!$DH$5:$DM$13,"*"&amp;M356&amp;"*",採点!DH369:DM369)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SUMIF(採点!$DB$5:$DG$13,"*"&amp;K357&amp;"*",採点!DB370:DM370)</f>
        <v>0</v>
      </c>
      <c r="L359" s="66">
        <f ca="1">SUMIF(採点!$DH$5:$DM$13,"*"&amp;K357&amp;"*",採点!DH370:DM370)</f>
        <v>0</v>
      </c>
      <c r="M359" s="66">
        <f ca="1">SUMIF(採点!$DB$5:$DG$13,"*"&amp;M357&amp;"*",採点!DB370:DM370)</f>
        <v>0</v>
      </c>
      <c r="N359" s="66">
        <f ca="1">SUMIF(採点!$DH$5:$DM$13,"*"&amp;M357&amp;"*",採点!DH370:DM370)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SUMIF(採点!$DB$5:$DG$13,"*"&amp;K358&amp;"*",採点!DB371:DM371)</f>
        <v>0</v>
      </c>
      <c r="L360" s="66">
        <f ca="1">SUMIF(採点!$DH$5:$DM$13,"*"&amp;K358&amp;"*",採点!DH371:DM371)</f>
        <v>0</v>
      </c>
      <c r="M360" s="66">
        <f ca="1">SUMIF(採点!$DB$5:$DG$13,"*"&amp;M358&amp;"*",採点!DB371:DM371)</f>
        <v>0</v>
      </c>
      <c r="N360" s="66">
        <f ca="1">SUMIF(採点!$DH$5:$DM$13,"*"&amp;M358&amp;"*",採点!DH371:DM371)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SUMIF(採点!$DB$5:$DG$13,"*"&amp;K359&amp;"*",採点!DB372:DM372)</f>
        <v>0</v>
      </c>
      <c r="L361" s="66">
        <f ca="1">SUMIF(採点!$DH$5:$DM$13,"*"&amp;K359&amp;"*",採点!DH372:DM372)</f>
        <v>0</v>
      </c>
      <c r="M361" s="66">
        <f ca="1">SUMIF(採点!$DB$5:$DG$13,"*"&amp;M359&amp;"*",採点!DB372:DM372)</f>
        <v>0</v>
      </c>
      <c r="N361" s="66">
        <f ca="1">SUMIF(採点!$DH$5:$DM$13,"*"&amp;M359&amp;"*",採点!DH372:DM372)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SUMIF(採点!$DB$5:$DG$13,"*"&amp;K360&amp;"*",採点!DB373:DM373)</f>
        <v>0</v>
      </c>
      <c r="L362" s="66">
        <f ca="1">SUMIF(採点!$DH$5:$DM$13,"*"&amp;K360&amp;"*",採点!DH373:DM373)</f>
        <v>0</v>
      </c>
      <c r="M362" s="66">
        <f ca="1">SUMIF(採点!$DB$5:$DG$13,"*"&amp;M360&amp;"*",採点!DB373:DM373)</f>
        <v>0</v>
      </c>
      <c r="N362" s="66">
        <f ca="1">SUMIF(採点!$DH$5:$DM$13,"*"&amp;M360&amp;"*",採点!DH373:DM373)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SUMIF(採点!$DB$5:$DG$13,"*"&amp;K361&amp;"*",採点!DB374:DM374)</f>
        <v>0</v>
      </c>
      <c r="L363" s="66">
        <f ca="1">SUMIF(採点!$DH$5:$DM$13,"*"&amp;K361&amp;"*",採点!DH374:DM374)</f>
        <v>0</v>
      </c>
      <c r="M363" s="66">
        <f ca="1">SUMIF(採点!$DB$5:$DG$13,"*"&amp;M361&amp;"*",採点!DB374:DM374)</f>
        <v>0</v>
      </c>
      <c r="N363" s="66">
        <f ca="1">SUMIF(採点!$DH$5:$DM$13,"*"&amp;M361&amp;"*",採点!DH374:DM374)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SUMIF(採点!$DB$5:$DG$13,"*"&amp;K362&amp;"*",採点!DB375:DM375)</f>
        <v>0</v>
      </c>
      <c r="L364" s="66">
        <f ca="1">SUMIF(採点!$DH$5:$DM$13,"*"&amp;K362&amp;"*",採点!DH375:DM375)</f>
        <v>0</v>
      </c>
      <c r="M364" s="66">
        <f ca="1">SUMIF(採点!$DB$5:$DG$13,"*"&amp;M362&amp;"*",採点!DB375:DM375)</f>
        <v>0</v>
      </c>
      <c r="N364" s="66">
        <f ca="1">SUMIF(採点!$DH$5:$DM$13,"*"&amp;M362&amp;"*",採点!DH375:DM375)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SUMIF(採点!$DB$5:$DG$13,"*"&amp;K363&amp;"*",採点!DB376:DM376)</f>
        <v>0</v>
      </c>
      <c r="L365" s="66">
        <f ca="1">SUMIF(採点!$DH$5:$DM$13,"*"&amp;K363&amp;"*",採点!DH376:DM376)</f>
        <v>0</v>
      </c>
      <c r="M365" s="66">
        <f ca="1">SUMIF(採点!$DB$5:$DG$13,"*"&amp;M363&amp;"*",採点!DB376:DM376)</f>
        <v>0</v>
      </c>
      <c r="N365" s="66">
        <f ca="1">SUMIF(採点!$DH$5:$DM$13,"*"&amp;M363&amp;"*",採点!DH376:DM376)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SUMIF(採点!$DB$5:$DG$13,"*"&amp;K364&amp;"*",採点!DB377:DM377)</f>
        <v>0</v>
      </c>
      <c r="L366" s="66">
        <f ca="1">SUMIF(採点!$DH$5:$DM$13,"*"&amp;K364&amp;"*",採点!DH377:DM377)</f>
        <v>0</v>
      </c>
      <c r="M366" s="66">
        <f ca="1">SUMIF(採点!$DB$5:$DG$13,"*"&amp;M364&amp;"*",採点!DB377:DM377)</f>
        <v>0</v>
      </c>
      <c r="N366" s="66">
        <f ca="1">SUMIF(採点!$DH$5:$DM$13,"*"&amp;M364&amp;"*",採点!DH377:DM377)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SUMIF(採点!$DB$5:$DG$13,"*"&amp;K365&amp;"*",採点!DB378:DM378)</f>
        <v>0</v>
      </c>
      <c r="L367" s="66">
        <f ca="1">SUMIF(採点!$DH$5:$DM$13,"*"&amp;K365&amp;"*",採点!DH378:DM378)</f>
        <v>0</v>
      </c>
      <c r="M367" s="66">
        <f ca="1">SUMIF(採点!$DB$5:$DG$13,"*"&amp;M365&amp;"*",採点!DB378:DM378)</f>
        <v>0</v>
      </c>
      <c r="N367" s="66">
        <f ca="1">SUMIF(採点!$DH$5:$DM$13,"*"&amp;M365&amp;"*",採点!DH378:DM378)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SUMIF(採点!$DB$5:$DG$13,"*"&amp;K366&amp;"*",採点!DB379:DM379)</f>
        <v>0</v>
      </c>
      <c r="L368" s="66">
        <f ca="1">SUMIF(採点!$DH$5:$DM$13,"*"&amp;K366&amp;"*",採点!DH379:DM379)</f>
        <v>0</v>
      </c>
      <c r="M368" s="66">
        <f ca="1">SUMIF(採点!$DB$5:$DG$13,"*"&amp;M366&amp;"*",採点!DB379:DM379)</f>
        <v>0</v>
      </c>
      <c r="N368" s="66">
        <f ca="1">SUMIF(採点!$DH$5:$DM$13,"*"&amp;M366&amp;"*",採点!DH379:DM379)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SUMIF(採点!$DB$5:$DG$13,"*"&amp;K367&amp;"*",採点!DB380:DM380)</f>
        <v>0</v>
      </c>
      <c r="L369" s="66">
        <f ca="1">SUMIF(採点!$DH$5:$DM$13,"*"&amp;K367&amp;"*",採点!DH380:DM380)</f>
        <v>0</v>
      </c>
      <c r="M369" s="66">
        <f ca="1">SUMIF(採点!$DB$5:$DG$13,"*"&amp;M367&amp;"*",採点!DB380:DM380)</f>
        <v>0</v>
      </c>
      <c r="N369" s="66">
        <f ca="1">SUMIF(採点!$DH$5:$DM$13,"*"&amp;M367&amp;"*",採点!DH380:DM380)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SUMIF(採点!$DB$5:$DG$13,"*"&amp;K368&amp;"*",採点!DB381:DM381)</f>
        <v>0</v>
      </c>
      <c r="L370" s="66">
        <f ca="1">SUMIF(採点!$DH$5:$DM$13,"*"&amp;K368&amp;"*",採点!DH381:DM381)</f>
        <v>0</v>
      </c>
      <c r="M370" s="66">
        <f ca="1">SUMIF(採点!$DB$5:$DG$13,"*"&amp;M368&amp;"*",採点!DB381:DM381)</f>
        <v>0</v>
      </c>
      <c r="N370" s="66">
        <f ca="1">SUMIF(採点!$DH$5:$DM$13,"*"&amp;M368&amp;"*",採点!DH381:DM381)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SUMIF(採点!$DB$5:$DG$13,"*"&amp;K369&amp;"*",採点!DB382:DM382)</f>
        <v>0</v>
      </c>
      <c r="L371" s="66">
        <f ca="1">SUMIF(採点!$DH$5:$DM$13,"*"&amp;K369&amp;"*",採点!DH382:DM382)</f>
        <v>0</v>
      </c>
      <c r="M371" s="66">
        <f ca="1">SUMIF(採点!$DB$5:$DG$13,"*"&amp;M369&amp;"*",採点!DB382:DM382)</f>
        <v>0</v>
      </c>
      <c r="N371" s="66">
        <f ca="1">SUMIF(採点!$DH$5:$DM$13,"*"&amp;M369&amp;"*",採点!DH382:DM382)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SUMIF(採点!$DB$5:$DG$13,"*"&amp;K370&amp;"*",採点!DB383:DM383)</f>
        <v>0</v>
      </c>
      <c r="L372" s="66">
        <f ca="1">SUMIF(採点!$DH$5:$DM$13,"*"&amp;K370&amp;"*",採点!DH383:DM383)</f>
        <v>0</v>
      </c>
      <c r="M372" s="66">
        <f ca="1">SUMIF(採点!$DB$5:$DG$13,"*"&amp;M370&amp;"*",採点!DB383:DM383)</f>
        <v>0</v>
      </c>
      <c r="N372" s="66">
        <f ca="1">SUMIF(採点!$DH$5:$DM$13,"*"&amp;M370&amp;"*",採点!DH383:DM383)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SUMIF(採点!$DB$5:$DG$13,"*"&amp;K371&amp;"*",採点!DB384:DM384)</f>
        <v>0</v>
      </c>
      <c r="L373" s="66">
        <f ca="1">SUMIF(採点!$DH$5:$DM$13,"*"&amp;K371&amp;"*",採点!DH384:DM384)</f>
        <v>0</v>
      </c>
      <c r="M373" s="66">
        <f ca="1">SUMIF(採点!$DB$5:$DG$13,"*"&amp;M371&amp;"*",採点!DB384:DM384)</f>
        <v>0</v>
      </c>
      <c r="N373" s="66">
        <f ca="1">SUMIF(採点!$DH$5:$DM$13,"*"&amp;M371&amp;"*",採点!DH384:DM384)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SUMIF(採点!$DB$5:$DG$13,"*"&amp;K372&amp;"*",採点!DB385:DM385)</f>
        <v>0</v>
      </c>
      <c r="L374" s="66">
        <f ca="1">SUMIF(採点!$DH$5:$DM$13,"*"&amp;K372&amp;"*",採点!DH385:DM385)</f>
        <v>0</v>
      </c>
      <c r="M374" s="66">
        <f ca="1">SUMIF(採点!$DB$5:$DG$13,"*"&amp;M372&amp;"*",採点!DB385:DM385)</f>
        <v>0</v>
      </c>
      <c r="N374" s="66">
        <f ca="1">SUMIF(採点!$DH$5:$DM$13,"*"&amp;M372&amp;"*",採点!DH385:DM385)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SUMIF(採点!$DB$5:$DG$13,"*"&amp;K373&amp;"*",採点!DB386:DM386)</f>
        <v>0</v>
      </c>
      <c r="L375" s="66">
        <f ca="1">SUMIF(採点!$DH$5:$DM$13,"*"&amp;K373&amp;"*",採点!DH386:DM386)</f>
        <v>0</v>
      </c>
      <c r="M375" s="66">
        <f ca="1">SUMIF(採点!$DB$5:$DG$13,"*"&amp;M373&amp;"*",採点!DB386:DM386)</f>
        <v>0</v>
      </c>
      <c r="N375" s="66">
        <f ca="1">SUMIF(採点!$DH$5:$DM$13,"*"&amp;M373&amp;"*",採点!DH386:DM386)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SUMIF(採点!$DB$5:$DG$13,"*"&amp;K374&amp;"*",採点!DB387:DM387)</f>
        <v>0</v>
      </c>
      <c r="L376" s="66">
        <f ca="1">SUMIF(採点!$DH$5:$DM$13,"*"&amp;K374&amp;"*",採点!DH387:DM387)</f>
        <v>0</v>
      </c>
      <c r="M376" s="66">
        <f ca="1">SUMIF(採点!$DB$5:$DG$13,"*"&amp;M374&amp;"*",採点!DB387:DM387)</f>
        <v>0</v>
      </c>
      <c r="N376" s="66">
        <f ca="1">SUMIF(採点!$DH$5:$DM$13,"*"&amp;M374&amp;"*",採点!DH387:DM387)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SUMIF(採点!$DB$5:$DG$13,"*"&amp;K375&amp;"*",採点!DB388:DM388)</f>
        <v>0</v>
      </c>
      <c r="L377" s="66">
        <f ca="1">SUMIF(採点!$DH$5:$DM$13,"*"&amp;K375&amp;"*",採点!DH388:DM388)</f>
        <v>0</v>
      </c>
      <c r="M377" s="66">
        <f ca="1">SUMIF(採点!$DB$5:$DG$13,"*"&amp;M375&amp;"*",採点!DB388:DM388)</f>
        <v>0</v>
      </c>
      <c r="N377" s="66">
        <f ca="1">SUMIF(採点!$DH$5:$DM$13,"*"&amp;M375&amp;"*",採点!DH388:DM388)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SUMIF(採点!$DB$5:$DG$13,"*"&amp;K376&amp;"*",採点!DB389:DM389)</f>
        <v>0</v>
      </c>
      <c r="L378" s="66">
        <f ca="1">SUMIF(採点!$DH$5:$DM$13,"*"&amp;K376&amp;"*",採点!DH389:DM389)</f>
        <v>0</v>
      </c>
      <c r="M378" s="66">
        <f ca="1">SUMIF(採点!$DB$5:$DG$13,"*"&amp;M376&amp;"*",採点!DB389:DM389)</f>
        <v>0</v>
      </c>
      <c r="N378" s="66">
        <f ca="1">SUMIF(採点!$DH$5:$DM$13,"*"&amp;M376&amp;"*",採点!DH389:DM389)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SUMIF(採点!$DB$5:$DG$13,"*"&amp;K377&amp;"*",採点!DB390:DM390)</f>
        <v>0</v>
      </c>
      <c r="L379" s="66">
        <f ca="1">SUMIF(採点!$DH$5:$DM$13,"*"&amp;K377&amp;"*",採点!DH390:DM390)</f>
        <v>0</v>
      </c>
      <c r="M379" s="66">
        <f ca="1">SUMIF(採点!$DB$5:$DG$13,"*"&amp;M377&amp;"*",採点!DB390:DM390)</f>
        <v>0</v>
      </c>
      <c r="N379" s="66">
        <f ca="1">SUMIF(採点!$DH$5:$DM$13,"*"&amp;M377&amp;"*",採点!DH390:DM390)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SUMIF(採点!$DB$5:$DG$13,"*"&amp;K378&amp;"*",採点!DB391:DM391)</f>
        <v>0</v>
      </c>
      <c r="L380" s="66">
        <f ca="1">SUMIF(採点!$DH$5:$DM$13,"*"&amp;K378&amp;"*",採点!DH391:DM391)</f>
        <v>0</v>
      </c>
      <c r="M380" s="66">
        <f ca="1">SUMIF(採点!$DB$5:$DG$13,"*"&amp;M378&amp;"*",採点!DB391:DM391)</f>
        <v>0</v>
      </c>
      <c r="N380" s="66">
        <f ca="1">SUMIF(採点!$DH$5:$DM$13,"*"&amp;M378&amp;"*",採点!DH391:DM391)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SUMIF(採点!$DB$5:$DG$13,"*"&amp;K379&amp;"*",採点!DB392:DM392)</f>
        <v>0</v>
      </c>
      <c r="L381" s="66">
        <f ca="1">SUMIF(採点!$DH$5:$DM$13,"*"&amp;K379&amp;"*",採点!DH392:DM392)</f>
        <v>0</v>
      </c>
      <c r="M381" s="66">
        <f ca="1">SUMIF(採点!$DB$5:$DG$13,"*"&amp;M379&amp;"*",採点!DB392:DM392)</f>
        <v>0</v>
      </c>
      <c r="N381" s="66">
        <f ca="1">SUMIF(採点!$DH$5:$DM$13,"*"&amp;M379&amp;"*",採点!DH392:DM392)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SUMIF(採点!$DB$5:$DG$13,"*"&amp;K380&amp;"*",採点!DB393:DM393)</f>
        <v>0</v>
      </c>
      <c r="L382" s="66">
        <f ca="1">SUMIF(採点!$DH$5:$DM$13,"*"&amp;K380&amp;"*",採点!DH393:DM393)</f>
        <v>0</v>
      </c>
      <c r="M382" s="66">
        <f ca="1">SUMIF(採点!$DB$5:$DG$13,"*"&amp;M380&amp;"*",採点!DB393:DM393)</f>
        <v>0</v>
      </c>
      <c r="N382" s="66">
        <f ca="1">SUMIF(採点!$DH$5:$DM$13,"*"&amp;M380&amp;"*",採点!DH393:DM393)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SUMIF(採点!$DB$5:$DG$13,"*"&amp;K381&amp;"*",採点!DB394:DM394)</f>
        <v>0</v>
      </c>
      <c r="L383" s="66">
        <f ca="1">SUMIF(採点!$DH$5:$DM$13,"*"&amp;K381&amp;"*",採点!DH394:DM394)</f>
        <v>0</v>
      </c>
      <c r="M383" s="66">
        <f ca="1">SUMIF(採点!$DB$5:$DG$13,"*"&amp;M381&amp;"*",採点!DB394:DM394)</f>
        <v>0</v>
      </c>
      <c r="N383" s="66">
        <f ca="1">SUMIF(採点!$DH$5:$DM$13,"*"&amp;M381&amp;"*",採点!DH394:DM394)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SUMIF(採点!$DB$5:$DG$13,"*"&amp;K382&amp;"*",採点!DB395:DM395)</f>
        <v>0</v>
      </c>
      <c r="L384" s="66">
        <f ca="1">SUMIF(採点!$DH$5:$DM$13,"*"&amp;K382&amp;"*",採点!DH395:DM395)</f>
        <v>0</v>
      </c>
      <c r="M384" s="66">
        <f ca="1">SUMIF(採点!$DB$5:$DG$13,"*"&amp;M382&amp;"*",採点!DB395:DM395)</f>
        <v>0</v>
      </c>
      <c r="N384" s="66">
        <f ca="1">SUMIF(採点!$DH$5:$DM$13,"*"&amp;M382&amp;"*",採点!DH395:DM395)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SUMIF(採点!$DB$5:$DG$13,"*"&amp;K383&amp;"*",採点!DB396:DM396)</f>
        <v>0</v>
      </c>
      <c r="L385" s="66">
        <f ca="1">SUMIF(採点!$DH$5:$DM$13,"*"&amp;K383&amp;"*",採点!DH396:DM396)</f>
        <v>0</v>
      </c>
      <c r="M385" s="66">
        <f ca="1">SUMIF(採点!$DB$5:$DG$13,"*"&amp;M383&amp;"*",採点!DB396:DM396)</f>
        <v>0</v>
      </c>
      <c r="N385" s="66">
        <f ca="1">SUMIF(採点!$DH$5:$DM$13,"*"&amp;M383&amp;"*",採点!DH396:DM396)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SUMIF(採点!$DB$5:$DG$13,"*"&amp;K384&amp;"*",採点!DB397:DM397)</f>
        <v>0</v>
      </c>
      <c r="L386" s="66">
        <f ca="1">SUMIF(採点!$DH$5:$DM$13,"*"&amp;K384&amp;"*",採点!DH397:DM397)</f>
        <v>0</v>
      </c>
      <c r="M386" s="66">
        <f ca="1">SUMIF(採点!$DB$5:$DG$13,"*"&amp;M384&amp;"*",採点!DB397:DM397)</f>
        <v>0</v>
      </c>
      <c r="N386" s="66">
        <f ca="1">SUMIF(採点!$DH$5:$DM$13,"*"&amp;M384&amp;"*",採点!DH397:DM397)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SUMIF(採点!$DB$5:$DG$13,"*"&amp;K385&amp;"*",採点!DB398:DM398)</f>
        <v>0</v>
      </c>
      <c r="L387" s="66">
        <f ca="1">SUMIF(採点!$DH$5:$DM$13,"*"&amp;K385&amp;"*",採点!DH398:DM398)</f>
        <v>0</v>
      </c>
      <c r="M387" s="66">
        <f ca="1">SUMIF(採点!$DB$5:$DG$13,"*"&amp;M385&amp;"*",採点!DB398:DM398)</f>
        <v>0</v>
      </c>
      <c r="N387" s="66">
        <f ca="1">SUMIF(採点!$DH$5:$DM$13,"*"&amp;M385&amp;"*",採点!DH398:DM398)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SUMIF(採点!$DB$5:$DG$13,"*"&amp;K386&amp;"*",採点!DB399:DM399)</f>
        <v>0</v>
      </c>
      <c r="L388" s="66">
        <f ca="1">SUMIF(採点!$DH$5:$DM$13,"*"&amp;K386&amp;"*",採点!DH399:DM399)</f>
        <v>0</v>
      </c>
      <c r="M388" s="66">
        <f ca="1">SUMIF(採点!$DB$5:$DG$13,"*"&amp;M386&amp;"*",採点!DB399:DM399)</f>
        <v>0</v>
      </c>
      <c r="N388" s="66">
        <f ca="1">SUMIF(採点!$DH$5:$DM$13,"*"&amp;M386&amp;"*",採点!DH399:DM399)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SUMIF(採点!$DB$5:$DG$13,"*"&amp;K387&amp;"*",採点!DB400:DM400)</f>
        <v>0</v>
      </c>
      <c r="L389" s="66">
        <f ca="1">SUMIF(採点!$DH$5:$DM$13,"*"&amp;K387&amp;"*",採点!DH400:DM400)</f>
        <v>0</v>
      </c>
      <c r="M389" s="66">
        <f ca="1">SUMIF(採点!$DB$5:$DG$13,"*"&amp;M387&amp;"*",採点!DB400:DM400)</f>
        <v>0</v>
      </c>
      <c r="N389" s="66">
        <f ca="1">SUMIF(採点!$DH$5:$DM$13,"*"&amp;M387&amp;"*",採点!DH400:DM400)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SUMIF(採点!$DB$5:$DG$13,"*"&amp;K388&amp;"*",採点!DB401:DM401)</f>
        <v>0</v>
      </c>
      <c r="L390" s="66">
        <f ca="1">SUMIF(採点!$DH$5:$DM$13,"*"&amp;K388&amp;"*",採点!DH401:DM401)</f>
        <v>0</v>
      </c>
      <c r="M390" s="66">
        <f ca="1">SUMIF(採点!$DB$5:$DG$13,"*"&amp;M388&amp;"*",採点!DB401:DM401)</f>
        <v>0</v>
      </c>
      <c r="N390" s="66">
        <f ca="1">SUMIF(採点!$DH$5:$DM$13,"*"&amp;M388&amp;"*",採点!DH401:DM401)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SUMIF(採点!$DB$5:$DG$13,"*"&amp;K389&amp;"*",採点!DB402:DM402)</f>
        <v>0</v>
      </c>
      <c r="L391" s="66">
        <f ca="1">SUMIF(採点!$DH$5:$DM$13,"*"&amp;K389&amp;"*",採点!DH402:DM402)</f>
        <v>0</v>
      </c>
      <c r="M391" s="66">
        <f ca="1">SUMIF(採点!$DB$5:$DG$13,"*"&amp;M389&amp;"*",採点!DB402:DM402)</f>
        <v>0</v>
      </c>
      <c r="N391" s="66">
        <f ca="1">SUMIF(採点!$DH$5:$DM$13,"*"&amp;M389&amp;"*",採点!DH402:DM402)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SUMIF(採点!$DB$5:$DG$13,"*"&amp;K390&amp;"*",採点!DB403:DM403)</f>
        <v>0</v>
      </c>
      <c r="L392" s="66">
        <f ca="1">SUMIF(採点!$DH$5:$DM$13,"*"&amp;K390&amp;"*",採点!DH403:DM403)</f>
        <v>0</v>
      </c>
      <c r="M392" s="66">
        <f ca="1">SUMIF(採点!$DB$5:$DG$13,"*"&amp;M390&amp;"*",採点!DB403:DM403)</f>
        <v>0</v>
      </c>
      <c r="N392" s="66">
        <f ca="1">SUMIF(採点!$DH$5:$DM$13,"*"&amp;M390&amp;"*",採点!DH403:DM403)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SUMIF(採点!$DB$5:$DG$13,"*"&amp;K391&amp;"*",採点!DB404:DM404)</f>
        <v>0</v>
      </c>
      <c r="L393" s="66">
        <f ca="1">SUMIF(採点!$DH$5:$DM$13,"*"&amp;K391&amp;"*",採点!DH404:DM404)</f>
        <v>0</v>
      </c>
      <c r="M393" s="66">
        <f ca="1">SUMIF(採点!$DB$5:$DG$13,"*"&amp;M391&amp;"*",採点!DB404:DM404)</f>
        <v>0</v>
      </c>
      <c r="N393" s="66">
        <f ca="1">SUMIF(採点!$DH$5:$DM$13,"*"&amp;M391&amp;"*",採点!DH404:DM404)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SUMIF(採点!$DB$5:$DG$13,"*"&amp;K392&amp;"*",採点!DB405:DM405)</f>
        <v>0</v>
      </c>
      <c r="L394" s="66">
        <f ca="1">SUMIF(採点!$DH$5:$DM$13,"*"&amp;K392&amp;"*",採点!DH405:DM405)</f>
        <v>0</v>
      </c>
      <c r="M394" s="66">
        <f ca="1">SUMIF(採点!$DB$5:$DG$13,"*"&amp;M392&amp;"*",採点!DB405:DM405)</f>
        <v>0</v>
      </c>
      <c r="N394" s="66">
        <f ca="1">SUMIF(採点!$DH$5:$DM$13,"*"&amp;M392&amp;"*",採点!DH405:DM405)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SUMIF(採点!$DB$5:$DG$13,"*"&amp;K393&amp;"*",採点!DB406:DM406)</f>
        <v>0</v>
      </c>
      <c r="L395" s="66">
        <f ca="1">SUMIF(採点!$DH$5:$DM$13,"*"&amp;K393&amp;"*",採点!DH406:DM406)</f>
        <v>0</v>
      </c>
      <c r="M395" s="66">
        <f ca="1">SUMIF(採点!$DB$5:$DG$13,"*"&amp;M393&amp;"*",採点!DB406:DM406)</f>
        <v>0</v>
      </c>
      <c r="N395" s="66">
        <f ca="1">SUMIF(採点!$DH$5:$DM$13,"*"&amp;M393&amp;"*",採点!DH406:DM406)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SUMIF(採点!$DB$5:$DG$13,"*"&amp;K394&amp;"*",採点!DB407:DM407)</f>
        <v>0</v>
      </c>
      <c r="L396" s="66">
        <f ca="1">SUMIF(採点!$DH$5:$DM$13,"*"&amp;K394&amp;"*",採点!DH407:DM407)</f>
        <v>0</v>
      </c>
      <c r="M396" s="66">
        <f ca="1">SUMIF(採点!$DB$5:$DG$13,"*"&amp;M394&amp;"*",採点!DB407:DM407)</f>
        <v>0</v>
      </c>
      <c r="N396" s="66">
        <f ca="1">SUMIF(採点!$DH$5:$DM$13,"*"&amp;M394&amp;"*",採点!DH407:DM407)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SUMIF(採点!$DB$5:$DG$13,"*"&amp;K395&amp;"*",採点!DB408:DM408)</f>
        <v>0</v>
      </c>
      <c r="L397" s="66">
        <f ca="1">SUMIF(採点!$DH$5:$DM$13,"*"&amp;K395&amp;"*",採点!DH408:DM408)</f>
        <v>0</v>
      </c>
      <c r="M397" s="66">
        <f ca="1">SUMIF(採点!$DB$5:$DG$13,"*"&amp;M395&amp;"*",採点!DB408:DM408)</f>
        <v>0</v>
      </c>
      <c r="N397" s="66">
        <f ca="1">SUMIF(採点!$DH$5:$DM$13,"*"&amp;M395&amp;"*",採点!DH408:DM408)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SUMIF(採点!$DB$5:$DG$13,"*"&amp;K396&amp;"*",採点!DB409:DM409)</f>
        <v>0</v>
      </c>
      <c r="L398" s="66">
        <f ca="1">SUMIF(採点!$DH$5:$DM$13,"*"&amp;K396&amp;"*",採点!DH409:DM409)</f>
        <v>0</v>
      </c>
      <c r="M398" s="66">
        <f ca="1">SUMIF(採点!$DB$5:$DG$13,"*"&amp;M396&amp;"*",採点!DB409:DM409)</f>
        <v>0</v>
      </c>
      <c r="N398" s="66">
        <f ca="1">SUMIF(採点!$DH$5:$DM$13,"*"&amp;M396&amp;"*",採点!DH409:DM409)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SUMIF(採点!$DB$5:$DG$13,"*"&amp;K397&amp;"*",採点!DB410:DM410)</f>
        <v>0</v>
      </c>
      <c r="L399" s="66">
        <f ca="1">SUMIF(採点!$DH$5:$DM$13,"*"&amp;K397&amp;"*",採点!DH410:DM410)</f>
        <v>0</v>
      </c>
      <c r="M399" s="66">
        <f ca="1">SUMIF(採点!$DB$5:$DG$13,"*"&amp;M397&amp;"*",採点!DB410:DM410)</f>
        <v>0</v>
      </c>
      <c r="N399" s="66">
        <f ca="1">SUMIF(採点!$DH$5:$DM$13,"*"&amp;M397&amp;"*",採点!DH410:DM410)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SUMIF(採点!$DB$5:$DG$13,"*"&amp;K398&amp;"*",採点!DB411:DM411)</f>
        <v>0</v>
      </c>
      <c r="L400" s="66">
        <f ca="1">SUMIF(採点!$DH$5:$DM$13,"*"&amp;K398&amp;"*",採点!DH411:DM411)</f>
        <v>0</v>
      </c>
      <c r="M400" s="66">
        <f ca="1">SUMIF(採点!$DB$5:$DG$13,"*"&amp;M398&amp;"*",採点!DB411:DM411)</f>
        <v>0</v>
      </c>
      <c r="N400" s="66">
        <f ca="1">SUMIF(採点!$DH$5:$DM$13,"*"&amp;M398&amp;"*",採点!DH411:DM411)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SUMIF(採点!$DB$5:$DG$13,"*"&amp;K399&amp;"*",採点!DB412:DM412)</f>
        <v>0</v>
      </c>
      <c r="L401" s="66">
        <f ca="1">SUMIF(採点!$DH$5:$DM$13,"*"&amp;K399&amp;"*",採点!DH412:DM412)</f>
        <v>0</v>
      </c>
      <c r="M401" s="66">
        <f ca="1">SUMIF(採点!$DB$5:$DG$13,"*"&amp;M399&amp;"*",採点!DB412:DM412)</f>
        <v>0</v>
      </c>
      <c r="N401" s="66">
        <f ca="1">SUMIF(採点!$DH$5:$DM$13,"*"&amp;M399&amp;"*",採点!DH412:DM412)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SUMIF(採点!$DB$5:$DG$13,"*"&amp;K400&amp;"*",採点!DB413:DM413)</f>
        <v>0</v>
      </c>
      <c r="L402" s="66">
        <f ca="1">SUMIF(採点!$DH$5:$DM$13,"*"&amp;K400&amp;"*",採点!DH413:DM413)</f>
        <v>0</v>
      </c>
      <c r="M402" s="66">
        <f ca="1">SUMIF(採点!$DB$5:$DG$13,"*"&amp;M400&amp;"*",採点!DB413:DM413)</f>
        <v>0</v>
      </c>
      <c r="N402" s="66">
        <f ca="1">SUMIF(採点!$DH$5:$DM$13,"*"&amp;M400&amp;"*",採点!DH413:DM413)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SUMIF(採点!$DB$5:$DG$13,"*"&amp;K401&amp;"*",採点!DB414:DM414)</f>
        <v>0</v>
      </c>
      <c r="L403" s="66">
        <f ca="1">SUMIF(採点!$DH$5:$DM$13,"*"&amp;K401&amp;"*",採点!DH414:DM414)</f>
        <v>0</v>
      </c>
      <c r="M403" s="66">
        <f ca="1">SUMIF(採点!$DB$5:$DG$13,"*"&amp;M401&amp;"*",採点!DB414:DM414)</f>
        <v>0</v>
      </c>
      <c r="N403" s="66">
        <f ca="1">SUMIF(採点!$DH$5:$DM$13,"*"&amp;M401&amp;"*",採点!DH414:DM414)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SUMIF(採点!$DB$5:$DG$13,"*"&amp;K402&amp;"*",採点!DB415:DM415)</f>
        <v>0</v>
      </c>
      <c r="L404" s="66">
        <f ca="1">SUMIF(採点!$DH$5:$DM$13,"*"&amp;K402&amp;"*",採点!DH415:DM415)</f>
        <v>0</v>
      </c>
      <c r="M404" s="66">
        <f ca="1">SUMIF(採点!$DB$5:$DG$13,"*"&amp;M402&amp;"*",採点!DB415:DM415)</f>
        <v>0</v>
      </c>
      <c r="N404" s="66">
        <f ca="1">SUMIF(採点!$DH$5:$DM$13,"*"&amp;M402&amp;"*",採点!DH415:DM415)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SUMIF(採点!$DB$5:$DG$13,"*"&amp;K403&amp;"*",採点!DB416:DM416)</f>
        <v>0</v>
      </c>
      <c r="L405" s="66">
        <f ca="1">SUMIF(採点!$DH$5:$DM$13,"*"&amp;K403&amp;"*",採点!DH416:DM416)</f>
        <v>0</v>
      </c>
      <c r="M405" s="66">
        <f ca="1">SUMIF(採点!$DB$5:$DG$13,"*"&amp;M403&amp;"*",採点!DB416:DM416)</f>
        <v>0</v>
      </c>
      <c r="N405" s="66">
        <f ca="1">SUMIF(採点!$DH$5:$DM$13,"*"&amp;M403&amp;"*",採点!DH416:DM416)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SUMIF(採点!$DB$5:$DG$13,"*"&amp;K404&amp;"*",採点!DB417:DM417)</f>
        <v>0</v>
      </c>
      <c r="L406" s="66">
        <f ca="1">SUMIF(採点!$DH$5:$DM$13,"*"&amp;K404&amp;"*",採点!DH417:DM417)</f>
        <v>0</v>
      </c>
      <c r="M406" s="66">
        <f ca="1">SUMIF(採点!$DB$5:$DG$13,"*"&amp;M404&amp;"*",採点!DB417:DM417)</f>
        <v>0</v>
      </c>
      <c r="N406" s="66">
        <f ca="1">SUMIF(採点!$DH$5:$DM$13,"*"&amp;M404&amp;"*",採点!DH417:DM417)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SUMIF(採点!$DB$5:$DG$13,"*"&amp;K405&amp;"*",採点!DB418:DM418)</f>
        <v>0</v>
      </c>
      <c r="L407" s="66">
        <f ca="1">SUMIF(採点!$DH$5:$DM$13,"*"&amp;K405&amp;"*",採点!DH418:DM418)</f>
        <v>0</v>
      </c>
      <c r="M407" s="66">
        <f ca="1">SUMIF(採点!$DB$5:$DG$13,"*"&amp;M405&amp;"*",採点!DB418:DM418)</f>
        <v>0</v>
      </c>
      <c r="N407" s="66">
        <f ca="1">SUMIF(採点!$DH$5:$DM$13,"*"&amp;M405&amp;"*",採点!DH418:DM418)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SUMIF(採点!$DB$5:$DG$13,"*"&amp;K406&amp;"*",採点!DB419:DM419)</f>
        <v>0</v>
      </c>
      <c r="L408" s="66">
        <f ca="1">SUMIF(採点!$DH$5:$DM$13,"*"&amp;K406&amp;"*",採点!DH419:DM419)</f>
        <v>0</v>
      </c>
      <c r="M408" s="66">
        <f ca="1">SUMIF(採点!$DB$5:$DG$13,"*"&amp;M406&amp;"*",採点!DB419:DM419)</f>
        <v>0</v>
      </c>
      <c r="N408" s="66">
        <f ca="1">SUMIF(採点!$DH$5:$DM$13,"*"&amp;M406&amp;"*",採点!DH419:DM419)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SUMIF(採点!$DB$5:$DG$13,"*"&amp;K407&amp;"*",採点!DB420:DM420)</f>
        <v>0</v>
      </c>
      <c r="L409" s="66">
        <f ca="1">SUMIF(採点!$DH$5:$DM$13,"*"&amp;K407&amp;"*",採点!DH420:DM420)</f>
        <v>0</v>
      </c>
      <c r="M409" s="66">
        <f ca="1">SUMIF(採点!$DB$5:$DG$13,"*"&amp;M407&amp;"*",採点!DB420:DM420)</f>
        <v>0</v>
      </c>
      <c r="N409" s="66">
        <f ca="1">SUMIF(採点!$DH$5:$DM$13,"*"&amp;M407&amp;"*",採点!DH420:DM420)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SUMIF(採点!$DB$5:$DG$13,"*"&amp;K408&amp;"*",採点!DB421:DM421)</f>
        <v>0</v>
      </c>
      <c r="L410" s="66">
        <f ca="1">SUMIF(採点!$DH$5:$DM$13,"*"&amp;K408&amp;"*",採点!DH421:DM421)</f>
        <v>0</v>
      </c>
      <c r="M410" s="66">
        <f ca="1">SUMIF(採点!$DB$5:$DG$13,"*"&amp;M408&amp;"*",採点!DB421:DM421)</f>
        <v>0</v>
      </c>
      <c r="N410" s="66">
        <f ca="1">SUMIF(採点!$DH$5:$DM$13,"*"&amp;M408&amp;"*",採点!DH421:DM421)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SUMIF(採点!$DB$5:$DG$13,"*"&amp;K409&amp;"*",採点!DB422:DM422)</f>
        <v>0</v>
      </c>
      <c r="L411" s="66">
        <f ca="1">SUMIF(採点!$DH$5:$DM$13,"*"&amp;K409&amp;"*",採点!DH422:DM422)</f>
        <v>0</v>
      </c>
      <c r="M411" s="66">
        <f ca="1">SUMIF(採点!$DB$5:$DG$13,"*"&amp;M409&amp;"*",採点!DB422:DM422)</f>
        <v>0</v>
      </c>
      <c r="N411" s="66">
        <f ca="1">SUMIF(採点!$DH$5:$DM$13,"*"&amp;M409&amp;"*",採点!DH422:DM422)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SUMIF(採点!$DB$5:$DG$13,"*"&amp;K410&amp;"*",採点!DB423:DM423)</f>
        <v>0</v>
      </c>
      <c r="L412" s="66">
        <f ca="1">SUMIF(採点!$DH$5:$DM$13,"*"&amp;K410&amp;"*",採点!DH423:DM423)</f>
        <v>0</v>
      </c>
      <c r="M412" s="66">
        <f ca="1">SUMIF(採点!$DB$5:$DG$13,"*"&amp;M410&amp;"*",採点!DB423:DM423)</f>
        <v>0</v>
      </c>
      <c r="N412" s="66">
        <f ca="1">SUMIF(採点!$DH$5:$DM$13,"*"&amp;M410&amp;"*",採点!DH423:DM423)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SUMIF(採点!$DB$5:$DG$13,"*"&amp;K411&amp;"*",採点!DB424:DM424)</f>
        <v>0</v>
      </c>
      <c r="L413" s="66">
        <f ca="1">SUMIF(採点!$DH$5:$DM$13,"*"&amp;K411&amp;"*",採点!DH424:DM424)</f>
        <v>0</v>
      </c>
      <c r="M413" s="66">
        <f ca="1">SUMIF(採点!$DB$5:$DG$13,"*"&amp;M411&amp;"*",採点!DB424:DM424)</f>
        <v>0</v>
      </c>
      <c r="N413" s="66">
        <f ca="1">SUMIF(採点!$DH$5:$DM$13,"*"&amp;M411&amp;"*",採点!DH424:DM424)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SUMIF(採点!$DB$5:$DG$13,"*"&amp;K412&amp;"*",採点!DB425:DM425)</f>
        <v>0</v>
      </c>
      <c r="L414" s="66">
        <f ca="1">SUMIF(採点!$DH$5:$DM$13,"*"&amp;K412&amp;"*",採点!DH425:DM425)</f>
        <v>0</v>
      </c>
      <c r="M414" s="66">
        <f ca="1">SUMIF(採点!$DB$5:$DG$13,"*"&amp;M412&amp;"*",採点!DB425:DM425)</f>
        <v>0</v>
      </c>
      <c r="N414" s="66">
        <f ca="1">SUMIF(採点!$DH$5:$DM$13,"*"&amp;M412&amp;"*",採点!DH425:DM425)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SUMIF(採点!$DB$5:$DG$13,"*"&amp;K413&amp;"*",採点!DB426:DM426)</f>
        <v>0</v>
      </c>
      <c r="L415" s="66">
        <f ca="1">SUMIF(採点!$DH$5:$DM$13,"*"&amp;K413&amp;"*",採点!DH426:DM426)</f>
        <v>0</v>
      </c>
      <c r="M415" s="66">
        <f ca="1">SUMIF(採点!$DB$5:$DG$13,"*"&amp;M413&amp;"*",採点!DB426:DM426)</f>
        <v>0</v>
      </c>
      <c r="N415" s="66">
        <f ca="1">SUMIF(採点!$DH$5:$DM$13,"*"&amp;M413&amp;"*",採点!DH426:DM426)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SUMIF(採点!$DB$5:$DG$13,"*"&amp;K414&amp;"*",採点!DB427:DM427)</f>
        <v>0</v>
      </c>
      <c r="L416" s="66">
        <f ca="1">SUMIF(採点!$DH$5:$DM$13,"*"&amp;K414&amp;"*",採点!DH427:DM427)</f>
        <v>0</v>
      </c>
      <c r="M416" s="66">
        <f ca="1">SUMIF(採点!$DB$5:$DG$13,"*"&amp;M414&amp;"*",採点!DB427:DM427)</f>
        <v>0</v>
      </c>
      <c r="N416" s="66">
        <f ca="1">SUMIF(採点!$DH$5:$DM$13,"*"&amp;M414&amp;"*",採点!DH427:DM427)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SUMIF(採点!$DB$5:$DG$13,"*"&amp;K415&amp;"*",採点!DB428:DM428)</f>
        <v>0</v>
      </c>
      <c r="L417" s="66">
        <f ca="1">SUMIF(採点!$DH$5:$DM$13,"*"&amp;K415&amp;"*",採点!DH428:DM428)</f>
        <v>0</v>
      </c>
      <c r="M417" s="66">
        <f ca="1">SUMIF(採点!$DB$5:$DG$13,"*"&amp;M415&amp;"*",採点!DB428:DM428)</f>
        <v>0</v>
      </c>
      <c r="N417" s="66">
        <f ca="1">SUMIF(採点!$DH$5:$DM$13,"*"&amp;M415&amp;"*",採点!DH428:DM428)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SUMIF(採点!$DB$5:$DG$13,"*"&amp;K416&amp;"*",採点!DB429:DM429)</f>
        <v>0</v>
      </c>
      <c r="L418" s="66">
        <f ca="1">SUMIF(採点!$DH$5:$DM$13,"*"&amp;K416&amp;"*",採点!DH429:DM429)</f>
        <v>0</v>
      </c>
      <c r="M418" s="66">
        <f ca="1">SUMIF(採点!$DB$5:$DG$13,"*"&amp;M416&amp;"*",採点!DB429:DM429)</f>
        <v>0</v>
      </c>
      <c r="N418" s="66">
        <f ca="1">SUMIF(採点!$DH$5:$DM$13,"*"&amp;M416&amp;"*",採点!DH429:DM429)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SUMIF(採点!$DB$5:$DG$13,"*"&amp;K417&amp;"*",採点!DB430:DM430)</f>
        <v>0</v>
      </c>
      <c r="L419" s="66">
        <f ca="1">SUMIF(採点!$DH$5:$DM$13,"*"&amp;K417&amp;"*",採点!DH430:DM430)</f>
        <v>0</v>
      </c>
      <c r="M419" s="66">
        <f ca="1">SUMIF(採点!$DB$5:$DG$13,"*"&amp;M417&amp;"*",採点!DB430:DM430)</f>
        <v>0</v>
      </c>
      <c r="N419" s="66">
        <f ca="1">SUMIF(採点!$DH$5:$DM$13,"*"&amp;M417&amp;"*",採点!DH430:DM430)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SUMIF(採点!$DB$5:$DG$13,"*"&amp;K418&amp;"*",採点!DB431:DM431)</f>
        <v>0</v>
      </c>
      <c r="L420" s="66">
        <f ca="1">SUMIF(採点!$DH$5:$DM$13,"*"&amp;K418&amp;"*",採点!DH431:DM431)</f>
        <v>0</v>
      </c>
      <c r="M420" s="66">
        <f ca="1">SUMIF(採点!$DB$5:$DG$13,"*"&amp;M418&amp;"*",採点!DB431:DM431)</f>
        <v>0</v>
      </c>
      <c r="N420" s="66">
        <f ca="1">SUMIF(採点!$DH$5:$DM$13,"*"&amp;M418&amp;"*",採点!DH431:DM431)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SUMIF(採点!$DB$5:$DG$13,"*"&amp;K419&amp;"*",採点!DB432:DM432)</f>
        <v>0</v>
      </c>
      <c r="L421" s="66">
        <f ca="1">SUMIF(採点!$DH$5:$DM$13,"*"&amp;K419&amp;"*",採点!DH432:DM432)</f>
        <v>0</v>
      </c>
      <c r="M421" s="66">
        <f ca="1">SUMIF(採点!$DB$5:$DG$13,"*"&amp;M419&amp;"*",採点!DB432:DM432)</f>
        <v>0</v>
      </c>
      <c r="N421" s="66">
        <f ca="1">SUMIF(採点!$DH$5:$DM$13,"*"&amp;M419&amp;"*",採点!DH432:DM432)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SUMIF(採点!$DB$5:$DG$13,"*"&amp;K420&amp;"*",採点!DB433:DM433)</f>
        <v>0</v>
      </c>
      <c r="L422" s="66">
        <f ca="1">SUMIF(採点!$DH$5:$DM$13,"*"&amp;K420&amp;"*",採点!DH433:DM433)</f>
        <v>0</v>
      </c>
      <c r="M422" s="66">
        <f ca="1">SUMIF(採点!$DB$5:$DG$13,"*"&amp;M420&amp;"*",採点!DB433:DM433)</f>
        <v>0</v>
      </c>
      <c r="N422" s="66">
        <f ca="1">SUMIF(採点!$DH$5:$DM$13,"*"&amp;M420&amp;"*",採点!DH433:DM433)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SUMIF(採点!$DB$5:$DG$13,"*"&amp;K421&amp;"*",採点!DB434:DM434)</f>
        <v>0</v>
      </c>
      <c r="L423" s="66">
        <f ca="1">SUMIF(採点!$DH$5:$DM$13,"*"&amp;K421&amp;"*",採点!DH434:DM434)</f>
        <v>0</v>
      </c>
      <c r="M423" s="66">
        <f ca="1">SUMIF(採点!$DB$5:$DG$13,"*"&amp;M421&amp;"*",採点!DB434:DM434)</f>
        <v>0</v>
      </c>
      <c r="N423" s="66">
        <f ca="1">SUMIF(採点!$DH$5:$DM$13,"*"&amp;M421&amp;"*",採点!DH434:DM434)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SUMIF(採点!$DB$5:$DG$13,"*"&amp;K422&amp;"*",採点!DB435:DM435)</f>
        <v>0</v>
      </c>
      <c r="L424" s="66">
        <f ca="1">SUMIF(採点!$DH$5:$DM$13,"*"&amp;K422&amp;"*",採点!DH435:DM435)</f>
        <v>0</v>
      </c>
      <c r="M424" s="66">
        <f ca="1">SUMIF(採点!$DB$5:$DG$13,"*"&amp;M422&amp;"*",採点!DB435:DM435)</f>
        <v>0</v>
      </c>
      <c r="N424" s="66">
        <f ca="1">SUMIF(採点!$DH$5:$DM$13,"*"&amp;M422&amp;"*",採点!DH435:DM435)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SUMIF(採点!$DB$5:$DG$13,"*"&amp;K423&amp;"*",採点!DB436:DM436)</f>
        <v>0</v>
      </c>
      <c r="L425" s="66">
        <f ca="1">SUMIF(採点!$DH$5:$DM$13,"*"&amp;K423&amp;"*",採点!DH436:DM436)</f>
        <v>0</v>
      </c>
      <c r="M425" s="66">
        <f ca="1">SUMIF(採点!$DB$5:$DG$13,"*"&amp;M423&amp;"*",採点!DB436:DM436)</f>
        <v>0</v>
      </c>
      <c r="N425" s="66">
        <f ca="1">SUMIF(採点!$DH$5:$DM$13,"*"&amp;M423&amp;"*",採点!DH436:DM436)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SUMIF(採点!$DB$5:$DG$13,"*"&amp;K424&amp;"*",採点!DB437:DM437)</f>
        <v>0</v>
      </c>
      <c r="L426" s="66">
        <f ca="1">SUMIF(採点!$DH$5:$DM$13,"*"&amp;K424&amp;"*",採点!DH437:DM437)</f>
        <v>0</v>
      </c>
      <c r="M426" s="66">
        <f ca="1">SUMIF(採点!$DB$5:$DG$13,"*"&amp;M424&amp;"*",採点!DB437:DM437)</f>
        <v>0</v>
      </c>
      <c r="N426" s="66">
        <f ca="1">SUMIF(採点!$DH$5:$DM$13,"*"&amp;M424&amp;"*",採点!DH437:DM437)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SUMIF(採点!$DB$5:$DG$13,"*"&amp;K425&amp;"*",採点!DB438:DM438)</f>
        <v>0</v>
      </c>
      <c r="L427" s="66">
        <f ca="1">SUMIF(採点!$DH$5:$DM$13,"*"&amp;K425&amp;"*",採点!DH438:DM438)</f>
        <v>0</v>
      </c>
      <c r="M427" s="66">
        <f ca="1">SUMIF(採点!$DB$5:$DG$13,"*"&amp;M425&amp;"*",採点!DB438:DM438)</f>
        <v>0</v>
      </c>
      <c r="N427" s="66">
        <f ca="1">SUMIF(採点!$DH$5:$DM$13,"*"&amp;M425&amp;"*",採点!DH438:DM438)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SUMIF(採点!$DB$5:$DG$13,"*"&amp;K426&amp;"*",採点!DB439:DM439)</f>
        <v>0</v>
      </c>
      <c r="L428" s="66">
        <f ca="1">SUMIF(採点!$DH$5:$DM$13,"*"&amp;K426&amp;"*",採点!DH439:DM439)</f>
        <v>0</v>
      </c>
      <c r="M428" s="66">
        <f ca="1">SUMIF(採点!$DB$5:$DG$13,"*"&amp;M426&amp;"*",採点!DB439:DM439)</f>
        <v>0</v>
      </c>
      <c r="N428" s="66">
        <f ca="1">SUMIF(採点!$DH$5:$DM$13,"*"&amp;M426&amp;"*",採点!DH439:DM439)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SUMIF(採点!$DB$5:$DG$13,"*"&amp;K427&amp;"*",採点!DB440:DM440)</f>
        <v>0</v>
      </c>
      <c r="L429" s="66">
        <f ca="1">SUMIF(採点!$DH$5:$DM$13,"*"&amp;K427&amp;"*",採点!DH440:DM440)</f>
        <v>0</v>
      </c>
      <c r="M429" s="66">
        <f ca="1">SUMIF(採点!$DB$5:$DG$13,"*"&amp;M427&amp;"*",採点!DB440:DM440)</f>
        <v>0</v>
      </c>
      <c r="N429" s="66">
        <f ca="1">SUMIF(採点!$DH$5:$DM$13,"*"&amp;M427&amp;"*",採点!DH440:DM440)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SUMIF(採点!$DB$5:$DG$13,"*"&amp;K428&amp;"*",採点!DB441:DM441)</f>
        <v>0</v>
      </c>
      <c r="L430" s="66">
        <f ca="1">SUMIF(採点!$DH$5:$DM$13,"*"&amp;K428&amp;"*",採点!DH441:DM441)</f>
        <v>0</v>
      </c>
      <c r="M430" s="66">
        <f ca="1">SUMIF(採点!$DB$5:$DG$13,"*"&amp;M428&amp;"*",採点!DB441:DM441)</f>
        <v>0</v>
      </c>
      <c r="N430" s="66">
        <f ca="1">SUMIF(採点!$DH$5:$DM$13,"*"&amp;M428&amp;"*",採点!DH441:DM441)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2022-08-22T08:41:24Z</dcterms:modified>
</cp:coreProperties>
</file>